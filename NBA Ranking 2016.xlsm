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John\Dropbox\Johnny's Stuff\"/>
    </mc:Choice>
  </mc:AlternateContent>
  <bookViews>
    <workbookView xWindow="0" yWindow="0" windowWidth="21570" windowHeight="7965"/>
  </bookViews>
  <sheets>
    <sheet name="Boxscore" sheetId="2" r:id="rId1"/>
    <sheet name="Results" sheetId="4" r:id="rId2"/>
    <sheet name="Winnings" sheetId="5" r:id="rId3"/>
    <sheet name="Ratings" sheetId="1" r:id="rId4"/>
  </sheets>
  <definedNames>
    <definedName name="def_diff_lookup">Table3[[Team]:[Def Diff]]</definedName>
    <definedName name="division_lookup">Table3[]</definedName>
    <definedName name="home">Ratings!$K$2</definedName>
    <definedName name="home_lookup">Table3[]</definedName>
    <definedName name="nba_ranking_1" localSheetId="3">Ratings!$P$1:$P$31</definedName>
    <definedName name="OFR_lookup">Table3[[Team]:[ORtg/A]]</definedName>
    <definedName name="pace_lookup">Table3[]</definedName>
    <definedName name="rtg_vlookup">Table3[#All]</definedName>
    <definedName name="solver_adj" localSheetId="3" hidden="1">Ratings!$H$2:$H$31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Ratings!$H$32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od" localSheetId="3" hidden="1">2147483647</definedName>
    <definedName name="solver_num" localSheetId="3" hidden="1">1</definedName>
    <definedName name="solver_nwt" localSheetId="3" hidden="1">1</definedName>
    <definedName name="solver_opt" localSheetId="3" hidden="1">Ratings!$O$2</definedName>
    <definedName name="solver_pre" localSheetId="3" hidden="1">0.000001</definedName>
    <definedName name="solver_rbv" localSheetId="3" hidden="1">1</definedName>
    <definedName name="solver_rel1" localSheetId="3" hidden="1">2</definedName>
    <definedName name="solver_rhs1" localSheetId="3" hidden="1">home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232" i="2" l="1"/>
  <c r="U1232" i="2"/>
  <c r="S1232" i="2"/>
  <c r="N8" i="4"/>
  <c r="M8" i="4"/>
  <c r="G12" i="4"/>
  <c r="F12" i="4"/>
  <c r="E12" i="4"/>
  <c r="G5" i="4"/>
  <c r="F5" i="4"/>
  <c r="E5" i="4"/>
  <c r="D5" i="4"/>
  <c r="C5" i="4"/>
  <c r="B5" i="4"/>
  <c r="N1232" i="2"/>
  <c r="N210" i="2"/>
  <c r="N211" i="2"/>
  <c r="N212" i="2"/>
  <c r="N209" i="2"/>
  <c r="R212" i="2"/>
  <c r="W212" i="2" s="1"/>
  <c r="R211" i="2"/>
  <c r="D211" i="2" s="1"/>
  <c r="R210" i="2"/>
  <c r="W210" i="2" s="1"/>
  <c r="R209" i="2"/>
  <c r="F209" i="2" s="1"/>
  <c r="H211" i="2"/>
  <c r="H212" i="2"/>
  <c r="H210" i="2"/>
  <c r="H209" i="2"/>
  <c r="F202" i="2"/>
  <c r="F211" i="2"/>
  <c r="D202" i="2"/>
  <c r="AE214" i="2"/>
  <c r="AA225" i="2"/>
  <c r="AA224" i="2"/>
  <c r="AA223" i="2"/>
  <c r="AA222" i="2"/>
  <c r="AA221" i="2"/>
  <c r="AA220" i="2"/>
  <c r="AA219" i="2"/>
  <c r="AA218" i="2"/>
  <c r="AA217" i="2"/>
  <c r="AA216" i="2"/>
  <c r="AA215" i="2"/>
  <c r="AA214" i="2"/>
  <c r="AA213" i="2"/>
  <c r="Z225" i="2"/>
  <c r="Z224" i="2"/>
  <c r="Z223" i="2"/>
  <c r="Z222" i="2"/>
  <c r="Z221" i="2"/>
  <c r="Z220" i="2"/>
  <c r="Z219" i="2"/>
  <c r="Z218" i="2"/>
  <c r="Z217" i="2"/>
  <c r="Z216" i="2"/>
  <c r="Z215" i="2"/>
  <c r="Z214" i="2"/>
  <c r="Z213" i="2"/>
  <c r="Z209" i="2"/>
  <c r="Z210" i="2"/>
  <c r="Z211" i="2"/>
  <c r="Z212" i="2"/>
  <c r="Z200" i="2"/>
  <c r="AE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13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B18" i="5"/>
  <c r="C3" i="4"/>
  <c r="B3" i="4"/>
  <c r="C2" i="4"/>
  <c r="B2" i="4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F262" i="2"/>
  <c r="AF263" i="2"/>
  <c r="AF264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80" i="2"/>
  <c r="AF281" i="2"/>
  <c r="AF282" i="2"/>
  <c r="AF283" i="2"/>
  <c r="AF284" i="2"/>
  <c r="AF285" i="2"/>
  <c r="AF286" i="2"/>
  <c r="AF287" i="2"/>
  <c r="AF288" i="2"/>
  <c r="AF289" i="2"/>
  <c r="AF290" i="2"/>
  <c r="AF291" i="2"/>
  <c r="AF292" i="2"/>
  <c r="AF293" i="2"/>
  <c r="AF294" i="2"/>
  <c r="AF295" i="2"/>
  <c r="AF296" i="2"/>
  <c r="AF297" i="2"/>
  <c r="AF298" i="2"/>
  <c r="AF299" i="2"/>
  <c r="AF300" i="2"/>
  <c r="AF301" i="2"/>
  <c r="AF302" i="2"/>
  <c r="AF303" i="2"/>
  <c r="AF304" i="2"/>
  <c r="AF305" i="2"/>
  <c r="AF306" i="2"/>
  <c r="AF307" i="2"/>
  <c r="AF308" i="2"/>
  <c r="AF309" i="2"/>
  <c r="AF310" i="2"/>
  <c r="AF311" i="2"/>
  <c r="AF312" i="2"/>
  <c r="AF313" i="2"/>
  <c r="AF314" i="2"/>
  <c r="AF315" i="2"/>
  <c r="AF316" i="2"/>
  <c r="AF317" i="2"/>
  <c r="AF318" i="2"/>
  <c r="AF319" i="2"/>
  <c r="AF320" i="2"/>
  <c r="AF321" i="2"/>
  <c r="AF322" i="2"/>
  <c r="AF323" i="2"/>
  <c r="AF324" i="2"/>
  <c r="AF325" i="2"/>
  <c r="AF326" i="2"/>
  <c r="AF327" i="2"/>
  <c r="AF328" i="2"/>
  <c r="AF329" i="2"/>
  <c r="AF330" i="2"/>
  <c r="AF331" i="2"/>
  <c r="AF332" i="2"/>
  <c r="AF333" i="2"/>
  <c r="AF334" i="2"/>
  <c r="AF335" i="2"/>
  <c r="AF336" i="2"/>
  <c r="AF337" i="2"/>
  <c r="AF338" i="2"/>
  <c r="AF339" i="2"/>
  <c r="AF340" i="2"/>
  <c r="AF341" i="2"/>
  <c r="AF342" i="2"/>
  <c r="AF343" i="2"/>
  <c r="AF344" i="2"/>
  <c r="AF345" i="2"/>
  <c r="AF346" i="2"/>
  <c r="AF347" i="2"/>
  <c r="AF348" i="2"/>
  <c r="AF349" i="2"/>
  <c r="AF350" i="2"/>
  <c r="AF351" i="2"/>
  <c r="AF352" i="2"/>
  <c r="AF353" i="2"/>
  <c r="AF354" i="2"/>
  <c r="AF355" i="2"/>
  <c r="AF356" i="2"/>
  <c r="AF357" i="2"/>
  <c r="AF358" i="2"/>
  <c r="AF359" i="2"/>
  <c r="AF360" i="2"/>
  <c r="AF361" i="2"/>
  <c r="AF362" i="2"/>
  <c r="AF363" i="2"/>
  <c r="AF364" i="2"/>
  <c r="AF365" i="2"/>
  <c r="AF366" i="2"/>
  <c r="AF367" i="2"/>
  <c r="AF368" i="2"/>
  <c r="AF369" i="2"/>
  <c r="AF370" i="2"/>
  <c r="AF371" i="2"/>
  <c r="AF372" i="2"/>
  <c r="AF373" i="2"/>
  <c r="AF374" i="2"/>
  <c r="AF375" i="2"/>
  <c r="AF376" i="2"/>
  <c r="AF377" i="2"/>
  <c r="AF378" i="2"/>
  <c r="AF379" i="2"/>
  <c r="AF380" i="2"/>
  <c r="AF381" i="2"/>
  <c r="AF382" i="2"/>
  <c r="AF383" i="2"/>
  <c r="AF384" i="2"/>
  <c r="AF385" i="2"/>
  <c r="AF386" i="2"/>
  <c r="AF387" i="2"/>
  <c r="AF388" i="2"/>
  <c r="AF389" i="2"/>
  <c r="AF390" i="2"/>
  <c r="AF391" i="2"/>
  <c r="AF392" i="2"/>
  <c r="AF393" i="2"/>
  <c r="AF394" i="2"/>
  <c r="AF395" i="2"/>
  <c r="AF396" i="2"/>
  <c r="AF397" i="2"/>
  <c r="AF398" i="2"/>
  <c r="AF399" i="2"/>
  <c r="AF400" i="2"/>
  <c r="AF401" i="2"/>
  <c r="AF402" i="2"/>
  <c r="AF403" i="2"/>
  <c r="AF404" i="2"/>
  <c r="AF405" i="2"/>
  <c r="AF406" i="2"/>
  <c r="AF407" i="2"/>
  <c r="AF408" i="2"/>
  <c r="AF409" i="2"/>
  <c r="AF410" i="2"/>
  <c r="AF411" i="2"/>
  <c r="AF412" i="2"/>
  <c r="AF413" i="2"/>
  <c r="AF414" i="2"/>
  <c r="AF415" i="2"/>
  <c r="AF416" i="2"/>
  <c r="AF417" i="2"/>
  <c r="AF418" i="2"/>
  <c r="AF419" i="2"/>
  <c r="AF420" i="2"/>
  <c r="AF421" i="2"/>
  <c r="AF422" i="2"/>
  <c r="AF423" i="2"/>
  <c r="AF424" i="2"/>
  <c r="AF425" i="2"/>
  <c r="AF426" i="2"/>
  <c r="AF427" i="2"/>
  <c r="AF428" i="2"/>
  <c r="AF429" i="2"/>
  <c r="AF430" i="2"/>
  <c r="AF431" i="2"/>
  <c r="AF432" i="2"/>
  <c r="AF433" i="2"/>
  <c r="AF434" i="2"/>
  <c r="AF435" i="2"/>
  <c r="AF436" i="2"/>
  <c r="AF437" i="2"/>
  <c r="AF438" i="2"/>
  <c r="AF439" i="2"/>
  <c r="AF440" i="2"/>
  <c r="AF441" i="2"/>
  <c r="AF442" i="2"/>
  <c r="AF443" i="2"/>
  <c r="AF444" i="2"/>
  <c r="AF445" i="2"/>
  <c r="AF446" i="2"/>
  <c r="AF447" i="2"/>
  <c r="AF448" i="2"/>
  <c r="AF449" i="2"/>
  <c r="AF450" i="2"/>
  <c r="AF451" i="2"/>
  <c r="AF452" i="2"/>
  <c r="AF453" i="2"/>
  <c r="AF454" i="2"/>
  <c r="AF455" i="2"/>
  <c r="AF456" i="2"/>
  <c r="AF457" i="2"/>
  <c r="AF458" i="2"/>
  <c r="AF459" i="2"/>
  <c r="AF460" i="2"/>
  <c r="AF461" i="2"/>
  <c r="AF462" i="2"/>
  <c r="AF463" i="2"/>
  <c r="AF464" i="2"/>
  <c r="AF465" i="2"/>
  <c r="AF466" i="2"/>
  <c r="AF467" i="2"/>
  <c r="AF468" i="2"/>
  <c r="AF469" i="2"/>
  <c r="AF470" i="2"/>
  <c r="AF471" i="2"/>
  <c r="AF472" i="2"/>
  <c r="AF473" i="2"/>
  <c r="AF474" i="2"/>
  <c r="AF475" i="2"/>
  <c r="AF476" i="2"/>
  <c r="AF477" i="2"/>
  <c r="AF478" i="2"/>
  <c r="AF479" i="2"/>
  <c r="AF480" i="2"/>
  <c r="AF481" i="2"/>
  <c r="AF482" i="2"/>
  <c r="AF483" i="2"/>
  <c r="AF484" i="2"/>
  <c r="AF485" i="2"/>
  <c r="AF486" i="2"/>
  <c r="AF487" i="2"/>
  <c r="AF488" i="2"/>
  <c r="AF489" i="2"/>
  <c r="AF490" i="2"/>
  <c r="AF491" i="2"/>
  <c r="AF492" i="2"/>
  <c r="AF493" i="2"/>
  <c r="AF494" i="2"/>
  <c r="AF495" i="2"/>
  <c r="AF496" i="2"/>
  <c r="AF497" i="2"/>
  <c r="AF498" i="2"/>
  <c r="AF499" i="2"/>
  <c r="AF500" i="2"/>
  <c r="AF501" i="2"/>
  <c r="AF502" i="2"/>
  <c r="AF503" i="2"/>
  <c r="AF504" i="2"/>
  <c r="AF505" i="2"/>
  <c r="AF506" i="2"/>
  <c r="AF507" i="2"/>
  <c r="AF508" i="2"/>
  <c r="AF509" i="2"/>
  <c r="AF510" i="2"/>
  <c r="AF511" i="2"/>
  <c r="AF512" i="2"/>
  <c r="AF513" i="2"/>
  <c r="AF514" i="2"/>
  <c r="AF515" i="2"/>
  <c r="AF516" i="2"/>
  <c r="AF517" i="2"/>
  <c r="AF518" i="2"/>
  <c r="AF519" i="2"/>
  <c r="AF520" i="2"/>
  <c r="AF521" i="2"/>
  <c r="AF522" i="2"/>
  <c r="AF523" i="2"/>
  <c r="AF524" i="2"/>
  <c r="AF525" i="2"/>
  <c r="AF526" i="2"/>
  <c r="AF527" i="2"/>
  <c r="AF528" i="2"/>
  <c r="AF529" i="2"/>
  <c r="AF530" i="2"/>
  <c r="AF531" i="2"/>
  <c r="AF532" i="2"/>
  <c r="AF533" i="2"/>
  <c r="AF534" i="2"/>
  <c r="AF535" i="2"/>
  <c r="AF536" i="2"/>
  <c r="AF537" i="2"/>
  <c r="AF538" i="2"/>
  <c r="AF539" i="2"/>
  <c r="AF540" i="2"/>
  <c r="AF541" i="2"/>
  <c r="AF542" i="2"/>
  <c r="AF543" i="2"/>
  <c r="AF544" i="2"/>
  <c r="AF545" i="2"/>
  <c r="AF546" i="2"/>
  <c r="AF547" i="2"/>
  <c r="AF548" i="2"/>
  <c r="AF549" i="2"/>
  <c r="AF550" i="2"/>
  <c r="AF551" i="2"/>
  <c r="AF552" i="2"/>
  <c r="AF553" i="2"/>
  <c r="AF554" i="2"/>
  <c r="AF555" i="2"/>
  <c r="AF556" i="2"/>
  <c r="AF557" i="2"/>
  <c r="AF558" i="2"/>
  <c r="AF559" i="2"/>
  <c r="AF560" i="2"/>
  <c r="AF561" i="2"/>
  <c r="AF562" i="2"/>
  <c r="AF563" i="2"/>
  <c r="AF564" i="2"/>
  <c r="AF565" i="2"/>
  <c r="AF566" i="2"/>
  <c r="AF567" i="2"/>
  <c r="AF568" i="2"/>
  <c r="AF569" i="2"/>
  <c r="AF570" i="2"/>
  <c r="AF571" i="2"/>
  <c r="AF572" i="2"/>
  <c r="AF573" i="2"/>
  <c r="AF574" i="2"/>
  <c r="AF575" i="2"/>
  <c r="AF576" i="2"/>
  <c r="AF577" i="2"/>
  <c r="AF578" i="2"/>
  <c r="AF579" i="2"/>
  <c r="AF580" i="2"/>
  <c r="AF581" i="2"/>
  <c r="AF582" i="2"/>
  <c r="AF583" i="2"/>
  <c r="AF584" i="2"/>
  <c r="AF585" i="2"/>
  <c r="AF586" i="2"/>
  <c r="AF587" i="2"/>
  <c r="AF588" i="2"/>
  <c r="AF589" i="2"/>
  <c r="AF590" i="2"/>
  <c r="AF591" i="2"/>
  <c r="AF592" i="2"/>
  <c r="AF593" i="2"/>
  <c r="AF594" i="2"/>
  <c r="AF595" i="2"/>
  <c r="AF596" i="2"/>
  <c r="AF597" i="2"/>
  <c r="AF598" i="2"/>
  <c r="AF599" i="2"/>
  <c r="AF600" i="2"/>
  <c r="AF601" i="2"/>
  <c r="AF602" i="2"/>
  <c r="AF603" i="2"/>
  <c r="AF604" i="2"/>
  <c r="AF605" i="2"/>
  <c r="AF606" i="2"/>
  <c r="AF607" i="2"/>
  <c r="AF608" i="2"/>
  <c r="AF609" i="2"/>
  <c r="AF610" i="2"/>
  <c r="AF611" i="2"/>
  <c r="AF612" i="2"/>
  <c r="AF613" i="2"/>
  <c r="AF614" i="2"/>
  <c r="AF615" i="2"/>
  <c r="AF616" i="2"/>
  <c r="AF617" i="2"/>
  <c r="AF618" i="2"/>
  <c r="AF619" i="2"/>
  <c r="AF620" i="2"/>
  <c r="AF621" i="2"/>
  <c r="AF622" i="2"/>
  <c r="AF623" i="2"/>
  <c r="AF624" i="2"/>
  <c r="AF625" i="2"/>
  <c r="AF626" i="2"/>
  <c r="AF627" i="2"/>
  <c r="AF628" i="2"/>
  <c r="AF629" i="2"/>
  <c r="AF630" i="2"/>
  <c r="AF631" i="2"/>
  <c r="AF632" i="2"/>
  <c r="AF633" i="2"/>
  <c r="AF634" i="2"/>
  <c r="AF635" i="2"/>
  <c r="AF636" i="2"/>
  <c r="AF637" i="2"/>
  <c r="AF638" i="2"/>
  <c r="AF639" i="2"/>
  <c r="AF640" i="2"/>
  <c r="AF641" i="2"/>
  <c r="AF642" i="2"/>
  <c r="AF643" i="2"/>
  <c r="AF644" i="2"/>
  <c r="AF645" i="2"/>
  <c r="AF646" i="2"/>
  <c r="AF647" i="2"/>
  <c r="AF648" i="2"/>
  <c r="AF649" i="2"/>
  <c r="AF650" i="2"/>
  <c r="AF651" i="2"/>
  <c r="AF652" i="2"/>
  <c r="AF653" i="2"/>
  <c r="AF654" i="2"/>
  <c r="AF655" i="2"/>
  <c r="AF656" i="2"/>
  <c r="AF657" i="2"/>
  <c r="AF658" i="2"/>
  <c r="AF659" i="2"/>
  <c r="AF660" i="2"/>
  <c r="AF661" i="2"/>
  <c r="AF662" i="2"/>
  <c r="AF663" i="2"/>
  <c r="AF664" i="2"/>
  <c r="AF665" i="2"/>
  <c r="AF666" i="2"/>
  <c r="AF667" i="2"/>
  <c r="AF668" i="2"/>
  <c r="AF669" i="2"/>
  <c r="AF670" i="2"/>
  <c r="AF671" i="2"/>
  <c r="AF672" i="2"/>
  <c r="AF673" i="2"/>
  <c r="AF674" i="2"/>
  <c r="AF675" i="2"/>
  <c r="AF676" i="2"/>
  <c r="AF677" i="2"/>
  <c r="AF678" i="2"/>
  <c r="AF679" i="2"/>
  <c r="AF680" i="2"/>
  <c r="AF681" i="2"/>
  <c r="AF682" i="2"/>
  <c r="AF683" i="2"/>
  <c r="AF684" i="2"/>
  <c r="AF685" i="2"/>
  <c r="AF686" i="2"/>
  <c r="AF687" i="2"/>
  <c r="AF688" i="2"/>
  <c r="AF689" i="2"/>
  <c r="AF690" i="2"/>
  <c r="AF691" i="2"/>
  <c r="AF692" i="2"/>
  <c r="AF693" i="2"/>
  <c r="AF694" i="2"/>
  <c r="AF695" i="2"/>
  <c r="AF696" i="2"/>
  <c r="AF697" i="2"/>
  <c r="AF698" i="2"/>
  <c r="AF699" i="2"/>
  <c r="AF700" i="2"/>
  <c r="AF701" i="2"/>
  <c r="AF702" i="2"/>
  <c r="AF703" i="2"/>
  <c r="AF704" i="2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782" i="2"/>
  <c r="AF783" i="2"/>
  <c r="AF784" i="2"/>
  <c r="AF785" i="2"/>
  <c r="AF786" i="2"/>
  <c r="AF787" i="2"/>
  <c r="AF788" i="2"/>
  <c r="AF789" i="2"/>
  <c r="AF790" i="2"/>
  <c r="AF791" i="2"/>
  <c r="AF792" i="2"/>
  <c r="AF793" i="2"/>
  <c r="AF794" i="2"/>
  <c r="AF795" i="2"/>
  <c r="AF796" i="2"/>
  <c r="AF797" i="2"/>
  <c r="AF798" i="2"/>
  <c r="AF799" i="2"/>
  <c r="AF800" i="2"/>
  <c r="AF801" i="2"/>
  <c r="AF802" i="2"/>
  <c r="AF803" i="2"/>
  <c r="AF804" i="2"/>
  <c r="AF805" i="2"/>
  <c r="AF806" i="2"/>
  <c r="AF807" i="2"/>
  <c r="AF808" i="2"/>
  <c r="AF809" i="2"/>
  <c r="AF810" i="2"/>
  <c r="AF811" i="2"/>
  <c r="AF812" i="2"/>
  <c r="AF813" i="2"/>
  <c r="AF814" i="2"/>
  <c r="AF815" i="2"/>
  <c r="AF816" i="2"/>
  <c r="AF817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L1232" i="2"/>
  <c r="J1232" i="2"/>
  <c r="I1232" i="2"/>
  <c r="O209" i="2"/>
  <c r="AE209" i="2" s="1"/>
  <c r="O210" i="2"/>
  <c r="AE210" i="2" s="1"/>
  <c r="O211" i="2"/>
  <c r="O212" i="2"/>
  <c r="AE212" i="2" s="1"/>
  <c r="AA209" i="2"/>
  <c r="AA210" i="2"/>
  <c r="AA211" i="2"/>
  <c r="AA212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G32" i="1"/>
  <c r="H32" i="1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V4" i="4"/>
  <c r="U4" i="4"/>
  <c r="S4" i="4"/>
  <c r="R4" i="4"/>
  <c r="AF200" i="2"/>
  <c r="K8" i="4"/>
  <c r="J8" i="4"/>
  <c r="AC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AC1004" i="2"/>
  <c r="AC1005" i="2"/>
  <c r="AC1006" i="2"/>
  <c r="AC1007" i="2"/>
  <c r="AC1008" i="2"/>
  <c r="AC1009" i="2"/>
  <c r="AC1010" i="2"/>
  <c r="AC1011" i="2"/>
  <c r="AC1012" i="2"/>
  <c r="AC1013" i="2"/>
  <c r="AC1014" i="2"/>
  <c r="AC1015" i="2"/>
  <c r="AC1016" i="2"/>
  <c r="AC1017" i="2"/>
  <c r="AC1018" i="2"/>
  <c r="AC1019" i="2"/>
  <c r="AC1020" i="2"/>
  <c r="AC1021" i="2"/>
  <c r="AC1022" i="2"/>
  <c r="AC1023" i="2"/>
  <c r="AC1024" i="2"/>
  <c r="AC1025" i="2"/>
  <c r="AC1026" i="2"/>
  <c r="AC1027" i="2"/>
  <c r="AC1028" i="2"/>
  <c r="AC1029" i="2"/>
  <c r="AC1030" i="2"/>
  <c r="AC1031" i="2"/>
  <c r="AC1032" i="2"/>
  <c r="AC1033" i="2"/>
  <c r="AC1034" i="2"/>
  <c r="AC1035" i="2"/>
  <c r="AC1036" i="2"/>
  <c r="AC1037" i="2"/>
  <c r="AC1038" i="2"/>
  <c r="AC1039" i="2"/>
  <c r="AC1040" i="2"/>
  <c r="AC1041" i="2"/>
  <c r="AC1042" i="2"/>
  <c r="AC1043" i="2"/>
  <c r="AC1044" i="2"/>
  <c r="AC1045" i="2"/>
  <c r="AC1046" i="2"/>
  <c r="AC1047" i="2"/>
  <c r="AC1048" i="2"/>
  <c r="AC1049" i="2"/>
  <c r="AC1050" i="2"/>
  <c r="AC1051" i="2"/>
  <c r="AC1052" i="2"/>
  <c r="AC1053" i="2"/>
  <c r="AC1054" i="2"/>
  <c r="AC1055" i="2"/>
  <c r="AC1056" i="2"/>
  <c r="AC1057" i="2"/>
  <c r="AC1058" i="2"/>
  <c r="AC1059" i="2"/>
  <c r="AC1060" i="2"/>
  <c r="AC1061" i="2"/>
  <c r="AC1062" i="2"/>
  <c r="AC1063" i="2"/>
  <c r="AC1064" i="2"/>
  <c r="AC1065" i="2"/>
  <c r="AC1066" i="2"/>
  <c r="AC1067" i="2"/>
  <c r="AC1068" i="2"/>
  <c r="AC1069" i="2"/>
  <c r="AC1070" i="2"/>
  <c r="AC1071" i="2"/>
  <c r="AC1072" i="2"/>
  <c r="AC1073" i="2"/>
  <c r="AC1074" i="2"/>
  <c r="AC1075" i="2"/>
  <c r="AC1076" i="2"/>
  <c r="AC1077" i="2"/>
  <c r="AC1078" i="2"/>
  <c r="AC1079" i="2"/>
  <c r="AC1080" i="2"/>
  <c r="AC1081" i="2"/>
  <c r="AC1082" i="2"/>
  <c r="AC1083" i="2"/>
  <c r="AC1084" i="2"/>
  <c r="AC1085" i="2"/>
  <c r="AC1086" i="2"/>
  <c r="AC1087" i="2"/>
  <c r="AC1088" i="2"/>
  <c r="AC1089" i="2"/>
  <c r="AC1090" i="2"/>
  <c r="AC1091" i="2"/>
  <c r="AC1092" i="2"/>
  <c r="AC1093" i="2"/>
  <c r="AC1094" i="2"/>
  <c r="AC1095" i="2"/>
  <c r="AC1096" i="2"/>
  <c r="AC1097" i="2"/>
  <c r="AC1098" i="2"/>
  <c r="AC1099" i="2"/>
  <c r="AC1100" i="2"/>
  <c r="AC1101" i="2"/>
  <c r="AC1102" i="2"/>
  <c r="AC1103" i="2"/>
  <c r="AC1104" i="2"/>
  <c r="AC1105" i="2"/>
  <c r="AC1106" i="2"/>
  <c r="AC1107" i="2"/>
  <c r="AC1108" i="2"/>
  <c r="AC1109" i="2"/>
  <c r="AC1110" i="2"/>
  <c r="AC1111" i="2"/>
  <c r="AC1112" i="2"/>
  <c r="AC1113" i="2"/>
  <c r="AC1114" i="2"/>
  <c r="AC1115" i="2"/>
  <c r="AC1116" i="2"/>
  <c r="AC1117" i="2"/>
  <c r="AC1118" i="2"/>
  <c r="AC1119" i="2"/>
  <c r="AC1120" i="2"/>
  <c r="AC1121" i="2"/>
  <c r="AC1122" i="2"/>
  <c r="AC1123" i="2"/>
  <c r="AC1124" i="2"/>
  <c r="AC1125" i="2"/>
  <c r="AC1126" i="2"/>
  <c r="AC1127" i="2"/>
  <c r="AC1128" i="2"/>
  <c r="AC1129" i="2"/>
  <c r="AC1130" i="2"/>
  <c r="AC1131" i="2"/>
  <c r="AC1132" i="2"/>
  <c r="AC1133" i="2"/>
  <c r="AC1134" i="2"/>
  <c r="AC1135" i="2"/>
  <c r="AC1136" i="2"/>
  <c r="AC1137" i="2"/>
  <c r="AC1138" i="2"/>
  <c r="AC1139" i="2"/>
  <c r="AC1140" i="2"/>
  <c r="AC1141" i="2"/>
  <c r="AC1142" i="2"/>
  <c r="AC1143" i="2"/>
  <c r="AC1144" i="2"/>
  <c r="AC1145" i="2"/>
  <c r="AC1146" i="2"/>
  <c r="AC1147" i="2"/>
  <c r="AC1148" i="2"/>
  <c r="AC1149" i="2"/>
  <c r="AC1150" i="2"/>
  <c r="AC1151" i="2"/>
  <c r="AC1152" i="2"/>
  <c r="AC1153" i="2"/>
  <c r="AC1154" i="2"/>
  <c r="AC1155" i="2"/>
  <c r="AC1156" i="2"/>
  <c r="AC1157" i="2"/>
  <c r="AC1158" i="2"/>
  <c r="AC1159" i="2"/>
  <c r="AC1160" i="2"/>
  <c r="AC1161" i="2"/>
  <c r="AC1162" i="2"/>
  <c r="AC1163" i="2"/>
  <c r="AC1164" i="2"/>
  <c r="AC1165" i="2"/>
  <c r="AC1166" i="2"/>
  <c r="AC1167" i="2"/>
  <c r="AC1168" i="2"/>
  <c r="AC1169" i="2"/>
  <c r="AC1170" i="2"/>
  <c r="AC1171" i="2"/>
  <c r="AC1172" i="2"/>
  <c r="AC1173" i="2"/>
  <c r="AC1174" i="2"/>
  <c r="AC1175" i="2"/>
  <c r="AC1176" i="2"/>
  <c r="AC1177" i="2"/>
  <c r="AC1178" i="2"/>
  <c r="AC1179" i="2"/>
  <c r="AC1180" i="2"/>
  <c r="AC1181" i="2"/>
  <c r="AC1182" i="2"/>
  <c r="AC1183" i="2"/>
  <c r="AC1184" i="2"/>
  <c r="AC1185" i="2"/>
  <c r="AC1186" i="2"/>
  <c r="AC1187" i="2"/>
  <c r="AC1188" i="2"/>
  <c r="AC1189" i="2"/>
  <c r="AC1190" i="2"/>
  <c r="AC1191" i="2"/>
  <c r="AC1192" i="2"/>
  <c r="AC1193" i="2"/>
  <c r="AC1194" i="2"/>
  <c r="AC1195" i="2"/>
  <c r="AC1196" i="2"/>
  <c r="AC1197" i="2"/>
  <c r="AC1198" i="2"/>
  <c r="AC1199" i="2"/>
  <c r="AC1200" i="2"/>
  <c r="AC1201" i="2"/>
  <c r="AC1202" i="2"/>
  <c r="AC1203" i="2"/>
  <c r="AC1204" i="2"/>
  <c r="AC1205" i="2"/>
  <c r="AC1206" i="2"/>
  <c r="AC1207" i="2"/>
  <c r="AC1208" i="2"/>
  <c r="AC1209" i="2"/>
  <c r="AC1210" i="2"/>
  <c r="AC1211" i="2"/>
  <c r="AC1212" i="2"/>
  <c r="AC1213" i="2"/>
  <c r="AC1214" i="2"/>
  <c r="AC1215" i="2"/>
  <c r="AC1216" i="2"/>
  <c r="AC1217" i="2"/>
  <c r="AC1218" i="2"/>
  <c r="AC1219" i="2"/>
  <c r="AC1220" i="2"/>
  <c r="AC1221" i="2"/>
  <c r="AC1222" i="2"/>
  <c r="AC1223" i="2"/>
  <c r="AC1224" i="2"/>
  <c r="AC1225" i="2"/>
  <c r="AC1226" i="2"/>
  <c r="AC1227" i="2"/>
  <c r="AC1228" i="2"/>
  <c r="AC1229" i="2"/>
  <c r="AC1230" i="2"/>
  <c r="AC1231" i="2"/>
  <c r="AB1130" i="2"/>
  <c r="AB1131" i="2"/>
  <c r="AB1132" i="2"/>
  <c r="AB1133" i="2"/>
  <c r="AB1134" i="2"/>
  <c r="AB1135" i="2"/>
  <c r="AB1136" i="2"/>
  <c r="AB1137" i="2"/>
  <c r="AB1138" i="2"/>
  <c r="AB1139" i="2"/>
  <c r="AB1140" i="2"/>
  <c r="AB1141" i="2"/>
  <c r="AB1142" i="2"/>
  <c r="AB1143" i="2"/>
  <c r="AB1144" i="2"/>
  <c r="AB1145" i="2"/>
  <c r="AB1146" i="2"/>
  <c r="AB1147" i="2"/>
  <c r="AB1148" i="2"/>
  <c r="AB1149" i="2"/>
  <c r="AB1150" i="2"/>
  <c r="AB1151" i="2"/>
  <c r="AB1152" i="2"/>
  <c r="AB1153" i="2"/>
  <c r="AB1154" i="2"/>
  <c r="AB1155" i="2"/>
  <c r="AB1156" i="2"/>
  <c r="AB1157" i="2"/>
  <c r="AB1158" i="2"/>
  <c r="AB1159" i="2"/>
  <c r="AB1160" i="2"/>
  <c r="AB1161" i="2"/>
  <c r="AB1162" i="2"/>
  <c r="AB1163" i="2"/>
  <c r="AB1164" i="2"/>
  <c r="AB1165" i="2"/>
  <c r="AB1166" i="2"/>
  <c r="AB1167" i="2"/>
  <c r="AB1168" i="2"/>
  <c r="AB1169" i="2"/>
  <c r="AB1170" i="2"/>
  <c r="AB1171" i="2"/>
  <c r="AB1172" i="2"/>
  <c r="AB1173" i="2"/>
  <c r="AB1174" i="2"/>
  <c r="AB1175" i="2"/>
  <c r="AB1176" i="2"/>
  <c r="AB1177" i="2"/>
  <c r="AB1178" i="2"/>
  <c r="AB1179" i="2"/>
  <c r="AB1180" i="2"/>
  <c r="AB1181" i="2"/>
  <c r="AB1182" i="2"/>
  <c r="AB1183" i="2"/>
  <c r="AB1184" i="2"/>
  <c r="AB1185" i="2"/>
  <c r="AB1186" i="2"/>
  <c r="AB1187" i="2"/>
  <c r="AB1188" i="2"/>
  <c r="AB1189" i="2"/>
  <c r="AB1190" i="2"/>
  <c r="AB1191" i="2"/>
  <c r="AB1192" i="2"/>
  <c r="AB1193" i="2"/>
  <c r="AB1194" i="2"/>
  <c r="AB1195" i="2"/>
  <c r="AB1196" i="2"/>
  <c r="AB1197" i="2"/>
  <c r="AB1198" i="2"/>
  <c r="AB1199" i="2"/>
  <c r="AB1200" i="2"/>
  <c r="AB1201" i="2"/>
  <c r="AB1202" i="2"/>
  <c r="AB1203" i="2"/>
  <c r="AB1204" i="2"/>
  <c r="AB1205" i="2"/>
  <c r="AB1206" i="2"/>
  <c r="AB1207" i="2"/>
  <c r="AB1208" i="2"/>
  <c r="AB1209" i="2"/>
  <c r="AB1210" i="2"/>
  <c r="AB1211" i="2"/>
  <c r="AB1212" i="2"/>
  <c r="AB1213" i="2"/>
  <c r="AB1214" i="2"/>
  <c r="AB1215" i="2"/>
  <c r="AB1216" i="2"/>
  <c r="AB1217" i="2"/>
  <c r="AB1218" i="2"/>
  <c r="AB1219" i="2"/>
  <c r="AB1220" i="2"/>
  <c r="AB1221" i="2"/>
  <c r="AB1222" i="2"/>
  <c r="AB1223" i="2"/>
  <c r="AB1224" i="2"/>
  <c r="AB1225" i="2"/>
  <c r="AB1226" i="2"/>
  <c r="AB1227" i="2"/>
  <c r="AB1228" i="2"/>
  <c r="AB1229" i="2"/>
  <c r="AB1230" i="2"/>
  <c r="AB1231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AB1004" i="2"/>
  <c r="AB1005" i="2"/>
  <c r="AB1006" i="2"/>
  <c r="AB1007" i="2"/>
  <c r="AB1008" i="2"/>
  <c r="AB1009" i="2"/>
  <c r="AB1010" i="2"/>
  <c r="AB1011" i="2"/>
  <c r="AB1012" i="2"/>
  <c r="AB1013" i="2"/>
  <c r="AB1014" i="2"/>
  <c r="AB1015" i="2"/>
  <c r="AB1016" i="2"/>
  <c r="AB1017" i="2"/>
  <c r="AB1018" i="2"/>
  <c r="AB1019" i="2"/>
  <c r="AB1020" i="2"/>
  <c r="AB1021" i="2"/>
  <c r="AB1022" i="2"/>
  <c r="AB1023" i="2"/>
  <c r="AB1024" i="2"/>
  <c r="AB1025" i="2"/>
  <c r="AB1026" i="2"/>
  <c r="AB1027" i="2"/>
  <c r="AB1028" i="2"/>
  <c r="AB1029" i="2"/>
  <c r="AB1030" i="2"/>
  <c r="AB1031" i="2"/>
  <c r="AB1032" i="2"/>
  <c r="AB1033" i="2"/>
  <c r="AB1034" i="2"/>
  <c r="AB1035" i="2"/>
  <c r="AB1036" i="2"/>
  <c r="AB1037" i="2"/>
  <c r="AB1038" i="2"/>
  <c r="AB1039" i="2"/>
  <c r="AB1040" i="2"/>
  <c r="AB1041" i="2"/>
  <c r="AB1042" i="2"/>
  <c r="AB1043" i="2"/>
  <c r="AB1044" i="2"/>
  <c r="AB1045" i="2"/>
  <c r="AB1046" i="2"/>
  <c r="AB1047" i="2"/>
  <c r="AB1048" i="2"/>
  <c r="AB1049" i="2"/>
  <c r="AB1050" i="2"/>
  <c r="AB1051" i="2"/>
  <c r="AB1052" i="2"/>
  <c r="AB1053" i="2"/>
  <c r="AB1054" i="2"/>
  <c r="AB1055" i="2"/>
  <c r="AB1056" i="2"/>
  <c r="AB1057" i="2"/>
  <c r="AB1058" i="2"/>
  <c r="AB1059" i="2"/>
  <c r="AB1060" i="2"/>
  <c r="AB1061" i="2"/>
  <c r="AB1062" i="2"/>
  <c r="AB1063" i="2"/>
  <c r="AB1064" i="2"/>
  <c r="AB1065" i="2"/>
  <c r="AB1066" i="2"/>
  <c r="AB1067" i="2"/>
  <c r="AB1068" i="2"/>
  <c r="AB1069" i="2"/>
  <c r="AB1070" i="2"/>
  <c r="AB1071" i="2"/>
  <c r="AB1072" i="2"/>
  <c r="AB1073" i="2"/>
  <c r="AB1074" i="2"/>
  <c r="AB1075" i="2"/>
  <c r="AB1076" i="2"/>
  <c r="AB1077" i="2"/>
  <c r="AB1078" i="2"/>
  <c r="AB1079" i="2"/>
  <c r="AB1080" i="2"/>
  <c r="AB1081" i="2"/>
  <c r="AB1082" i="2"/>
  <c r="AB1083" i="2"/>
  <c r="AB1084" i="2"/>
  <c r="AB1085" i="2"/>
  <c r="AB1086" i="2"/>
  <c r="AB1087" i="2"/>
  <c r="AB1088" i="2"/>
  <c r="AB1089" i="2"/>
  <c r="AB1090" i="2"/>
  <c r="AB1091" i="2"/>
  <c r="AB1092" i="2"/>
  <c r="AB1093" i="2"/>
  <c r="AB1094" i="2"/>
  <c r="AB1095" i="2"/>
  <c r="AB1096" i="2"/>
  <c r="AB1097" i="2"/>
  <c r="AB1098" i="2"/>
  <c r="AB1099" i="2"/>
  <c r="AB1100" i="2"/>
  <c r="AB1101" i="2"/>
  <c r="AB1102" i="2"/>
  <c r="AB1103" i="2"/>
  <c r="AB1104" i="2"/>
  <c r="AB1105" i="2"/>
  <c r="AB1106" i="2"/>
  <c r="AB1107" i="2"/>
  <c r="AB1108" i="2"/>
  <c r="AB1109" i="2"/>
  <c r="AB1110" i="2"/>
  <c r="AB1111" i="2"/>
  <c r="AB1112" i="2"/>
  <c r="AB1113" i="2"/>
  <c r="AB1114" i="2"/>
  <c r="AB1115" i="2"/>
  <c r="AB1116" i="2"/>
  <c r="AB1117" i="2"/>
  <c r="AB1118" i="2"/>
  <c r="AB1119" i="2"/>
  <c r="AB1120" i="2"/>
  <c r="AB1121" i="2"/>
  <c r="AB1122" i="2"/>
  <c r="AB1123" i="2"/>
  <c r="AB1124" i="2"/>
  <c r="AB1125" i="2"/>
  <c r="AB1126" i="2"/>
  <c r="AB1127" i="2"/>
  <c r="AB1128" i="2"/>
  <c r="AB1129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Z201" i="2"/>
  <c r="Z202" i="2"/>
  <c r="Z203" i="2"/>
  <c r="Z204" i="2"/>
  <c r="Z205" i="2"/>
  <c r="Z206" i="2"/>
  <c r="Z207" i="2"/>
  <c r="Z208" i="2"/>
  <c r="H200" i="2"/>
  <c r="H201" i="2"/>
  <c r="H202" i="2"/>
  <c r="H203" i="2"/>
  <c r="H204" i="2"/>
  <c r="H205" i="2"/>
  <c r="H206" i="2"/>
  <c r="H207" i="2"/>
  <c r="H208" i="2"/>
  <c r="R200" i="2"/>
  <c r="T200" i="2" s="1"/>
  <c r="R201" i="2"/>
  <c r="T201" i="2" s="1"/>
  <c r="R202" i="2"/>
  <c r="T202" i="2" s="1"/>
  <c r="R203" i="2"/>
  <c r="T203" i="2" s="1"/>
  <c r="R204" i="2"/>
  <c r="T204" i="2" s="1"/>
  <c r="R205" i="2"/>
  <c r="T205" i="2" s="1"/>
  <c r="R206" i="2"/>
  <c r="T206" i="2" s="1"/>
  <c r="R207" i="2"/>
  <c r="T207" i="2" s="1"/>
  <c r="R208" i="2"/>
  <c r="T208" i="2" s="1"/>
  <c r="D32" i="1"/>
  <c r="C32" i="1"/>
  <c r="F3" i="1" s="1"/>
  <c r="B32" i="1"/>
  <c r="E5" i="1" s="1"/>
  <c r="F212" i="2" l="1"/>
  <c r="T212" i="2"/>
  <c r="D3" i="4"/>
  <c r="D212" i="2"/>
  <c r="T211" i="2"/>
  <c r="D206" i="2"/>
  <c r="F206" i="2"/>
  <c r="D210" i="2"/>
  <c r="D205" i="2"/>
  <c r="D201" i="2"/>
  <c r="F210" i="2"/>
  <c r="F205" i="2"/>
  <c r="F201" i="2"/>
  <c r="T210" i="2"/>
  <c r="W211" i="2"/>
  <c r="D2" i="4"/>
  <c r="D208" i="2"/>
  <c r="D204" i="2"/>
  <c r="D200" i="2"/>
  <c r="F208" i="2"/>
  <c r="F204" i="2"/>
  <c r="F200" i="2"/>
  <c r="T209" i="2"/>
  <c r="T1232" i="2" s="1"/>
  <c r="D207" i="2"/>
  <c r="D203" i="2"/>
  <c r="F207" i="2"/>
  <c r="F203" i="2"/>
  <c r="F1232" i="2" s="1"/>
  <c r="W209" i="2"/>
  <c r="D209" i="2"/>
  <c r="O1232" i="2"/>
  <c r="AE211" i="2"/>
  <c r="K1050" i="2"/>
  <c r="K1172" i="2"/>
  <c r="K814" i="2"/>
  <c r="K802" i="2"/>
  <c r="K762" i="2"/>
  <c r="K438" i="2"/>
  <c r="K1053" i="2"/>
  <c r="K985" i="2"/>
  <c r="K1120" i="2"/>
  <c r="K1108" i="2"/>
  <c r="K972" i="2"/>
  <c r="K888" i="2"/>
  <c r="K824" i="2"/>
  <c r="K744" i="2"/>
  <c r="K684" i="2"/>
  <c r="K664" i="2"/>
  <c r="K935" i="2"/>
  <c r="K931" i="2"/>
  <c r="K907" i="2"/>
  <c r="K895" i="2"/>
  <c r="K671" i="2"/>
  <c r="K567" i="2"/>
  <c r="K447" i="2"/>
  <c r="K202" i="2"/>
  <c r="K118" i="2"/>
  <c r="K74" i="2"/>
  <c r="K54" i="2"/>
  <c r="K42" i="2"/>
  <c r="M1156" i="2"/>
  <c r="M1092" i="2"/>
  <c r="M1076" i="2"/>
  <c r="M952" i="2"/>
  <c r="K717" i="2"/>
  <c r="K645" i="2"/>
  <c r="K457" i="2"/>
  <c r="K189" i="2"/>
  <c r="K169" i="2"/>
  <c r="K372" i="2"/>
  <c r="K352" i="2"/>
  <c r="K336" i="2"/>
  <c r="M1130" i="2"/>
  <c r="K359" i="2"/>
  <c r="K327" i="2"/>
  <c r="K231" i="2"/>
  <c r="K175" i="2"/>
  <c r="M1207" i="2"/>
  <c r="M1191" i="2"/>
  <c r="M1018" i="2"/>
  <c r="M1002" i="2"/>
  <c r="M786" i="2"/>
  <c r="M706" i="2"/>
  <c r="K23" i="2"/>
  <c r="M1221" i="2"/>
  <c r="M1145" i="2"/>
  <c r="M1033" i="2"/>
  <c r="M840" i="2"/>
  <c r="M869" i="2"/>
  <c r="M853" i="2"/>
  <c r="M737" i="2"/>
  <c r="M616" i="2"/>
  <c r="M532" i="2"/>
  <c r="M496" i="2"/>
  <c r="M420" i="2"/>
  <c r="M404" i="2"/>
  <c r="M631" i="2"/>
  <c r="M547" i="2"/>
  <c r="M386" i="2"/>
  <c r="M589" i="2"/>
  <c r="M573" i="2"/>
  <c r="M517" i="2"/>
  <c r="M481" i="2"/>
  <c r="M280" i="2"/>
  <c r="M96" i="2"/>
  <c r="M67" i="2"/>
  <c r="M3" i="2"/>
  <c r="M294" i="2"/>
  <c r="M254" i="2"/>
  <c r="M242" i="2"/>
  <c r="M218" i="2"/>
  <c r="M142" i="2"/>
  <c r="M309" i="2"/>
  <c r="M109" i="2"/>
  <c r="E7" i="1"/>
  <c r="E31" i="1"/>
  <c r="E23" i="1"/>
  <c r="E15" i="1"/>
  <c r="E28" i="1"/>
  <c r="E20" i="1"/>
  <c r="E12" i="1"/>
  <c r="E4" i="1"/>
  <c r="E27" i="1"/>
  <c r="E19" i="1"/>
  <c r="E11" i="1"/>
  <c r="E3" i="1"/>
  <c r="E24" i="1"/>
  <c r="E16" i="1"/>
  <c r="E8" i="1"/>
  <c r="E30" i="1"/>
  <c r="E26" i="1"/>
  <c r="E22" i="1"/>
  <c r="E18" i="1"/>
  <c r="E14" i="1"/>
  <c r="E10" i="1"/>
  <c r="E6" i="1"/>
  <c r="E2" i="1"/>
  <c r="E29" i="1"/>
  <c r="E25" i="1"/>
  <c r="E21" i="1"/>
  <c r="E17" i="1"/>
  <c r="E13" i="1"/>
  <c r="E9" i="1"/>
  <c r="B4" i="4"/>
  <c r="C4" i="4"/>
  <c r="C12" i="4" s="1"/>
  <c r="F27" i="1"/>
  <c r="F24" i="1"/>
  <c r="F20" i="1"/>
  <c r="F15" i="1"/>
  <c r="F13" i="1"/>
  <c r="F8" i="1"/>
  <c r="F5" i="1"/>
  <c r="F31" i="1"/>
  <c r="F28" i="1"/>
  <c r="F21" i="1"/>
  <c r="F19" i="1"/>
  <c r="F11" i="1"/>
  <c r="F12" i="1"/>
  <c r="F7" i="1"/>
  <c r="F4" i="1"/>
  <c r="F30" i="1"/>
  <c r="F25" i="1"/>
  <c r="F23" i="1"/>
  <c r="F18" i="1"/>
  <c r="F14" i="1"/>
  <c r="F9" i="1"/>
  <c r="F6" i="1"/>
  <c r="F2" i="1"/>
  <c r="F29" i="1"/>
  <c r="F26" i="1"/>
  <c r="F22" i="1"/>
  <c r="F16" i="1"/>
  <c r="F17" i="1"/>
  <c r="F10" i="1"/>
  <c r="D1232" i="2" l="1"/>
  <c r="W1232" i="2"/>
  <c r="B12" i="4"/>
  <c r="D4" i="4"/>
  <c r="K570" i="2"/>
  <c r="K1037" i="2"/>
  <c r="K863" i="2"/>
  <c r="K639" i="2"/>
  <c r="K591" i="2"/>
  <c r="K1162" i="2"/>
  <c r="K278" i="2"/>
  <c r="K1225" i="2"/>
  <c r="K896" i="2"/>
  <c r="K624" i="2"/>
  <c r="K496" i="2"/>
  <c r="Y496" i="2" s="1"/>
  <c r="K1014" i="2"/>
  <c r="K998" i="2"/>
  <c r="K770" i="2"/>
  <c r="K754" i="2"/>
  <c r="K1148" i="2"/>
  <c r="K839" i="2"/>
  <c r="K1202" i="2"/>
  <c r="K1170" i="2"/>
  <c r="K1026" i="2"/>
  <c r="K1131" i="2"/>
  <c r="K1115" i="2"/>
  <c r="K718" i="2"/>
  <c r="K398" i="2"/>
  <c r="M1084" i="2"/>
  <c r="K693" i="2"/>
  <c r="K227" i="2"/>
  <c r="K468" i="2"/>
  <c r="K436" i="2"/>
  <c r="K415" i="2"/>
  <c r="K207" i="2"/>
  <c r="K191" i="2"/>
  <c r="K6" i="2"/>
  <c r="K349" i="2"/>
  <c r="K109" i="2"/>
  <c r="Y109" i="2" s="1"/>
  <c r="K448" i="2"/>
  <c r="K160" i="2"/>
  <c r="K64" i="2"/>
  <c r="M1214" i="2"/>
  <c r="K37" i="2"/>
  <c r="K489" i="2"/>
  <c r="M1098" i="2"/>
  <c r="K151" i="2"/>
  <c r="M734" i="2"/>
  <c r="M1181" i="2"/>
  <c r="M1069" i="2"/>
  <c r="M1053" i="2"/>
  <c r="Y1053" i="2" s="1"/>
  <c r="M823" i="2"/>
  <c r="M662" i="2"/>
  <c r="M885" i="2"/>
  <c r="M178" i="2"/>
  <c r="M89" i="2"/>
  <c r="M73" i="2"/>
  <c r="M868" i="2"/>
  <c r="M947" i="2"/>
  <c r="M929" i="2"/>
  <c r="M721" i="2"/>
  <c r="M555" i="2"/>
  <c r="M523" i="2"/>
  <c r="M474" i="2"/>
  <c r="M362" i="2"/>
  <c r="M609" i="2"/>
  <c r="M341" i="2"/>
  <c r="M325" i="2"/>
  <c r="M293" i="2"/>
  <c r="K103" i="2"/>
  <c r="M975" i="2"/>
  <c r="M911" i="2"/>
  <c r="M686" i="2"/>
  <c r="M781" i="2"/>
  <c r="M376" i="2"/>
  <c r="M407" i="2"/>
  <c r="M216" i="2"/>
  <c r="M247" i="2"/>
  <c r="M796" i="2"/>
  <c r="M811" i="2"/>
  <c r="M969" i="2"/>
  <c r="M644" i="2"/>
  <c r="M537" i="2"/>
  <c r="M308" i="2"/>
  <c r="M20" i="2"/>
  <c r="M269" i="2"/>
  <c r="K1102" i="2"/>
  <c r="K1127" i="2"/>
  <c r="K826" i="2"/>
  <c r="K442" i="2"/>
  <c r="K996" i="2"/>
  <c r="K756" i="2"/>
  <c r="K719" i="2"/>
  <c r="K1018" i="2"/>
  <c r="Y1018" i="2" s="1"/>
  <c r="K1155" i="2"/>
  <c r="K934" i="2"/>
  <c r="K598" i="2"/>
  <c r="K582" i="2"/>
  <c r="K811" i="2"/>
  <c r="K1205" i="2"/>
  <c r="K1138" i="2"/>
  <c r="K782" i="2"/>
  <c r="K510" i="2"/>
  <c r="K968" i="2"/>
  <c r="K696" i="2"/>
  <c r="K1027" i="2"/>
  <c r="K723" i="2"/>
  <c r="K563" i="2"/>
  <c r="K94" i="2"/>
  <c r="K424" i="2"/>
  <c r="K339" i="2"/>
  <c r="K29" i="2"/>
  <c r="M1051" i="2"/>
  <c r="M1192" i="2"/>
  <c r="M1064" i="2"/>
  <c r="K369" i="2"/>
  <c r="K321" i="2"/>
  <c r="K289" i="2"/>
  <c r="K148" i="2"/>
  <c r="M982" i="2"/>
  <c r="M902" i="2"/>
  <c r="K605" i="2"/>
  <c r="K301" i="2"/>
  <c r="K144" i="2"/>
  <c r="K53" i="2"/>
  <c r="K21" i="2"/>
  <c r="K615" i="2"/>
  <c r="K633" i="2"/>
  <c r="K521" i="2"/>
  <c r="K281" i="2"/>
  <c r="K265" i="2"/>
  <c r="K204" i="2"/>
  <c r="M798" i="2"/>
  <c r="M1229" i="2"/>
  <c r="M1117" i="2"/>
  <c r="M855" i="2"/>
  <c r="M469" i="2"/>
  <c r="M453" i="2"/>
  <c r="M191" i="2"/>
  <c r="M114" i="2"/>
  <c r="M1177" i="2"/>
  <c r="M1081" i="2"/>
  <c r="M740" i="2"/>
  <c r="M915" i="2"/>
  <c r="M753" i="2"/>
  <c r="M380" i="2"/>
  <c r="M395" i="2"/>
  <c r="M410" i="2"/>
  <c r="M353" i="2"/>
  <c r="M235" i="2"/>
  <c r="M11" i="2"/>
  <c r="M222" i="2"/>
  <c r="M85" i="2"/>
  <c r="M959" i="2"/>
  <c r="M943" i="2"/>
  <c r="M845" i="2"/>
  <c r="M664" i="2"/>
  <c r="Y664" i="2" s="1"/>
  <c r="M535" i="2"/>
  <c r="M550" i="2"/>
  <c r="M330" i="2"/>
  <c r="M250" i="2"/>
  <c r="M873" i="2"/>
  <c r="M676" i="2"/>
  <c r="M483" i="2"/>
  <c r="M649" i="2"/>
  <c r="M166" i="2"/>
  <c r="M70" i="2"/>
  <c r="M125" i="2"/>
  <c r="K1006" i="2"/>
  <c r="K922" i="2"/>
  <c r="K1092" i="2"/>
  <c r="Y1092" i="2" s="1"/>
  <c r="K724" i="2"/>
  <c r="K911" i="2"/>
  <c r="K735" i="2"/>
  <c r="K703" i="2"/>
  <c r="K1146" i="2"/>
  <c r="K1072" i="2"/>
  <c r="K752" i="2"/>
  <c r="K875" i="2"/>
  <c r="K594" i="2"/>
  <c r="K821" i="2"/>
  <c r="K1100" i="2"/>
  <c r="K860" i="2"/>
  <c r="K636" i="2"/>
  <c r="K1015" i="2"/>
  <c r="K759" i="2"/>
  <c r="K711" i="2"/>
  <c r="K1163" i="2"/>
  <c r="K526" i="2"/>
  <c r="K1057" i="2"/>
  <c r="K584" i="2"/>
  <c r="K547" i="2"/>
  <c r="Y547" i="2" s="1"/>
  <c r="K533" i="2"/>
  <c r="K469" i="2"/>
  <c r="K200" i="2"/>
  <c r="K136" i="2"/>
  <c r="K371" i="2"/>
  <c r="K243" i="2"/>
  <c r="K163" i="2"/>
  <c r="M1131" i="2"/>
  <c r="M1035" i="2"/>
  <c r="K433" i="2"/>
  <c r="K276" i="2"/>
  <c r="K223" i="2"/>
  <c r="K507" i="2"/>
  <c r="K32" i="2"/>
  <c r="M1171" i="2"/>
  <c r="M994" i="2"/>
  <c r="M978" i="2"/>
  <c r="M962" i="2"/>
  <c r="K178" i="2"/>
  <c r="M1200" i="2"/>
  <c r="K473" i="2"/>
  <c r="K313" i="2"/>
  <c r="K153" i="2"/>
  <c r="M1114" i="2"/>
  <c r="M773" i="2"/>
  <c r="M352" i="2"/>
  <c r="Y352" i="2" s="1"/>
  <c r="M255" i="2"/>
  <c r="M281" i="2"/>
  <c r="M1225" i="2"/>
  <c r="M788" i="2"/>
  <c r="M658" i="2"/>
  <c r="M490" i="2"/>
  <c r="M378" i="2"/>
  <c r="M449" i="2"/>
  <c r="M188" i="2"/>
  <c r="M91" i="2"/>
  <c r="M75" i="2"/>
  <c r="M687" i="2"/>
  <c r="M941" i="2"/>
  <c r="M893" i="2"/>
  <c r="M408" i="2"/>
  <c r="M647" i="2"/>
  <c r="M423" i="2"/>
  <c r="M232" i="2"/>
  <c r="M104" i="2"/>
  <c r="M8" i="2"/>
  <c r="M295" i="2"/>
  <c r="M39" i="2"/>
  <c r="M802" i="2"/>
  <c r="Y802" i="2" s="1"/>
  <c r="K51" i="2"/>
  <c r="M1185" i="2"/>
  <c r="M843" i="2"/>
  <c r="M564" i="2"/>
  <c r="M611" i="2"/>
  <c r="M393" i="2"/>
  <c r="M333" i="2"/>
  <c r="M317" i="2"/>
  <c r="M61" i="2"/>
  <c r="K746" i="2"/>
  <c r="K1140" i="2"/>
  <c r="K1124" i="2"/>
  <c r="K964" i="2"/>
  <c r="K694" i="2"/>
  <c r="K662" i="2"/>
  <c r="K326" i="2"/>
  <c r="K1008" i="2"/>
  <c r="K864" i="2"/>
  <c r="K592" i="2"/>
  <c r="K747" i="2"/>
  <c r="K690" i="2"/>
  <c r="K1221" i="2"/>
  <c r="Y1221" i="2" s="1"/>
  <c r="K1173" i="2"/>
  <c r="K846" i="2"/>
  <c r="K993" i="2"/>
  <c r="K785" i="2"/>
  <c r="K776" i="2"/>
  <c r="K947" i="2"/>
  <c r="K803" i="2"/>
  <c r="K603" i="2"/>
  <c r="K419" i="2"/>
  <c r="K453" i="2"/>
  <c r="K264" i="2"/>
  <c r="K56" i="2"/>
  <c r="M1110" i="2"/>
  <c r="K291" i="2"/>
  <c r="K543" i="2"/>
  <c r="K218" i="2"/>
  <c r="Y218" i="2" s="1"/>
  <c r="K138" i="2"/>
  <c r="K26" i="2"/>
  <c r="M1096" i="2"/>
  <c r="K401" i="2"/>
  <c r="K367" i="2"/>
  <c r="K143" i="2"/>
  <c r="K41" i="2"/>
  <c r="M1079" i="2"/>
  <c r="M1054" i="2"/>
  <c r="M930" i="2"/>
  <c r="M1184" i="2"/>
  <c r="K441" i="2"/>
  <c r="K121" i="2"/>
  <c r="K396" i="2"/>
  <c r="K268" i="2"/>
  <c r="M1146" i="2"/>
  <c r="K375" i="2"/>
  <c r="K295" i="2"/>
  <c r="K49" i="2"/>
  <c r="M1215" i="2"/>
  <c r="M1199" i="2"/>
  <c r="M1039" i="2"/>
  <c r="M1023" i="2"/>
  <c r="M990" i="2"/>
  <c r="M878" i="2"/>
  <c r="M575" i="2"/>
  <c r="M511" i="2"/>
  <c r="M526" i="2"/>
  <c r="M249" i="2"/>
  <c r="M833" i="2"/>
  <c r="M475" i="2"/>
  <c r="M458" i="2"/>
  <c r="M625" i="2"/>
  <c r="M155" i="2"/>
  <c r="M181" i="2"/>
  <c r="M726" i="2"/>
  <c r="M912" i="2"/>
  <c r="M646" i="2"/>
  <c r="M358" i="2"/>
  <c r="M342" i="2"/>
  <c r="M311" i="2"/>
  <c r="M231" i="2"/>
  <c r="Y231" i="2" s="1"/>
  <c r="M103" i="2"/>
  <c r="Y103" i="2" s="1"/>
  <c r="M7" i="2"/>
  <c r="M90" i="2"/>
  <c r="M74" i="2"/>
  <c r="Y74" i="2" s="1"/>
  <c r="M892" i="2"/>
  <c r="M548" i="2"/>
  <c r="M563" i="2"/>
  <c r="Y563" i="2" s="1"/>
  <c r="M610" i="2"/>
  <c r="M489" i="2"/>
  <c r="M196" i="2"/>
  <c r="M211" i="2"/>
  <c r="K1200" i="2"/>
  <c r="K1229" i="2"/>
  <c r="K1133" i="2"/>
  <c r="K925" i="2"/>
  <c r="K820" i="2"/>
  <c r="K954" i="2"/>
  <c r="K1081" i="2"/>
  <c r="K1001" i="2"/>
  <c r="K720" i="2"/>
  <c r="K576" i="2"/>
  <c r="K512" i="2"/>
  <c r="K827" i="2"/>
  <c r="K1183" i="2"/>
  <c r="K610" i="2"/>
  <c r="K1061" i="2"/>
  <c r="K901" i="2"/>
  <c r="K757" i="2"/>
  <c r="K1052" i="2"/>
  <c r="K1099" i="2"/>
  <c r="K414" i="2"/>
  <c r="K707" i="2"/>
  <c r="K14" i="2"/>
  <c r="K376" i="2"/>
  <c r="K344" i="2"/>
  <c r="M1206" i="2"/>
  <c r="K115" i="2"/>
  <c r="K559" i="2"/>
  <c r="K58" i="2"/>
  <c r="K177" i="2"/>
  <c r="K324" i="2"/>
  <c r="K244" i="2"/>
  <c r="K164" i="2"/>
  <c r="K132" i="2"/>
  <c r="K399" i="2"/>
  <c r="K262" i="2"/>
  <c r="K589" i="2"/>
  <c r="Y589" i="2" s="1"/>
  <c r="K493" i="2"/>
  <c r="K128" i="2"/>
  <c r="K283" i="2"/>
  <c r="K267" i="2"/>
  <c r="M1123" i="2"/>
  <c r="M1107" i="2"/>
  <c r="M1168" i="2"/>
  <c r="M976" i="2"/>
  <c r="K601" i="2"/>
  <c r="K97" i="2"/>
  <c r="M1007" i="2"/>
  <c r="M1038" i="2"/>
  <c r="M1022" i="2"/>
  <c r="M750" i="2"/>
  <c r="M839" i="2"/>
  <c r="M480" i="2"/>
  <c r="M464" i="2"/>
  <c r="M447" i="2"/>
  <c r="Y447" i="2" s="1"/>
  <c r="M357" i="2"/>
  <c r="M48" i="2"/>
  <c r="M146" i="2"/>
  <c r="M217" i="2"/>
  <c r="M201" i="2"/>
  <c r="M185" i="2"/>
  <c r="M852" i="2"/>
  <c r="M771" i="2"/>
  <c r="M961" i="2"/>
  <c r="M801" i="2"/>
  <c r="M785" i="2"/>
  <c r="M539" i="2"/>
  <c r="M657" i="2"/>
  <c r="M433" i="2"/>
  <c r="M316" i="2"/>
  <c r="M229" i="2"/>
  <c r="M21" i="2"/>
  <c r="M736" i="2"/>
  <c r="M630" i="2"/>
  <c r="M669" i="2"/>
  <c r="M525" i="2"/>
  <c r="M81" i="2"/>
  <c r="M876" i="2"/>
  <c r="M939" i="2"/>
  <c r="M891" i="2"/>
  <c r="M403" i="2"/>
  <c r="M36" i="2"/>
  <c r="M301" i="2"/>
  <c r="K1054" i="2"/>
  <c r="K778" i="2"/>
  <c r="K666" i="2"/>
  <c r="K506" i="2"/>
  <c r="K458" i="2"/>
  <c r="K394" i="2"/>
  <c r="K1069" i="2"/>
  <c r="K957" i="2"/>
  <c r="K1017" i="2"/>
  <c r="K809" i="2"/>
  <c r="K656" i="2"/>
  <c r="K706" i="2"/>
  <c r="Y706" i="2" s="1"/>
  <c r="K482" i="2"/>
  <c r="K1125" i="2"/>
  <c r="K853" i="2"/>
  <c r="Y853" i="2" s="1"/>
  <c r="K741" i="2"/>
  <c r="K999" i="2"/>
  <c r="K962" i="2"/>
  <c r="K1195" i="2"/>
  <c r="K830" i="2"/>
  <c r="K766" i="2"/>
  <c r="K913" i="2"/>
  <c r="K920" i="2"/>
  <c r="K792" i="2"/>
  <c r="M940" i="2"/>
  <c r="K677" i="2"/>
  <c r="K261" i="2"/>
  <c r="K229" i="2"/>
  <c r="K248" i="2"/>
  <c r="K216" i="2"/>
  <c r="K184" i="2"/>
  <c r="M1034" i="2"/>
  <c r="M1224" i="2"/>
  <c r="M1208" i="2"/>
  <c r="K497" i="2"/>
  <c r="M1170" i="2"/>
  <c r="Y1170" i="2" s="1"/>
  <c r="K287" i="2"/>
  <c r="M1095" i="2"/>
  <c r="M1140" i="2"/>
  <c r="K413" i="2"/>
  <c r="M1010" i="2"/>
  <c r="M898" i="2"/>
  <c r="K551" i="2"/>
  <c r="K137" i="2"/>
  <c r="K380" i="2"/>
  <c r="K124" i="2"/>
  <c r="K279" i="2"/>
  <c r="K17" i="2"/>
  <c r="M1085" i="2"/>
  <c r="M744" i="2"/>
  <c r="Y744" i="2" s="1"/>
  <c r="M448" i="2"/>
  <c r="M351" i="2"/>
  <c r="M638" i="2"/>
  <c r="M533" i="2"/>
  <c r="M111" i="2"/>
  <c r="M842" i="2"/>
  <c r="K75" i="2"/>
  <c r="M1113" i="2"/>
  <c r="M1049" i="2"/>
  <c r="M977" i="2"/>
  <c r="M603" i="2"/>
  <c r="Y603" i="2" s="1"/>
  <c r="M618" i="2"/>
  <c r="M60" i="2"/>
  <c r="M203" i="2"/>
  <c r="M187" i="2"/>
  <c r="M302" i="2"/>
  <c r="M149" i="2"/>
  <c r="K87" i="2"/>
  <c r="M877" i="2"/>
  <c r="M861" i="2"/>
  <c r="M440" i="2"/>
  <c r="M519" i="2"/>
  <c r="M582" i="2"/>
  <c r="M422" i="2"/>
  <c r="M365" i="2"/>
  <c r="M327" i="2"/>
  <c r="Y327" i="2" s="1"/>
  <c r="M97" i="2"/>
  <c r="M562" i="2"/>
  <c r="M466" i="2"/>
  <c r="M163" i="2"/>
  <c r="M38" i="2"/>
  <c r="M45" i="2"/>
  <c r="K1150" i="2"/>
  <c r="K794" i="2"/>
  <c r="K330" i="2"/>
  <c r="K1021" i="2"/>
  <c r="K932" i="2"/>
  <c r="K708" i="2"/>
  <c r="K799" i="2"/>
  <c r="K970" i="2"/>
  <c r="K310" i="2"/>
  <c r="K912" i="2"/>
  <c r="K816" i="2"/>
  <c r="K1190" i="2"/>
  <c r="K1174" i="2"/>
  <c r="K866" i="2"/>
  <c r="K578" i="2"/>
  <c r="K940" i="2"/>
  <c r="K876" i="2"/>
  <c r="K823" i="2"/>
  <c r="K1042" i="2"/>
  <c r="K382" i="2"/>
  <c r="K849" i="2"/>
  <c r="K952" i="2"/>
  <c r="Y952" i="2" s="1"/>
  <c r="K680" i="2"/>
  <c r="K213" i="2"/>
  <c r="K117" i="2"/>
  <c r="K488" i="2"/>
  <c r="K360" i="2"/>
  <c r="M986" i="2"/>
  <c r="M1112" i="2"/>
  <c r="K593" i="2"/>
  <c r="M1218" i="2"/>
  <c r="M1127" i="2"/>
  <c r="Y1127" i="2" s="1"/>
  <c r="K459" i="2"/>
  <c r="K150" i="2"/>
  <c r="K134" i="2"/>
  <c r="M1204" i="2"/>
  <c r="M1060" i="2"/>
  <c r="K205" i="2"/>
  <c r="K256" i="2"/>
  <c r="K16" i="2"/>
  <c r="M1166" i="2"/>
  <c r="K439" i="2"/>
  <c r="K423" i="2"/>
  <c r="K66" i="2"/>
  <c r="K409" i="2"/>
  <c r="K297" i="2"/>
  <c r="K185" i="2"/>
  <c r="K28" i="2"/>
  <c r="M766" i="2"/>
  <c r="M696" i="2"/>
  <c r="M494" i="2"/>
  <c r="M581" i="2"/>
  <c r="M160" i="2"/>
  <c r="Y160" i="2" s="1"/>
  <c r="M175" i="2"/>
  <c r="Y175" i="2" s="1"/>
  <c r="M338" i="2"/>
  <c r="M226" i="2"/>
  <c r="M57" i="2"/>
  <c r="M883" i="2"/>
  <c r="M835" i="2"/>
  <c r="M897" i="2"/>
  <c r="M652" i="2"/>
  <c r="M443" i="2"/>
  <c r="M522" i="2"/>
  <c r="M545" i="2"/>
  <c r="M284" i="2"/>
  <c r="M267" i="2"/>
  <c r="M5" i="2"/>
  <c r="M1045" i="2"/>
  <c r="M720" i="2"/>
  <c r="Y720" i="2" s="1"/>
  <c r="M1005" i="2"/>
  <c r="M614" i="2"/>
  <c r="M390" i="2"/>
  <c r="M88" i="2"/>
  <c r="M122" i="2"/>
  <c r="M1089" i="2"/>
  <c r="M1073" i="2"/>
  <c r="M747" i="2"/>
  <c r="Y747" i="2" s="1"/>
  <c r="M731" i="2"/>
  <c r="M628" i="2"/>
  <c r="M681" i="2"/>
  <c r="M553" i="2"/>
  <c r="M473" i="2"/>
  <c r="K538" i="2"/>
  <c r="K1181" i="2"/>
  <c r="K861" i="2"/>
  <c r="K845" i="2"/>
  <c r="K655" i="2"/>
  <c r="K1212" i="2"/>
  <c r="K825" i="2"/>
  <c r="K793" i="2"/>
  <c r="K1056" i="2"/>
  <c r="K1035" i="2"/>
  <c r="K667" i="2"/>
  <c r="K1231" i="2"/>
  <c r="K1135" i="2"/>
  <c r="K914" i="2"/>
  <c r="K818" i="2"/>
  <c r="K773" i="2"/>
  <c r="K700" i="2"/>
  <c r="K604" i="2"/>
  <c r="K679" i="2"/>
  <c r="K878" i="2"/>
  <c r="K801" i="2"/>
  <c r="K963" i="2"/>
  <c r="K78" i="2"/>
  <c r="K421" i="2"/>
  <c r="K389" i="2"/>
  <c r="K245" i="2"/>
  <c r="K181" i="2"/>
  <c r="K133" i="2"/>
  <c r="K440" i="2"/>
  <c r="K312" i="2"/>
  <c r="K168" i="2"/>
  <c r="K40" i="2"/>
  <c r="M1195" i="2"/>
  <c r="M1163" i="2"/>
  <c r="Y1163" i="2" s="1"/>
  <c r="K319" i="2"/>
  <c r="K214" i="2"/>
  <c r="K509" i="2"/>
  <c r="K269" i="2"/>
  <c r="M1043" i="2"/>
  <c r="K455" i="2"/>
  <c r="K226" i="2"/>
  <c r="K18" i="2"/>
  <c r="M1120" i="2"/>
  <c r="Y1120" i="2" s="1"/>
  <c r="M1072" i="2"/>
  <c r="M960" i="2"/>
  <c r="K332" i="2"/>
  <c r="M1087" i="2"/>
  <c r="M718" i="2"/>
  <c r="Y718" i="2" s="1"/>
  <c r="M1101" i="2"/>
  <c r="M904" i="2"/>
  <c r="M728" i="2"/>
  <c r="M1013" i="2"/>
  <c r="M997" i="2"/>
  <c r="M592" i="2"/>
  <c r="Y592" i="2" s="1"/>
  <c r="M560" i="2"/>
  <c r="M382" i="2"/>
  <c r="M501" i="2"/>
  <c r="M485" i="2"/>
  <c r="M128" i="2"/>
  <c r="M207" i="2"/>
  <c r="Y207" i="2" s="1"/>
  <c r="M290" i="2"/>
  <c r="M265" i="2"/>
  <c r="M945" i="2"/>
  <c r="M412" i="2"/>
  <c r="M641" i="2"/>
  <c r="M577" i="2"/>
  <c r="M529" i="2"/>
  <c r="M1173" i="2"/>
  <c r="M927" i="2"/>
  <c r="M461" i="2"/>
  <c r="M152" i="2"/>
  <c r="M87" i="2"/>
  <c r="Y87" i="2" s="1"/>
  <c r="M55" i="2"/>
  <c r="K3" i="2"/>
  <c r="Y3" i="2" s="1"/>
  <c r="M1153" i="2"/>
  <c r="M763" i="2"/>
  <c r="M985" i="2"/>
  <c r="Y985" i="2" s="1"/>
  <c r="M745" i="2"/>
  <c r="M627" i="2"/>
  <c r="M354" i="2"/>
  <c r="M116" i="2"/>
  <c r="M35" i="2"/>
  <c r="K1214" i="2"/>
  <c r="K1111" i="2"/>
  <c r="K890" i="2"/>
  <c r="K810" i="2"/>
  <c r="K362" i="2"/>
  <c r="K314" i="2"/>
  <c r="K900" i="2"/>
  <c r="K783" i="2"/>
  <c r="K1228" i="2"/>
  <c r="K726" i="2"/>
  <c r="K710" i="2"/>
  <c r="K422" i="2"/>
  <c r="K763" i="2"/>
  <c r="K1158" i="2"/>
  <c r="K1078" i="2"/>
  <c r="K466" i="2"/>
  <c r="K805" i="2"/>
  <c r="K1047" i="2"/>
  <c r="K663" i="2"/>
  <c r="K1147" i="2"/>
  <c r="K558" i="2"/>
  <c r="K1169" i="2"/>
  <c r="K1128" i="2"/>
  <c r="K984" i="2"/>
  <c r="K856" i="2"/>
  <c r="K46" i="2"/>
  <c r="K517" i="2"/>
  <c r="Y517" i="2" s="1"/>
  <c r="K104" i="2"/>
  <c r="K88" i="2"/>
  <c r="M1062" i="2"/>
  <c r="K323" i="2"/>
  <c r="M970" i="2"/>
  <c r="Y970" i="2" s="1"/>
  <c r="M938" i="2"/>
  <c r="K10" i="2"/>
  <c r="M1032" i="2"/>
  <c r="K641" i="2"/>
  <c r="K625" i="2"/>
  <c r="K353" i="2"/>
  <c r="K337" i="2"/>
  <c r="K225" i="2"/>
  <c r="K145" i="2"/>
  <c r="M1198" i="2"/>
  <c r="M1182" i="2"/>
  <c r="K69" i="2"/>
  <c r="M1091" i="2"/>
  <c r="K300" i="2"/>
  <c r="K252" i="2"/>
  <c r="K81" i="2"/>
  <c r="M824" i="2"/>
  <c r="Y824" i="2" s="1"/>
  <c r="M951" i="2"/>
  <c r="M656" i="2"/>
  <c r="M495" i="2"/>
  <c r="M479" i="2"/>
  <c r="M415" i="2"/>
  <c r="Y415" i="2" s="1"/>
  <c r="M446" i="2"/>
  <c r="M210" i="2"/>
  <c r="M691" i="2"/>
  <c r="M675" i="2"/>
  <c r="M993" i="2"/>
  <c r="M588" i="2"/>
  <c r="M524" i="2"/>
  <c r="M538" i="2"/>
  <c r="M385" i="2"/>
  <c r="M286" i="2"/>
  <c r="M270" i="2"/>
  <c r="M30" i="2"/>
  <c r="M838" i="2"/>
  <c r="M735" i="2"/>
  <c r="M749" i="2"/>
  <c r="M615" i="2"/>
  <c r="M161" i="2"/>
  <c r="M770" i="2"/>
  <c r="M875" i="2"/>
  <c r="M859" i="2"/>
  <c r="M1017" i="2"/>
  <c r="Y1017" i="2" s="1"/>
  <c r="M921" i="2"/>
  <c r="M402" i="2"/>
  <c r="M228" i="2"/>
  <c r="M132" i="2"/>
  <c r="M195" i="2"/>
  <c r="M179" i="2"/>
  <c r="M118" i="2"/>
  <c r="Y118" i="2" s="1"/>
  <c r="K1166" i="2"/>
  <c r="K586" i="2"/>
  <c r="K378" i="2"/>
  <c r="K1197" i="2"/>
  <c r="K1101" i="2"/>
  <c r="K797" i="2"/>
  <c r="K1039" i="2"/>
  <c r="K1034" i="2"/>
  <c r="K566" i="2"/>
  <c r="K1209" i="2"/>
  <c r="K923" i="2"/>
  <c r="K779" i="2"/>
  <c r="K1062" i="2"/>
  <c r="K982" i="2"/>
  <c r="K834" i="2"/>
  <c r="K546" i="2"/>
  <c r="K988" i="2"/>
  <c r="K1122" i="2"/>
  <c r="K910" i="2"/>
  <c r="K961" i="2"/>
  <c r="K897" i="2"/>
  <c r="K760" i="2"/>
  <c r="K616" i="2"/>
  <c r="Y616" i="2" s="1"/>
  <c r="K504" i="2"/>
  <c r="K1075" i="2"/>
  <c r="K787" i="2"/>
  <c r="M1180" i="2"/>
  <c r="M1083" i="2"/>
  <c r="K599" i="2"/>
  <c r="K579" i="2"/>
  <c r="M1144" i="2"/>
  <c r="M1016" i="2"/>
  <c r="K721" i="2"/>
  <c r="K673" i="2"/>
  <c r="K129" i="2"/>
  <c r="K25" i="2"/>
  <c r="K86" i="2"/>
  <c r="M1220" i="2"/>
  <c r="K285" i="2"/>
  <c r="K464" i="2"/>
  <c r="K315" i="2"/>
  <c r="K251" i="2"/>
  <c r="M1155" i="2"/>
  <c r="Y1155" i="2" s="1"/>
  <c r="K162" i="2"/>
  <c r="K425" i="2"/>
  <c r="K329" i="2"/>
  <c r="K263" i="2"/>
  <c r="M837" i="2"/>
  <c r="M432" i="2"/>
  <c r="M655" i="2"/>
  <c r="M47" i="2"/>
  <c r="M66" i="2"/>
  <c r="M2" i="2"/>
  <c r="M810" i="2"/>
  <c r="Y810" i="2" s="1"/>
  <c r="M714" i="2"/>
  <c r="M1129" i="2"/>
  <c r="M884" i="2"/>
  <c r="M867" i="2"/>
  <c r="M851" i="2"/>
  <c r="M348" i="2"/>
  <c r="M401" i="2"/>
  <c r="Y401" i="2" s="1"/>
  <c r="M733" i="2"/>
  <c r="M685" i="2"/>
  <c r="M488" i="2"/>
  <c r="Y488" i="2" s="1"/>
  <c r="M637" i="2"/>
  <c r="M445" i="2"/>
  <c r="M279" i="2"/>
  <c r="Y279" i="2" s="1"/>
  <c r="M215" i="2"/>
  <c r="M154" i="2"/>
  <c r="M177" i="2"/>
  <c r="M698" i="2"/>
  <c r="M1001" i="2"/>
  <c r="M937" i="2"/>
  <c r="M516" i="2"/>
  <c r="M340" i="2"/>
  <c r="M531" i="2"/>
  <c r="M371" i="2"/>
  <c r="M457" i="2"/>
  <c r="Y457" i="2" s="1"/>
  <c r="M227" i="2"/>
  <c r="Y227" i="2" s="1"/>
  <c r="M102" i="2"/>
  <c r="M141" i="2"/>
  <c r="M29" i="2"/>
  <c r="Y29" i="2" s="1"/>
  <c r="K973" i="2"/>
  <c r="K1226" i="2"/>
  <c r="K518" i="2"/>
  <c r="K1145" i="2"/>
  <c r="Y1145" i="2" s="1"/>
  <c r="K1113" i="2"/>
  <c r="K905" i="2"/>
  <c r="K784" i="2"/>
  <c r="K640" i="2"/>
  <c r="K1083" i="2"/>
  <c r="K1206" i="2"/>
  <c r="K1110" i="2"/>
  <c r="K1176" i="2"/>
  <c r="K850" i="2"/>
  <c r="K450" i="2"/>
  <c r="K306" i="2"/>
  <c r="K290" i="2"/>
  <c r="K1045" i="2"/>
  <c r="K949" i="2"/>
  <c r="K716" i="2"/>
  <c r="K668" i="2"/>
  <c r="K1031" i="2"/>
  <c r="K983" i="2"/>
  <c r="K951" i="2"/>
  <c r="K695" i="2"/>
  <c r="K366" i="2"/>
  <c r="K1137" i="2"/>
  <c r="K865" i="2"/>
  <c r="K995" i="2"/>
  <c r="M1196" i="2"/>
  <c r="K581" i="2"/>
  <c r="K565" i="2"/>
  <c r="K131" i="2"/>
  <c r="M1067" i="2"/>
  <c r="K431" i="2"/>
  <c r="K657" i="2"/>
  <c r="M1014" i="2"/>
  <c r="Y1014" i="2" s="1"/>
  <c r="M934" i="2"/>
  <c r="K523" i="2"/>
  <c r="M1028" i="2"/>
  <c r="K416" i="2"/>
  <c r="K272" i="2"/>
  <c r="K235" i="2"/>
  <c r="K85" i="2"/>
  <c r="M882" i="2"/>
  <c r="M1082" i="2"/>
  <c r="K167" i="2"/>
  <c r="K15" i="2"/>
  <c r="M1165" i="2"/>
  <c r="M808" i="2"/>
  <c r="M680" i="2"/>
  <c r="M919" i="2"/>
  <c r="M384" i="2"/>
  <c r="M399" i="2"/>
  <c r="M622" i="2"/>
  <c r="M606" i="2"/>
  <c r="M208" i="2"/>
  <c r="M79" i="2"/>
  <c r="M746" i="2"/>
  <c r="M730" i="2"/>
  <c r="M636" i="2"/>
  <c r="Y636" i="2" s="1"/>
  <c r="M174" i="2"/>
  <c r="M245" i="2"/>
  <c r="M117" i="2"/>
  <c r="K39" i="2"/>
  <c r="M895" i="2"/>
  <c r="Y895" i="2" s="1"/>
  <c r="M831" i="2"/>
  <c r="M765" i="2"/>
  <c r="M552" i="2"/>
  <c r="M472" i="2"/>
  <c r="M502" i="2"/>
  <c r="M486" i="2"/>
  <c r="M413" i="2"/>
  <c r="M337" i="2"/>
  <c r="M321" i="2"/>
  <c r="M193" i="2"/>
  <c r="M129" i="2"/>
  <c r="M65" i="2"/>
  <c r="M779" i="2"/>
  <c r="Y779" i="2" s="1"/>
  <c r="M580" i="2"/>
  <c r="M356" i="2"/>
  <c r="M260" i="2"/>
  <c r="M100" i="2"/>
  <c r="K1134" i="2"/>
  <c r="K1184" i="2"/>
  <c r="K938" i="2"/>
  <c r="K1076" i="2"/>
  <c r="Y1076" i="2" s="1"/>
  <c r="K1012" i="2"/>
  <c r="K960" i="2"/>
  <c r="K699" i="2"/>
  <c r="K1224" i="2"/>
  <c r="K1141" i="2"/>
  <c r="K725" i="2"/>
  <c r="K1036" i="2"/>
  <c r="K524" i="2"/>
  <c r="K1095" i="2"/>
  <c r="K833" i="2"/>
  <c r="K840" i="2"/>
  <c r="Y840" i="2" s="1"/>
  <c r="K1043" i="2"/>
  <c r="K451" i="2"/>
  <c r="M1100" i="2"/>
  <c r="K437" i="2"/>
  <c r="K325" i="2"/>
  <c r="K355" i="2"/>
  <c r="K93" i="2"/>
  <c r="K13" i="2"/>
  <c r="M874" i="2"/>
  <c r="K647" i="2"/>
  <c r="M984" i="2"/>
  <c r="Y984" i="2" s="1"/>
  <c r="K705" i="2"/>
  <c r="K273" i="2"/>
  <c r="K484" i="2"/>
  <c r="K260" i="2"/>
  <c r="K303" i="2"/>
  <c r="K127" i="2"/>
  <c r="K246" i="2"/>
  <c r="K70" i="2"/>
  <c r="M996" i="2"/>
  <c r="Y996" i="2" s="1"/>
  <c r="K685" i="2"/>
  <c r="K669" i="2"/>
  <c r="K653" i="2"/>
  <c r="M1203" i="2"/>
  <c r="K50" i="2"/>
  <c r="K393" i="2"/>
  <c r="K377" i="2"/>
  <c r="K284" i="2"/>
  <c r="M1162" i="2"/>
  <c r="Y1162" i="2" s="1"/>
  <c r="K407" i="2"/>
  <c r="M1119" i="2"/>
  <c r="M856" i="2"/>
  <c r="Y856" i="2" s="1"/>
  <c r="M903" i="2"/>
  <c r="M807" i="2"/>
  <c r="M933" i="2"/>
  <c r="M576" i="2"/>
  <c r="M367" i="2"/>
  <c r="M224" i="2"/>
  <c r="M239" i="2"/>
  <c r="M34" i="2"/>
  <c r="M18" i="2"/>
  <c r="M121" i="2"/>
  <c r="M794" i="2"/>
  <c r="M762" i="2"/>
  <c r="Y762" i="2" s="1"/>
  <c r="K43" i="2"/>
  <c r="M1065" i="2"/>
  <c r="M819" i="2"/>
  <c r="M755" i="2"/>
  <c r="M428" i="2"/>
  <c r="M635" i="2"/>
  <c r="M507" i="2"/>
  <c r="M346" i="2"/>
  <c r="M973" i="2"/>
  <c r="M536" i="2"/>
  <c r="M599" i="2"/>
  <c r="M567" i="2"/>
  <c r="Y567" i="2" s="1"/>
  <c r="M551" i="2"/>
  <c r="M471" i="2"/>
  <c r="M184" i="2"/>
  <c r="M168" i="2"/>
  <c r="Y168" i="2" s="1"/>
  <c r="M199" i="2"/>
  <c r="M106" i="2"/>
  <c r="K83" i="2"/>
  <c r="M1217" i="2"/>
  <c r="M889" i="2"/>
  <c r="M777" i="2"/>
  <c r="M612" i="2"/>
  <c r="K1175" i="2"/>
  <c r="K813" i="2"/>
  <c r="K749" i="2"/>
  <c r="K884" i="2"/>
  <c r="K836" i="2"/>
  <c r="K1023" i="2"/>
  <c r="K607" i="2"/>
  <c r="K742" i="2"/>
  <c r="K534" i="2"/>
  <c r="K1193" i="2"/>
  <c r="K1065" i="2"/>
  <c r="K1033" i="2"/>
  <c r="Y1033" i="2" s="1"/>
  <c r="K761" i="2"/>
  <c r="K944" i="2"/>
  <c r="K704" i="2"/>
  <c r="K1218" i="2"/>
  <c r="K1106" i="2"/>
  <c r="K1058" i="2"/>
  <c r="K1010" i="2"/>
  <c r="K994" i="2"/>
  <c r="K1160" i="2"/>
  <c r="K1112" i="2"/>
  <c r="K632" i="2"/>
  <c r="K659" i="2"/>
  <c r="K499" i="2"/>
  <c r="M1148" i="2"/>
  <c r="M956" i="2"/>
  <c r="K277" i="2"/>
  <c r="K472" i="2"/>
  <c r="K250" i="2"/>
  <c r="M1080" i="2"/>
  <c r="K577" i="2"/>
  <c r="K356" i="2"/>
  <c r="K52" i="2"/>
  <c r="K36" i="2"/>
  <c r="K159" i="2"/>
  <c r="K89" i="2"/>
  <c r="M980" i="2"/>
  <c r="K480" i="2"/>
  <c r="K432" i="2"/>
  <c r="K368" i="2"/>
  <c r="K171" i="2"/>
  <c r="K503" i="2"/>
  <c r="K649" i="2"/>
  <c r="M1210" i="2"/>
  <c r="K391" i="2"/>
  <c r="M862" i="2"/>
  <c r="M1133" i="2"/>
  <c r="M789" i="2"/>
  <c r="M672" i="2"/>
  <c r="M565" i="2"/>
  <c r="Y565" i="2" s="1"/>
  <c r="M549" i="2"/>
  <c r="M31" i="2"/>
  <c r="M233" i="2"/>
  <c r="M9" i="2"/>
  <c r="M1097" i="2"/>
  <c r="M900" i="2"/>
  <c r="M708" i="2"/>
  <c r="Y708" i="2" s="1"/>
  <c r="M803" i="2"/>
  <c r="M913" i="2"/>
  <c r="Y913" i="2" s="1"/>
  <c r="M619" i="2"/>
  <c r="M204" i="2"/>
  <c r="M688" i="2"/>
  <c r="M879" i="2"/>
  <c r="M520" i="2"/>
  <c r="M343" i="2"/>
  <c r="M328" i="2"/>
  <c r="M312" i="2"/>
  <c r="Y312" i="2" s="1"/>
  <c r="M296" i="2"/>
  <c r="M136" i="2"/>
  <c r="M120" i="2"/>
  <c r="M263" i="2"/>
  <c r="M924" i="2"/>
  <c r="M971" i="2"/>
  <c r="M827" i="2"/>
  <c r="M595" i="2"/>
  <c r="M387" i="2"/>
  <c r="M450" i="2"/>
  <c r="Y450" i="2" s="1"/>
  <c r="M425" i="2"/>
  <c r="Y425" i="2" s="1"/>
  <c r="M68" i="2"/>
  <c r="M83" i="2"/>
  <c r="M189" i="2"/>
  <c r="Y189" i="2" s="1"/>
  <c r="K730" i="2"/>
  <c r="K346" i="2"/>
  <c r="K916" i="2"/>
  <c r="K628" i="2"/>
  <c r="K500" i="2"/>
  <c r="K1087" i="2"/>
  <c r="K1071" i="2"/>
  <c r="K943" i="2"/>
  <c r="K1066" i="2"/>
  <c r="K902" i="2"/>
  <c r="K358" i="2"/>
  <c r="K1049" i="2"/>
  <c r="K976" i="2"/>
  <c r="K987" i="2"/>
  <c r="K402" i="2"/>
  <c r="K386" i="2"/>
  <c r="Y386" i="2" s="1"/>
  <c r="K1132" i="2"/>
  <c r="K956" i="2"/>
  <c r="K844" i="2"/>
  <c r="K732" i="2"/>
  <c r="K556" i="2"/>
  <c r="K686" i="2"/>
  <c r="K670" i="2"/>
  <c r="K318" i="2"/>
  <c r="K1185" i="2"/>
  <c r="K712" i="2"/>
  <c r="K851" i="2"/>
  <c r="K174" i="2"/>
  <c r="M1116" i="2"/>
  <c r="M1004" i="2"/>
  <c r="K613" i="2"/>
  <c r="K549" i="2"/>
  <c r="K373" i="2"/>
  <c r="K72" i="2"/>
  <c r="M1227" i="2"/>
  <c r="M1099" i="2"/>
  <c r="M1019" i="2"/>
  <c r="K122" i="2"/>
  <c r="M1176" i="2"/>
  <c r="K241" i="2"/>
  <c r="K271" i="2"/>
  <c r="M1159" i="2"/>
  <c r="K477" i="2"/>
  <c r="K48" i="2"/>
  <c r="M1150" i="2"/>
  <c r="K2" i="2"/>
  <c r="K585" i="2"/>
  <c r="K505" i="2"/>
  <c r="K140" i="2"/>
  <c r="M872" i="2"/>
  <c r="M792" i="2"/>
  <c r="M776" i="2"/>
  <c r="M760" i="2"/>
  <c r="M887" i="2"/>
  <c r="M805" i="2"/>
  <c r="Y805" i="2" s="1"/>
  <c r="M640" i="2"/>
  <c r="M590" i="2"/>
  <c r="M288" i="2"/>
  <c r="M112" i="2"/>
  <c r="M32" i="2"/>
  <c r="Y32" i="2" s="1"/>
  <c r="M303" i="2"/>
  <c r="M258" i="2"/>
  <c r="M329" i="2"/>
  <c r="M931" i="2"/>
  <c r="Y931" i="2" s="1"/>
  <c r="M620" i="2"/>
  <c r="M571" i="2"/>
  <c r="M459" i="2"/>
  <c r="Y459" i="2" s="1"/>
  <c r="M442" i="2"/>
  <c r="Y442" i="2" s="1"/>
  <c r="M426" i="2"/>
  <c r="M92" i="2"/>
  <c r="M62" i="2"/>
  <c r="M197" i="2"/>
  <c r="M701" i="2"/>
  <c r="M534" i="2"/>
  <c r="M151" i="2"/>
  <c r="Y151" i="2" s="1"/>
  <c r="M234" i="2"/>
  <c r="M818" i="2"/>
  <c r="M1201" i="2"/>
  <c r="M660" i="2"/>
  <c r="M521" i="2"/>
  <c r="M212" i="2"/>
  <c r="M164" i="2"/>
  <c r="Y164" i="2" s="1"/>
  <c r="K1118" i="2"/>
  <c r="K1223" i="2"/>
  <c r="K1143" i="2"/>
  <c r="K842" i="2"/>
  <c r="K829" i="2"/>
  <c r="K1180" i="2"/>
  <c r="K1139" i="2"/>
  <c r="K630" i="2"/>
  <c r="K873" i="2"/>
  <c r="K1067" i="2"/>
  <c r="K683" i="2"/>
  <c r="K1046" i="2"/>
  <c r="K738" i="2"/>
  <c r="K418" i="2"/>
  <c r="K274" i="2"/>
  <c r="K997" i="2"/>
  <c r="K620" i="2"/>
  <c r="K572" i="2"/>
  <c r="K807" i="2"/>
  <c r="K743" i="2"/>
  <c r="K978" i="2"/>
  <c r="K542" i="2"/>
  <c r="K446" i="2"/>
  <c r="K1080" i="2"/>
  <c r="K883" i="2"/>
  <c r="K467" i="2"/>
  <c r="K254" i="2"/>
  <c r="Y254" i="2" s="1"/>
  <c r="K197" i="2"/>
  <c r="M1174" i="2"/>
  <c r="Y1174" i="2" s="1"/>
  <c r="M1015" i="2"/>
  <c r="M966" i="2"/>
  <c r="M950" i="2"/>
  <c r="K555" i="2"/>
  <c r="K102" i="2"/>
  <c r="K397" i="2"/>
  <c r="K240" i="2"/>
  <c r="K176" i="2"/>
  <c r="K299" i="2"/>
  <c r="K535" i="2"/>
  <c r="M1104" i="2"/>
  <c r="M1088" i="2"/>
  <c r="K249" i="2"/>
  <c r="K220" i="2"/>
  <c r="K156" i="2"/>
  <c r="K343" i="2"/>
  <c r="K33" i="2"/>
  <c r="M910" i="2"/>
  <c r="K79" i="2"/>
  <c r="M1213" i="2"/>
  <c r="M1197" i="2"/>
  <c r="Y1197" i="2" s="1"/>
  <c r="M712" i="2"/>
  <c r="M935" i="2"/>
  <c r="Y935" i="2" s="1"/>
  <c r="M695" i="2"/>
  <c r="M400" i="2"/>
  <c r="M607" i="2"/>
  <c r="Y607" i="2" s="1"/>
  <c r="M430" i="2"/>
  <c r="M80" i="2"/>
  <c r="M159" i="2"/>
  <c r="M15" i="2"/>
  <c r="Y15" i="2" s="1"/>
  <c r="M322" i="2"/>
  <c r="M130" i="2"/>
  <c r="M756" i="2"/>
  <c r="M769" i="2"/>
  <c r="M651" i="2"/>
  <c r="M593" i="2"/>
  <c r="M369" i="2"/>
  <c r="M283" i="2"/>
  <c r="Y283" i="2" s="1"/>
  <c r="M107" i="2"/>
  <c r="M43" i="2"/>
  <c r="M1029" i="2"/>
  <c r="M928" i="2"/>
  <c r="M896" i="2"/>
  <c r="M783" i="2"/>
  <c r="M509" i="2"/>
  <c r="M493" i="2"/>
  <c r="M477" i="2"/>
  <c r="M56" i="2"/>
  <c r="M305" i="2"/>
  <c r="M209" i="2"/>
  <c r="M666" i="2"/>
  <c r="M857" i="2"/>
  <c r="M642" i="2"/>
  <c r="K1159" i="2"/>
  <c r="K1149" i="2"/>
  <c r="K1028" i="2"/>
  <c r="K676" i="2"/>
  <c r="K580" i="2"/>
  <c r="K959" i="2"/>
  <c r="K751" i="2"/>
  <c r="K1178" i="2"/>
  <c r="K986" i="2"/>
  <c r="K806" i="2"/>
  <c r="K1097" i="2"/>
  <c r="K777" i="2"/>
  <c r="K992" i="2"/>
  <c r="K939" i="2"/>
  <c r="K786" i="2"/>
  <c r="Y786" i="2" s="1"/>
  <c r="K642" i="2"/>
  <c r="K498" i="2"/>
  <c r="K1189" i="2"/>
  <c r="K590" i="2"/>
  <c r="K817" i="2"/>
  <c r="K1059" i="2"/>
  <c r="K867" i="2"/>
  <c r="K739" i="2"/>
  <c r="K611" i="2"/>
  <c r="K531" i="2"/>
  <c r="K158" i="2"/>
  <c r="K293" i="2"/>
  <c r="K387" i="2"/>
  <c r="M890" i="2"/>
  <c r="Y890" i="2" s="1"/>
  <c r="K196" i="2"/>
  <c r="M1122" i="2"/>
  <c r="M1074" i="2"/>
  <c r="K57" i="2"/>
  <c r="M1030" i="2"/>
  <c r="K461" i="2"/>
  <c r="K173" i="2"/>
  <c r="K187" i="2"/>
  <c r="M1219" i="2"/>
  <c r="M1139" i="2"/>
  <c r="K210" i="2"/>
  <c r="K82" i="2"/>
  <c r="K444" i="2"/>
  <c r="K316" i="2"/>
  <c r="K236" i="2"/>
  <c r="K44" i="2"/>
  <c r="K119" i="2"/>
  <c r="M1006" i="2"/>
  <c r="Y1006" i="2" s="1"/>
  <c r="M920" i="2"/>
  <c r="M967" i="2"/>
  <c r="M624" i="2"/>
  <c r="Y624" i="2" s="1"/>
  <c r="M463" i="2"/>
  <c r="M431" i="2"/>
  <c r="Y431" i="2" s="1"/>
  <c r="M478" i="2"/>
  <c r="M414" i="2"/>
  <c r="Y414" i="2" s="1"/>
  <c r="M16" i="2"/>
  <c r="K107" i="2"/>
  <c r="M849" i="2"/>
  <c r="M347" i="2"/>
  <c r="M602" i="2"/>
  <c r="M554" i="2"/>
  <c r="M332" i="2"/>
  <c r="M268" i="2"/>
  <c r="M27" i="2"/>
  <c r="M94" i="2"/>
  <c r="M858" i="2"/>
  <c r="M1205" i="2"/>
  <c r="Y1205" i="2" s="1"/>
  <c r="M1061" i="2"/>
  <c r="M832" i="2"/>
  <c r="M503" i="2"/>
  <c r="Y503" i="2" s="1"/>
  <c r="M391" i="2"/>
  <c r="M653" i="2"/>
  <c r="M72" i="2"/>
  <c r="M907" i="2"/>
  <c r="Y907" i="2" s="1"/>
  <c r="M683" i="2"/>
  <c r="M713" i="2"/>
  <c r="M697" i="2"/>
  <c r="M515" i="2"/>
  <c r="M370" i="2"/>
  <c r="M569" i="2"/>
  <c r="M307" i="2"/>
  <c r="M131" i="2"/>
  <c r="M285" i="2"/>
  <c r="K1070" i="2"/>
  <c r="K1022" i="2"/>
  <c r="K958" i="2"/>
  <c r="K1168" i="2"/>
  <c r="K634" i="2"/>
  <c r="K554" i="2"/>
  <c r="K410" i="2"/>
  <c r="K767" i="2"/>
  <c r="K687" i="2"/>
  <c r="K623" i="2"/>
  <c r="K790" i="2"/>
  <c r="K470" i="2"/>
  <c r="K832" i="2"/>
  <c r="K731" i="2"/>
  <c r="K966" i="2"/>
  <c r="K338" i="2"/>
  <c r="K1157" i="2"/>
  <c r="K1084" i="2"/>
  <c r="K924" i="2"/>
  <c r="K919" i="2"/>
  <c r="K887" i="2"/>
  <c r="K1220" i="2"/>
  <c r="K1201" i="2"/>
  <c r="K753" i="2"/>
  <c r="K979" i="2"/>
  <c r="K643" i="2"/>
  <c r="M1020" i="2"/>
  <c r="K456" i="2"/>
  <c r="K179" i="2"/>
  <c r="K511" i="2"/>
  <c r="K154" i="2"/>
  <c r="K529" i="2"/>
  <c r="K481" i="2"/>
  <c r="Y481" i="2" s="1"/>
  <c r="K113" i="2"/>
  <c r="M1154" i="2"/>
  <c r="M998" i="2"/>
  <c r="K491" i="2"/>
  <c r="M1044" i="2"/>
  <c r="K381" i="2"/>
  <c r="M1102" i="2"/>
  <c r="Y1102" i="2" s="1"/>
  <c r="K219" i="2"/>
  <c r="K203" i="2"/>
  <c r="K123" i="2"/>
  <c r="M1187" i="2"/>
  <c r="M1059" i="2"/>
  <c r="M1136" i="2"/>
  <c r="K233" i="2"/>
  <c r="K199" i="2"/>
  <c r="K65" i="2"/>
  <c r="M679" i="2"/>
  <c r="M544" i="2"/>
  <c r="M368" i="2"/>
  <c r="M613" i="2"/>
  <c r="Y613" i="2" s="1"/>
  <c r="M335" i="2"/>
  <c r="M169" i="2"/>
  <c r="Y169" i="2" s="1"/>
  <c r="M25" i="2"/>
  <c r="M866" i="2"/>
  <c r="M778" i="2"/>
  <c r="M820" i="2"/>
  <c r="M881" i="2"/>
  <c r="M140" i="2"/>
  <c r="M315" i="2"/>
  <c r="M299" i="2"/>
  <c r="M46" i="2"/>
  <c r="M14" i="2"/>
  <c r="M704" i="2"/>
  <c r="M847" i="2"/>
  <c r="M719" i="2"/>
  <c r="M600" i="2"/>
  <c r="M568" i="2"/>
  <c r="M429" i="2"/>
  <c r="M397" i="2"/>
  <c r="M1121" i="2"/>
  <c r="M905" i="2"/>
  <c r="Y905" i="2" s="1"/>
  <c r="M729" i="2"/>
  <c r="M578" i="2"/>
  <c r="M665" i="2"/>
  <c r="M276" i="2"/>
  <c r="M291" i="2"/>
  <c r="M259" i="2"/>
  <c r="M93" i="2"/>
  <c r="M77" i="2"/>
  <c r="K942" i="2"/>
  <c r="K650" i="2"/>
  <c r="K781" i="2"/>
  <c r="K948" i="2"/>
  <c r="K532" i="2"/>
  <c r="Y532" i="2" s="1"/>
  <c r="K991" i="2"/>
  <c r="K575" i="2"/>
  <c r="K1164" i="2"/>
  <c r="K1040" i="2"/>
  <c r="K848" i="2"/>
  <c r="K768" i="2"/>
  <c r="K1003" i="2"/>
  <c r="K891" i="2"/>
  <c r="K1029" i="2"/>
  <c r="K1013" i="2"/>
  <c r="K652" i="2"/>
  <c r="K855" i="2"/>
  <c r="K622" i="2"/>
  <c r="K350" i="2"/>
  <c r="K881" i="2"/>
  <c r="K1096" i="2"/>
  <c r="K30" i="2"/>
  <c r="M1212" i="2"/>
  <c r="K629" i="2"/>
  <c r="K501" i="2"/>
  <c r="K328" i="2"/>
  <c r="M1142" i="2"/>
  <c r="M1126" i="2"/>
  <c r="K307" i="2"/>
  <c r="M1179" i="2"/>
  <c r="K170" i="2"/>
  <c r="K513" i="2"/>
  <c r="K385" i="2"/>
  <c r="K404" i="2"/>
  <c r="Y404" i="2" s="1"/>
  <c r="K212" i="2"/>
  <c r="M1058" i="2"/>
  <c r="Y1058" i="2" s="1"/>
  <c r="K73" i="2"/>
  <c r="M1111" i="2"/>
  <c r="K182" i="2"/>
  <c r="K365" i="2"/>
  <c r="K333" i="2"/>
  <c r="M1230" i="2"/>
  <c r="M1086" i="2"/>
  <c r="K194" i="2"/>
  <c r="K428" i="2"/>
  <c r="M1194" i="2"/>
  <c r="K215" i="2"/>
  <c r="M1071" i="2"/>
  <c r="M926" i="2"/>
  <c r="K111" i="2"/>
  <c r="K63" i="2"/>
  <c r="M983" i="2"/>
  <c r="Y983" i="2" s="1"/>
  <c r="M727" i="2"/>
  <c r="M965" i="2"/>
  <c r="M559" i="2"/>
  <c r="M543" i="2"/>
  <c r="Y543" i="2" s="1"/>
  <c r="M127" i="2"/>
  <c r="M105" i="2"/>
  <c r="K91" i="2"/>
  <c r="M690" i="2"/>
  <c r="Y690" i="2" s="1"/>
  <c r="M586" i="2"/>
  <c r="M238" i="2"/>
  <c r="M158" i="2"/>
  <c r="M799" i="2"/>
  <c r="M703" i="2"/>
  <c r="Y703" i="2" s="1"/>
  <c r="M909" i="2"/>
  <c r="M829" i="2"/>
  <c r="Y829" i="2" s="1"/>
  <c r="M717" i="2"/>
  <c r="Y717" i="2" s="1"/>
  <c r="M455" i="2"/>
  <c r="M598" i="2"/>
  <c r="M470" i="2"/>
  <c r="M374" i="2"/>
  <c r="M298" i="2"/>
  <c r="M145" i="2"/>
  <c r="M17" i="2"/>
  <c r="M754" i="2"/>
  <c r="Y754" i="2" s="1"/>
  <c r="M484" i="2"/>
  <c r="Y484" i="2" s="1"/>
  <c r="M436" i="2"/>
  <c r="M4" i="2"/>
  <c r="M275" i="2"/>
  <c r="M54" i="2"/>
  <c r="Y54" i="2" s="1"/>
  <c r="M253" i="2"/>
  <c r="K874" i="2"/>
  <c r="K1213" i="2"/>
  <c r="K1165" i="2"/>
  <c r="K877" i="2"/>
  <c r="K852" i="2"/>
  <c r="K847" i="2"/>
  <c r="K1210" i="2"/>
  <c r="K614" i="2"/>
  <c r="K390" i="2"/>
  <c r="K921" i="2"/>
  <c r="K560" i="2"/>
  <c r="K955" i="2"/>
  <c r="K1151" i="2"/>
  <c r="K908" i="2"/>
  <c r="K892" i="2"/>
  <c r="K764" i="2"/>
  <c r="K727" i="2"/>
  <c r="K574" i="2"/>
  <c r="K462" i="2"/>
  <c r="K1121" i="2"/>
  <c r="K1009" i="2"/>
  <c r="K737" i="2"/>
  <c r="Y737" i="2" s="1"/>
  <c r="K1064" i="2"/>
  <c r="K515" i="2"/>
  <c r="K483" i="2"/>
  <c r="K190" i="2"/>
  <c r="K597" i="2"/>
  <c r="M1190" i="2"/>
  <c r="Y1190" i="2" s="1"/>
  <c r="M1046" i="2"/>
  <c r="K234" i="2"/>
  <c r="M1128" i="2"/>
  <c r="Y1128" i="2" s="1"/>
  <c r="M968" i="2"/>
  <c r="Y968" i="2" s="1"/>
  <c r="K308" i="2"/>
  <c r="M1106" i="2"/>
  <c r="M1090" i="2"/>
  <c r="K255" i="2"/>
  <c r="K9" i="2"/>
  <c r="M1031" i="2"/>
  <c r="K539" i="2"/>
  <c r="K22" i="2"/>
  <c r="K701" i="2"/>
  <c r="K157" i="2"/>
  <c r="K141" i="2"/>
  <c r="K400" i="2"/>
  <c r="K384" i="2"/>
  <c r="M1075" i="2"/>
  <c r="M992" i="2"/>
  <c r="Y992" i="2" s="1"/>
  <c r="K364" i="2"/>
  <c r="K348" i="2"/>
  <c r="M1167" i="2"/>
  <c r="M974" i="2"/>
  <c r="M936" i="2"/>
  <c r="M654" i="2"/>
  <c r="M629" i="2"/>
  <c r="Y629" i="2" s="1"/>
  <c r="M176" i="2"/>
  <c r="M95" i="2"/>
  <c r="M705" i="2"/>
  <c r="Y705" i="2" s="1"/>
  <c r="M668" i="2"/>
  <c r="M444" i="2"/>
  <c r="M108" i="2"/>
  <c r="M28" i="2"/>
  <c r="M123" i="2"/>
  <c r="M59" i="2"/>
  <c r="M822" i="2"/>
  <c r="K71" i="2"/>
  <c r="M504" i="2"/>
  <c r="Y504" i="2" s="1"/>
  <c r="M487" i="2"/>
  <c r="M200" i="2"/>
  <c r="M241" i="2"/>
  <c r="M780" i="2"/>
  <c r="M684" i="2"/>
  <c r="Y684" i="2" s="1"/>
  <c r="M795" i="2"/>
  <c r="M809" i="2"/>
  <c r="M643" i="2"/>
  <c r="Y643" i="2" s="1"/>
  <c r="M419" i="2"/>
  <c r="M339" i="2"/>
  <c r="Y339" i="2" s="1"/>
  <c r="M530" i="2"/>
  <c r="M324" i="2"/>
  <c r="Y324" i="2" s="1"/>
  <c r="M292" i="2"/>
  <c r="M278" i="2"/>
  <c r="Y278" i="2" s="1"/>
  <c r="M262" i="2"/>
  <c r="M214" i="2"/>
  <c r="Y214" i="2" s="1"/>
  <c r="K426" i="2"/>
  <c r="K1060" i="2"/>
  <c r="K1044" i="2"/>
  <c r="K740" i="2"/>
  <c r="K692" i="2"/>
  <c r="K1114" i="2"/>
  <c r="K886" i="2"/>
  <c r="K646" i="2"/>
  <c r="K486" i="2"/>
  <c r="K1136" i="2"/>
  <c r="K928" i="2"/>
  <c r="K971" i="2"/>
  <c r="K635" i="2"/>
  <c r="K1192" i="2"/>
  <c r="K837" i="2"/>
  <c r="K1004" i="2"/>
  <c r="K748" i="2"/>
  <c r="K588" i="2"/>
  <c r="K871" i="2"/>
  <c r="K1211" i="2"/>
  <c r="K302" i="2"/>
  <c r="K1144" i="2"/>
  <c r="K936" i="2"/>
  <c r="K904" i="2"/>
  <c r="K808" i="2"/>
  <c r="K126" i="2"/>
  <c r="K661" i="2"/>
  <c r="K341" i="2"/>
  <c r="K309" i="2"/>
  <c r="Y309" i="2" s="1"/>
  <c r="M1094" i="2"/>
  <c r="M1078" i="2"/>
  <c r="K403" i="2"/>
  <c r="K275" i="2"/>
  <c r="M954" i="2"/>
  <c r="K463" i="2"/>
  <c r="M1048" i="2"/>
  <c r="K388" i="2"/>
  <c r="K68" i="2"/>
  <c r="M1223" i="2"/>
  <c r="M1175" i="2"/>
  <c r="K198" i="2"/>
  <c r="K525" i="2"/>
  <c r="K379" i="2"/>
  <c r="K331" i="2"/>
  <c r="K95" i="2"/>
  <c r="M757" i="2"/>
  <c r="M416" i="2"/>
  <c r="M510" i="2"/>
  <c r="Y510" i="2" s="1"/>
  <c r="M350" i="2"/>
  <c r="M162" i="2"/>
  <c r="M82" i="2"/>
  <c r="K27" i="2"/>
  <c r="M772" i="2"/>
  <c r="M787" i="2"/>
  <c r="Y787" i="2" s="1"/>
  <c r="M1009" i="2"/>
  <c r="Y1009" i="2" s="1"/>
  <c r="M556" i="2"/>
  <c r="M364" i="2"/>
  <c r="M220" i="2"/>
  <c r="M110" i="2"/>
  <c r="M1157" i="2"/>
  <c r="M1109" i="2"/>
  <c r="M670" i="2"/>
  <c r="M989" i="2"/>
  <c r="M813" i="2"/>
  <c r="Y813" i="2" s="1"/>
  <c r="M439" i="2"/>
  <c r="M541" i="2"/>
  <c r="M248" i="2"/>
  <c r="M202" i="2"/>
  <c r="Y202" i="2" s="1"/>
  <c r="M49" i="2"/>
  <c r="M850" i="2"/>
  <c r="K19" i="2"/>
  <c r="M860" i="2"/>
  <c r="M715" i="2"/>
  <c r="M699" i="2"/>
  <c r="M825" i="2"/>
  <c r="Y825" i="2" s="1"/>
  <c r="M498" i="2"/>
  <c r="M617" i="2"/>
  <c r="M180" i="2"/>
  <c r="M148" i="2"/>
  <c r="Y148" i="2" s="1"/>
  <c r="M230" i="2"/>
  <c r="M134" i="2"/>
  <c r="Y134" i="2" s="1"/>
  <c r="M6" i="2"/>
  <c r="K474" i="2"/>
  <c r="K1130" i="2"/>
  <c r="Y1130" i="2" s="1"/>
  <c r="K1203" i="2"/>
  <c r="K854" i="2"/>
  <c r="K550" i="2"/>
  <c r="K1152" i="2"/>
  <c r="K672" i="2"/>
  <c r="K608" i="2"/>
  <c r="K795" i="2"/>
  <c r="K715" i="2"/>
  <c r="K1126" i="2"/>
  <c r="K1208" i="2"/>
  <c r="K898" i="2"/>
  <c r="K658" i="2"/>
  <c r="K626" i="2"/>
  <c r="K967" i="2"/>
  <c r="K702" i="2"/>
  <c r="K286" i="2"/>
  <c r="K1025" i="2"/>
  <c r="K945" i="2"/>
  <c r="K1032" i="2"/>
  <c r="K568" i="2"/>
  <c r="K583" i="2"/>
  <c r="K435" i="2"/>
  <c r="K62" i="2"/>
  <c r="M988" i="2"/>
  <c r="K405" i="2"/>
  <c r="K165" i="2"/>
  <c r="K280" i="2"/>
  <c r="Y280" i="2" s="1"/>
  <c r="M1222" i="2"/>
  <c r="M922" i="2"/>
  <c r="Y922" i="2" s="1"/>
  <c r="K266" i="2"/>
  <c r="K449" i="2"/>
  <c r="K116" i="2"/>
  <c r="K100" i="2"/>
  <c r="K20" i="2"/>
  <c r="K239" i="2"/>
  <c r="M1047" i="2"/>
  <c r="Y1047" i="2" s="1"/>
  <c r="M886" i="2"/>
  <c r="M870" i="2"/>
  <c r="M1108" i="2"/>
  <c r="Y1108" i="2" s="1"/>
  <c r="K253" i="2"/>
  <c r="K80" i="2"/>
  <c r="M1008" i="2"/>
  <c r="K681" i="2"/>
  <c r="K345" i="2"/>
  <c r="K201" i="2"/>
  <c r="M1183" i="2"/>
  <c r="M782" i="2"/>
  <c r="K47" i="2"/>
  <c r="M743" i="2"/>
  <c r="M725" i="2"/>
  <c r="Y725" i="2" s="1"/>
  <c r="M574" i="2"/>
  <c r="M645" i="2"/>
  <c r="Y645" i="2" s="1"/>
  <c r="M421" i="2"/>
  <c r="M540" i="2"/>
  <c r="M363" i="2"/>
  <c r="M497" i="2"/>
  <c r="M465" i="2"/>
  <c r="M219" i="2"/>
  <c r="M133" i="2"/>
  <c r="M37" i="2"/>
  <c r="K7" i="2"/>
  <c r="M1093" i="2"/>
  <c r="M1077" i="2"/>
  <c r="M751" i="2"/>
  <c r="M632" i="2"/>
  <c r="Y632" i="2" s="1"/>
  <c r="M392" i="2"/>
  <c r="M518" i="2"/>
  <c r="M349" i="2"/>
  <c r="Y349" i="2" s="1"/>
  <c r="M186" i="2"/>
  <c r="M170" i="2"/>
  <c r="M1169" i="2"/>
  <c r="M812" i="2"/>
  <c r="M953" i="2"/>
  <c r="M841" i="2"/>
  <c r="M594" i="2"/>
  <c r="M505" i="2"/>
  <c r="Y505" i="2" s="1"/>
  <c r="M377" i="2"/>
  <c r="M147" i="2"/>
  <c r="M326" i="2"/>
  <c r="Y326" i="2" s="1"/>
  <c r="M310" i="2"/>
  <c r="K1230" i="2"/>
  <c r="K1182" i="2"/>
  <c r="K974" i="2"/>
  <c r="K1191" i="2"/>
  <c r="Y1191" i="2" s="1"/>
  <c r="K602" i="2"/>
  <c r="K765" i="2"/>
  <c r="K868" i="2"/>
  <c r="K804" i="2"/>
  <c r="K516" i="2"/>
  <c r="K729" i="2"/>
  <c r="K880" i="2"/>
  <c r="K736" i="2"/>
  <c r="K843" i="2"/>
  <c r="K1215" i="2"/>
  <c r="K1103" i="2"/>
  <c r="K930" i="2"/>
  <c r="K1077" i="2"/>
  <c r="K828" i="2"/>
  <c r="K946" i="2"/>
  <c r="K1091" i="2"/>
  <c r="K1011" i="2"/>
  <c r="K819" i="2"/>
  <c r="K238" i="2"/>
  <c r="K392" i="2"/>
  <c r="K120" i="2"/>
  <c r="M1158" i="2"/>
  <c r="K61" i="2"/>
  <c r="M1115" i="2"/>
  <c r="Y1115" i="2" s="1"/>
  <c r="M1003" i="2"/>
  <c r="K106" i="2"/>
  <c r="K209" i="2"/>
  <c r="K351" i="2"/>
  <c r="M854" i="2"/>
  <c r="K571" i="2"/>
  <c r="K427" i="2"/>
  <c r="K166" i="2"/>
  <c r="K304" i="2"/>
  <c r="K96" i="2"/>
  <c r="Y96" i="2" s="1"/>
  <c r="M1134" i="2"/>
  <c r="M914" i="2"/>
  <c r="K587" i="2"/>
  <c r="K617" i="2"/>
  <c r="K553" i="2"/>
  <c r="K361" i="2"/>
  <c r="K412" i="2"/>
  <c r="K247" i="2"/>
  <c r="M958" i="2"/>
  <c r="M1149" i="2"/>
  <c r="M791" i="2"/>
  <c r="M775" i="2"/>
  <c r="M901" i="2"/>
  <c r="M542" i="2"/>
  <c r="Y542" i="2" s="1"/>
  <c r="M287" i="2"/>
  <c r="Y287" i="2" s="1"/>
  <c r="M313" i="2"/>
  <c r="M689" i="2"/>
  <c r="M673" i="2"/>
  <c r="M76" i="2"/>
  <c r="M334" i="2"/>
  <c r="M190" i="2"/>
  <c r="M648" i="2"/>
  <c r="M264" i="2"/>
  <c r="M23" i="2"/>
  <c r="Y23" i="2" s="1"/>
  <c r="M138" i="2"/>
  <c r="M10" i="2"/>
  <c r="Y10" i="2" s="1"/>
  <c r="K35" i="2"/>
  <c r="M1057" i="2"/>
  <c r="Y1057" i="2" s="1"/>
  <c r="M1041" i="2"/>
  <c r="M1025" i="2"/>
  <c r="M716" i="2"/>
  <c r="Y716" i="2" s="1"/>
  <c r="M700" i="2"/>
  <c r="M500" i="2"/>
  <c r="M468" i="2"/>
  <c r="M452" i="2"/>
  <c r="M388" i="2"/>
  <c r="M372" i="2"/>
  <c r="Y372" i="2" s="1"/>
  <c r="M482" i="2"/>
  <c r="M434" i="2"/>
  <c r="M633" i="2"/>
  <c r="Y633" i="2" s="1"/>
  <c r="M52" i="2"/>
  <c r="M182" i="2"/>
  <c r="M150" i="2"/>
  <c r="M221" i="2"/>
  <c r="K1198" i="2"/>
  <c r="K1216" i="2"/>
  <c r="K714" i="2"/>
  <c r="K618" i="2"/>
  <c r="K490" i="2"/>
  <c r="K1117" i="2"/>
  <c r="K909" i="2"/>
  <c r="K772" i="2"/>
  <c r="K612" i="2"/>
  <c r="K596" i="2"/>
  <c r="K831" i="2"/>
  <c r="K1098" i="2"/>
  <c r="K1171" i="2"/>
  <c r="K374" i="2"/>
  <c r="K674" i="2"/>
  <c r="K530" i="2"/>
  <c r="K434" i="2"/>
  <c r="K1093" i="2"/>
  <c r="K917" i="2"/>
  <c r="K1020" i="2"/>
  <c r="K540" i="2"/>
  <c r="K1186" i="2"/>
  <c r="K929" i="2"/>
  <c r="K1000" i="2"/>
  <c r="K728" i="2"/>
  <c r="K520" i="2"/>
  <c r="M1228" i="2"/>
  <c r="M1036" i="2"/>
  <c r="K211" i="2"/>
  <c r="M1160" i="2"/>
  <c r="K689" i="2"/>
  <c r="K305" i="2"/>
  <c r="K228" i="2"/>
  <c r="K383" i="2"/>
  <c r="M1063" i="2"/>
  <c r="K631" i="2"/>
  <c r="Y631" i="2" s="1"/>
  <c r="K443" i="2"/>
  <c r="M948" i="2"/>
  <c r="Y948" i="2" s="1"/>
  <c r="K224" i="2"/>
  <c r="K258" i="2"/>
  <c r="K146" i="2"/>
  <c r="K569" i="2"/>
  <c r="K476" i="2"/>
  <c r="K60" i="2"/>
  <c r="K12" i="2"/>
  <c r="M1050" i="2"/>
  <c r="Y1050" i="2" s="1"/>
  <c r="M1151" i="2"/>
  <c r="M1135" i="2"/>
  <c r="M894" i="2"/>
  <c r="M814" i="2"/>
  <c r="Y814" i="2" s="1"/>
  <c r="M981" i="2"/>
  <c r="M693" i="2"/>
  <c r="Y693" i="2" s="1"/>
  <c r="M558" i="2"/>
  <c r="Y558" i="2" s="1"/>
  <c r="M304" i="2"/>
  <c r="M272" i="2"/>
  <c r="M144" i="2"/>
  <c r="Y144" i="2" s="1"/>
  <c r="M98" i="2"/>
  <c r="M41" i="2"/>
  <c r="Y41" i="2" s="1"/>
  <c r="M963" i="2"/>
  <c r="M739" i="2"/>
  <c r="M460" i="2"/>
  <c r="M506" i="2"/>
  <c r="Y506" i="2" s="1"/>
  <c r="M124" i="2"/>
  <c r="M165" i="2"/>
  <c r="Y165" i="2" s="1"/>
  <c r="M880" i="2"/>
  <c r="Y880" i="2" s="1"/>
  <c r="M864" i="2"/>
  <c r="M768" i="2"/>
  <c r="M752" i="2"/>
  <c r="Y752" i="2" s="1"/>
  <c r="M797" i="2"/>
  <c r="M584" i="2"/>
  <c r="M360" i="2"/>
  <c r="Y360" i="2" s="1"/>
  <c r="M406" i="2"/>
  <c r="M24" i="2"/>
  <c r="M183" i="2"/>
  <c r="M113" i="2"/>
  <c r="K67" i="2"/>
  <c r="Y67" i="2" s="1"/>
  <c r="M844" i="2"/>
  <c r="Y844" i="2" s="1"/>
  <c r="M418" i="2"/>
  <c r="Y418" i="2" s="1"/>
  <c r="M345" i="2"/>
  <c r="M244" i="2"/>
  <c r="M84" i="2"/>
  <c r="M198" i="2"/>
  <c r="K698" i="2"/>
  <c r="K941" i="2"/>
  <c r="K1082" i="2"/>
  <c r="K1219" i="2"/>
  <c r="K1123" i="2"/>
  <c r="K918" i="2"/>
  <c r="K502" i="2"/>
  <c r="K1177" i="2"/>
  <c r="K1161" i="2"/>
  <c r="K969" i="2"/>
  <c r="K1088" i="2"/>
  <c r="K1019" i="2"/>
  <c r="K859" i="2"/>
  <c r="K950" i="2"/>
  <c r="K722" i="2"/>
  <c r="K354" i="2"/>
  <c r="K869" i="2"/>
  <c r="Y869" i="2" s="1"/>
  <c r="K780" i="2"/>
  <c r="K903" i="2"/>
  <c r="K1204" i="2"/>
  <c r="K926" i="2"/>
  <c r="K654" i="2"/>
  <c r="K478" i="2"/>
  <c r="K648" i="2"/>
  <c r="K600" i="2"/>
  <c r="M1068" i="2"/>
  <c r="M1052" i="2"/>
  <c r="K709" i="2"/>
  <c r="K149" i="2"/>
  <c r="K296" i="2"/>
  <c r="M1000" i="2"/>
  <c r="M1138" i="2"/>
  <c r="M1143" i="2"/>
  <c r="Y1143" i="2" s="1"/>
  <c r="K230" i="2"/>
  <c r="K541" i="2"/>
  <c r="K445" i="2"/>
  <c r="K429" i="2"/>
  <c r="K112" i="2"/>
  <c r="K411" i="2"/>
  <c r="K395" i="2"/>
  <c r="K363" i="2"/>
  <c r="K155" i="2"/>
  <c r="K139" i="2"/>
  <c r="K5" i="2"/>
  <c r="K183" i="2"/>
  <c r="K31" i="2"/>
  <c r="M1037" i="2"/>
  <c r="M821" i="2"/>
  <c r="M608" i="2"/>
  <c r="M623" i="2"/>
  <c r="M462" i="2"/>
  <c r="M306" i="2"/>
  <c r="M194" i="2"/>
  <c r="M836" i="2"/>
  <c r="M572" i="2"/>
  <c r="M587" i="2"/>
  <c r="M561" i="2"/>
  <c r="M44" i="2"/>
  <c r="M277" i="2"/>
  <c r="M261" i="2"/>
  <c r="M213" i="2"/>
  <c r="M101" i="2"/>
  <c r="M1189" i="2"/>
  <c r="M800" i="2"/>
  <c r="M784" i="2"/>
  <c r="Y784" i="2" s="1"/>
  <c r="M767" i="2"/>
  <c r="Y767" i="2" s="1"/>
  <c r="M1021" i="2"/>
  <c r="M375" i="2"/>
  <c r="M438" i="2"/>
  <c r="Y438" i="2" s="1"/>
  <c r="M71" i="2"/>
  <c r="M58" i="2"/>
  <c r="M1105" i="2"/>
  <c r="M748" i="2"/>
  <c r="Y748" i="2" s="1"/>
  <c r="M732" i="2"/>
  <c r="M987" i="2"/>
  <c r="M667" i="2"/>
  <c r="M682" i="2"/>
  <c r="M546" i="2"/>
  <c r="M514" i="2"/>
  <c r="M323" i="2"/>
  <c r="M19" i="2"/>
  <c r="M246" i="2"/>
  <c r="K1207" i="2"/>
  <c r="Y1207" i="2" s="1"/>
  <c r="K522" i="2"/>
  <c r="K1085" i="2"/>
  <c r="K644" i="2"/>
  <c r="K564" i="2"/>
  <c r="K1007" i="2"/>
  <c r="K1194" i="2"/>
  <c r="K953" i="2"/>
  <c r="K544" i="2"/>
  <c r="K1030" i="2"/>
  <c r="K1119" i="2"/>
  <c r="K882" i="2"/>
  <c r="K514" i="2"/>
  <c r="K981" i="2"/>
  <c r="K933" i="2"/>
  <c r="K796" i="2"/>
  <c r="K791" i="2"/>
  <c r="K894" i="2"/>
  <c r="K862" i="2"/>
  <c r="K1153" i="2"/>
  <c r="K769" i="2"/>
  <c r="K1048" i="2"/>
  <c r="K1016" i="2"/>
  <c r="K675" i="2"/>
  <c r="M1164" i="2"/>
  <c r="K408" i="2"/>
  <c r="K195" i="2"/>
  <c r="M906" i="2"/>
  <c r="K186" i="2"/>
  <c r="K257" i="2"/>
  <c r="K420" i="2"/>
  <c r="Y420" i="2" s="1"/>
  <c r="K4" i="2"/>
  <c r="M999" i="2"/>
  <c r="M918" i="2"/>
  <c r="K475" i="2"/>
  <c r="K38" i="2"/>
  <c r="M1188" i="2"/>
  <c r="K621" i="2"/>
  <c r="K557" i="2"/>
  <c r="K125" i="2"/>
  <c r="M946" i="2"/>
  <c r="Y946" i="2" s="1"/>
  <c r="K108" i="2"/>
  <c r="K92" i="2"/>
  <c r="M1066" i="2"/>
  <c r="K311" i="2"/>
  <c r="K135" i="2"/>
  <c r="M1231" i="2"/>
  <c r="M1103" i="2"/>
  <c r="M830" i="2"/>
  <c r="M711" i="2"/>
  <c r="M694" i="2"/>
  <c r="Y694" i="2" s="1"/>
  <c r="M383" i="2"/>
  <c r="M398" i="2"/>
  <c r="M661" i="2"/>
  <c r="M437" i="2"/>
  <c r="M336" i="2"/>
  <c r="Y336" i="2" s="1"/>
  <c r="M320" i="2"/>
  <c r="M240" i="2"/>
  <c r="M64" i="2"/>
  <c r="Y64" i="2" s="1"/>
  <c r="M153" i="2"/>
  <c r="M674" i="2"/>
  <c r="M508" i="2"/>
  <c r="M492" i="2"/>
  <c r="M300" i="2"/>
  <c r="M78" i="2"/>
  <c r="Y78" i="2" s="1"/>
  <c r="M742" i="2"/>
  <c r="K55" i="2"/>
  <c r="M848" i="2"/>
  <c r="Y848" i="2" s="1"/>
  <c r="M816" i="2"/>
  <c r="M456" i="2"/>
  <c r="M605" i="2"/>
  <c r="Y605" i="2" s="1"/>
  <c r="M282" i="2"/>
  <c r="M266" i="2"/>
  <c r="M26" i="2"/>
  <c r="M225" i="2"/>
  <c r="K99" i="2"/>
  <c r="M1137" i="2"/>
  <c r="M764" i="2"/>
  <c r="M579" i="2"/>
  <c r="M355" i="2"/>
  <c r="M601" i="2"/>
  <c r="Y601" i="2" s="1"/>
  <c r="M173" i="2"/>
  <c r="Y173" i="2" s="1"/>
  <c r="K1038" i="2"/>
  <c r="K858" i="2"/>
  <c r="K893" i="2"/>
  <c r="K788" i="2"/>
  <c r="K660" i="2"/>
  <c r="K1055" i="2"/>
  <c r="K975" i="2"/>
  <c r="K879" i="2"/>
  <c r="K406" i="2"/>
  <c r="K342" i="2"/>
  <c r="K294" i="2"/>
  <c r="Y294" i="2" s="1"/>
  <c r="K1104" i="2"/>
  <c r="K1142" i="2"/>
  <c r="K1068" i="2"/>
  <c r="K812" i="2"/>
  <c r="K508" i="2"/>
  <c r="K775" i="2"/>
  <c r="K1090" i="2"/>
  <c r="K1217" i="2"/>
  <c r="K1073" i="2"/>
  <c r="K755" i="2"/>
  <c r="K691" i="2"/>
  <c r="K222" i="2"/>
  <c r="K142" i="2"/>
  <c r="Y142" i="2" s="1"/>
  <c r="K485" i="2"/>
  <c r="K24" i="2"/>
  <c r="K45" i="2"/>
  <c r="K90" i="2"/>
  <c r="K465" i="2"/>
  <c r="K417" i="2"/>
  <c r="K161" i="2"/>
  <c r="K180" i="2"/>
  <c r="M1202" i="2"/>
  <c r="Y1202" i="2" s="1"/>
  <c r="M1186" i="2"/>
  <c r="K105" i="2"/>
  <c r="M1172" i="2"/>
  <c r="Y1172" i="2" s="1"/>
  <c r="M1012" i="2"/>
  <c r="Y1012" i="2" s="1"/>
  <c r="M964" i="2"/>
  <c r="K637" i="2"/>
  <c r="K320" i="2"/>
  <c r="K208" i="2"/>
  <c r="K192" i="2"/>
  <c r="M1027" i="2"/>
  <c r="K519" i="2"/>
  <c r="M1152" i="2"/>
  <c r="K665" i="2"/>
  <c r="K537" i="2"/>
  <c r="K76" i="2"/>
  <c r="M846" i="2"/>
  <c r="M678" i="2"/>
  <c r="M949" i="2"/>
  <c r="M917" i="2"/>
  <c r="M741" i="2"/>
  <c r="M528" i="2"/>
  <c r="M591" i="2"/>
  <c r="Y591" i="2" s="1"/>
  <c r="M389" i="2"/>
  <c r="M373" i="2"/>
  <c r="Y373" i="2" s="1"/>
  <c r="M63" i="2"/>
  <c r="M274" i="2"/>
  <c r="M932" i="2"/>
  <c r="M724" i="2"/>
  <c r="M604" i="2"/>
  <c r="Y604" i="2" s="1"/>
  <c r="M491" i="2"/>
  <c r="Y491" i="2" s="1"/>
  <c r="M252" i="2"/>
  <c r="M331" i="2"/>
  <c r="M139" i="2"/>
  <c r="M806" i="2"/>
  <c r="M710" i="2"/>
  <c r="M1125" i="2"/>
  <c r="M991" i="2"/>
  <c r="Y991" i="2" s="1"/>
  <c r="M566" i="2"/>
  <c r="M454" i="2"/>
  <c r="M621" i="2"/>
  <c r="M42" i="2"/>
  <c r="Y42" i="2" s="1"/>
  <c r="M908" i="2"/>
  <c r="M828" i="2"/>
  <c r="M761" i="2"/>
  <c r="M435" i="2"/>
  <c r="Y435" i="2" s="1"/>
  <c r="M361" i="2"/>
  <c r="M115" i="2"/>
  <c r="Y115" i="2" s="1"/>
  <c r="M237" i="2"/>
  <c r="M13" i="2"/>
  <c r="K682" i="2"/>
  <c r="K298" i="2"/>
  <c r="K282" i="2"/>
  <c r="K989" i="2"/>
  <c r="K548" i="2"/>
  <c r="K815" i="2"/>
  <c r="K1196" i="2"/>
  <c r="K1187" i="2"/>
  <c r="K1107" i="2"/>
  <c r="K774" i="2"/>
  <c r="K937" i="2"/>
  <c r="K857" i="2"/>
  <c r="K841" i="2"/>
  <c r="K800" i="2"/>
  <c r="K528" i="2"/>
  <c r="K1167" i="2"/>
  <c r="K562" i="2"/>
  <c r="K322" i="2"/>
  <c r="K885" i="2"/>
  <c r="K789" i="2"/>
  <c r="K1116" i="2"/>
  <c r="K494" i="2"/>
  <c r="K270" i="2"/>
  <c r="K1089" i="2"/>
  <c r="K536" i="2"/>
  <c r="K915" i="2"/>
  <c r="K206" i="2"/>
  <c r="M1132" i="2"/>
  <c r="K232" i="2"/>
  <c r="K152" i="2"/>
  <c r="K77" i="2"/>
  <c r="M1147" i="2"/>
  <c r="Y1147" i="2" s="1"/>
  <c r="K193" i="2"/>
  <c r="K452" i="2"/>
  <c r="K340" i="2"/>
  <c r="K595" i="2"/>
  <c r="K573" i="2"/>
  <c r="Y573" i="2" s="1"/>
  <c r="M1070" i="2"/>
  <c r="K347" i="2"/>
  <c r="M1011" i="2"/>
  <c r="K487" i="2"/>
  <c r="K98" i="2"/>
  <c r="M1040" i="2"/>
  <c r="Y1040" i="2" s="1"/>
  <c r="M1024" i="2"/>
  <c r="K697" i="2"/>
  <c r="K217" i="2"/>
  <c r="M1226" i="2"/>
  <c r="M1055" i="2"/>
  <c r="Y1055" i="2" s="1"/>
  <c r="M871" i="2"/>
  <c r="Y871" i="2" s="1"/>
  <c r="M512" i="2"/>
  <c r="M639" i="2"/>
  <c r="M366" i="2"/>
  <c r="M256" i="2"/>
  <c r="M50" i="2"/>
  <c r="Y50" i="2" s="1"/>
  <c r="M826" i="2"/>
  <c r="K11" i="2"/>
  <c r="M1209" i="2"/>
  <c r="M979" i="2"/>
  <c r="M899" i="2"/>
  <c r="M707" i="2"/>
  <c r="M659" i="2"/>
  <c r="M476" i="2"/>
  <c r="M379" i="2"/>
  <c r="M394" i="2"/>
  <c r="Y394" i="2" s="1"/>
  <c r="M156" i="2"/>
  <c r="M171" i="2"/>
  <c r="Y171" i="2" s="1"/>
  <c r="M318" i="2"/>
  <c r="M758" i="2"/>
  <c r="M671" i="2"/>
  <c r="Y671" i="2" s="1"/>
  <c r="M424" i="2"/>
  <c r="Y424" i="2" s="1"/>
  <c r="M40" i="2"/>
  <c r="M135" i="2"/>
  <c r="M119" i="2"/>
  <c r="M738" i="2"/>
  <c r="M722" i="2"/>
  <c r="M955" i="2"/>
  <c r="Y955" i="2" s="1"/>
  <c r="M923" i="2"/>
  <c r="Y923" i="2" s="1"/>
  <c r="M626" i="2"/>
  <c r="M441" i="2"/>
  <c r="Y441" i="2" s="1"/>
  <c r="M409" i="2"/>
  <c r="M243" i="2"/>
  <c r="M22" i="2"/>
  <c r="K1086" i="2"/>
  <c r="K906" i="2"/>
  <c r="K1005" i="2"/>
  <c r="K733" i="2"/>
  <c r="K1156" i="2"/>
  <c r="Y1156" i="2" s="1"/>
  <c r="K980" i="2"/>
  <c r="K927" i="2"/>
  <c r="K870" i="2"/>
  <c r="K838" i="2"/>
  <c r="K678" i="2"/>
  <c r="K889" i="2"/>
  <c r="K1024" i="2"/>
  <c r="K1222" i="2"/>
  <c r="K1199" i="2"/>
  <c r="K370" i="2"/>
  <c r="K1109" i="2"/>
  <c r="K1079" i="2"/>
  <c r="K1188" i="2"/>
  <c r="K1179" i="2"/>
  <c r="K750" i="2"/>
  <c r="K638" i="2"/>
  <c r="K430" i="2"/>
  <c r="K1041" i="2"/>
  <c r="K552" i="2"/>
  <c r="K627" i="2"/>
  <c r="M972" i="2"/>
  <c r="Y972" i="2" s="1"/>
  <c r="K8" i="2"/>
  <c r="K527" i="2"/>
  <c r="K479" i="2"/>
  <c r="K609" i="2"/>
  <c r="K292" i="2"/>
  <c r="K84" i="2"/>
  <c r="K335" i="2"/>
  <c r="M1124" i="2"/>
  <c r="K237" i="2"/>
  <c r="K221" i="2"/>
  <c r="K288" i="2"/>
  <c r="K101" i="2"/>
  <c r="K242" i="2"/>
  <c r="Y242" i="2" s="1"/>
  <c r="K114" i="2"/>
  <c r="K34" i="2"/>
  <c r="M1216" i="2"/>
  <c r="M1056" i="2"/>
  <c r="K460" i="2"/>
  <c r="K188" i="2"/>
  <c r="M942" i="2"/>
  <c r="M759" i="2"/>
  <c r="M663" i="2"/>
  <c r="M709" i="2"/>
  <c r="M405" i="2"/>
  <c r="M319" i="2"/>
  <c r="Y319" i="2" s="1"/>
  <c r="M271" i="2"/>
  <c r="M143" i="2"/>
  <c r="M137" i="2"/>
  <c r="M804" i="2"/>
  <c r="M692" i="2"/>
  <c r="M995" i="2"/>
  <c r="M723" i="2"/>
  <c r="Y723" i="2" s="1"/>
  <c r="M817" i="2"/>
  <c r="M570" i="2"/>
  <c r="Y570" i="2" s="1"/>
  <c r="M513" i="2"/>
  <c r="M417" i="2"/>
  <c r="Y417" i="2" s="1"/>
  <c r="M172" i="2"/>
  <c r="M69" i="2"/>
  <c r="M790" i="2"/>
  <c r="Y790" i="2" s="1"/>
  <c r="M774" i="2"/>
  <c r="M1141" i="2"/>
  <c r="M863" i="2"/>
  <c r="Y863" i="2" s="1"/>
  <c r="M957" i="2"/>
  <c r="M344" i="2"/>
  <c r="Y344" i="2" s="1"/>
  <c r="M583" i="2"/>
  <c r="M359" i="2"/>
  <c r="Y359" i="2" s="1"/>
  <c r="M557" i="2"/>
  <c r="Y557" i="2" s="1"/>
  <c r="M257" i="2"/>
  <c r="M834" i="2"/>
  <c r="Y834" i="2" s="1"/>
  <c r="M596" i="2"/>
  <c r="Y596" i="2" s="1"/>
  <c r="M499" i="2"/>
  <c r="M467" i="2"/>
  <c r="M451" i="2"/>
  <c r="M51" i="2"/>
  <c r="Y51" i="2" s="1"/>
  <c r="M205" i="2"/>
  <c r="M157" i="2"/>
  <c r="K990" i="2"/>
  <c r="K1002" i="2"/>
  <c r="Y1002" i="2" s="1"/>
  <c r="K822" i="2"/>
  <c r="K758" i="2"/>
  <c r="K454" i="2"/>
  <c r="K1129" i="2"/>
  <c r="K745" i="2"/>
  <c r="K688" i="2"/>
  <c r="K1051" i="2"/>
  <c r="K651" i="2"/>
  <c r="K619" i="2"/>
  <c r="K1094" i="2"/>
  <c r="K965" i="2"/>
  <c r="K1063" i="2"/>
  <c r="K1154" i="2"/>
  <c r="K1074" i="2"/>
  <c r="K1227" i="2"/>
  <c r="K798" i="2"/>
  <c r="K734" i="2"/>
  <c r="K606" i="2"/>
  <c r="K334" i="2"/>
  <c r="K1105" i="2"/>
  <c r="K977" i="2"/>
  <c r="K872" i="2"/>
  <c r="K899" i="2"/>
  <c r="K835" i="2"/>
  <c r="K771" i="2"/>
  <c r="K110" i="2"/>
  <c r="K357" i="2"/>
  <c r="K259" i="2"/>
  <c r="K147" i="2"/>
  <c r="M1211" i="2"/>
  <c r="K495" i="2"/>
  <c r="K561" i="2"/>
  <c r="K545" i="2"/>
  <c r="K317" i="2"/>
  <c r="M1118" i="2"/>
  <c r="Y1118" i="2" s="1"/>
  <c r="M1042" i="2"/>
  <c r="M1026" i="2"/>
  <c r="K471" i="2"/>
  <c r="K130" i="2"/>
  <c r="M944" i="2"/>
  <c r="Y944" i="2" s="1"/>
  <c r="K713" i="2"/>
  <c r="K492" i="2"/>
  <c r="K172" i="2"/>
  <c r="M1178" i="2"/>
  <c r="Y1178" i="2" s="1"/>
  <c r="M888" i="2"/>
  <c r="Y888" i="2" s="1"/>
  <c r="M527" i="2"/>
  <c r="M677" i="2"/>
  <c r="M597" i="2"/>
  <c r="M192" i="2"/>
  <c r="M223" i="2"/>
  <c r="Y223" i="2" s="1"/>
  <c r="M297" i="2"/>
  <c r="K59" i="2"/>
  <c r="M1193" i="2"/>
  <c r="M1161" i="2"/>
  <c r="M916" i="2"/>
  <c r="Y916" i="2" s="1"/>
  <c r="M865" i="2"/>
  <c r="M396" i="2"/>
  <c r="M427" i="2"/>
  <c r="M411" i="2"/>
  <c r="Y411" i="2" s="1"/>
  <c r="M650" i="2"/>
  <c r="M634" i="2"/>
  <c r="M236" i="2"/>
  <c r="M12" i="2"/>
  <c r="Y12" i="2" s="1"/>
  <c r="M251" i="2"/>
  <c r="M206" i="2"/>
  <c r="Y206" i="2" s="1"/>
  <c r="M126" i="2"/>
  <c r="Y126" i="2" s="1"/>
  <c r="M53" i="2"/>
  <c r="Y53" i="2" s="1"/>
  <c r="M815" i="2"/>
  <c r="Y815" i="2" s="1"/>
  <c r="M702" i="2"/>
  <c r="M925" i="2"/>
  <c r="Y925" i="2" s="1"/>
  <c r="M381" i="2"/>
  <c r="M167" i="2"/>
  <c r="Y167" i="2" s="1"/>
  <c r="M314" i="2"/>
  <c r="M289" i="2"/>
  <c r="Y289" i="2" s="1"/>
  <c r="M273" i="2"/>
  <c r="M33" i="2"/>
  <c r="Y33" i="2" s="1"/>
  <c r="M793" i="2"/>
  <c r="M585" i="2"/>
  <c r="M99" i="2"/>
  <c r="M86" i="2"/>
  <c r="E32" i="1"/>
  <c r="D12" i="4"/>
  <c r="F32" i="1"/>
  <c r="Y1124" i="2" l="1"/>
  <c r="Y409" i="2"/>
  <c r="Y707" i="2"/>
  <c r="Y366" i="2"/>
  <c r="AK366" i="2" s="1"/>
  <c r="AL366" i="2" s="1"/>
  <c r="Y13" i="2"/>
  <c r="Y836" i="2"/>
  <c r="Y739" i="2"/>
  <c r="Y1036" i="2"/>
  <c r="AK1036" i="2" s="1"/>
  <c r="AL1036" i="2" s="1"/>
  <c r="Y1183" i="2"/>
  <c r="Y6" i="2"/>
  <c r="Y699" i="2"/>
  <c r="AK699" i="2" s="1"/>
  <c r="AL699" i="2" s="1"/>
  <c r="Y850" i="2"/>
  <c r="AK850" i="2" s="1"/>
  <c r="AL850" i="2" s="1"/>
  <c r="Y670" i="2"/>
  <c r="Y757" i="2"/>
  <c r="Y436" i="2"/>
  <c r="AK436" i="2" s="1"/>
  <c r="AL436" i="2" s="1"/>
  <c r="Y145" i="2"/>
  <c r="Y598" i="2"/>
  <c r="Y719" i="2"/>
  <c r="Y998" i="2"/>
  <c r="Y666" i="2"/>
  <c r="AH666" i="2" s="1"/>
  <c r="Y896" i="2"/>
  <c r="Y184" i="2"/>
  <c r="Y507" i="2"/>
  <c r="Y177" i="2"/>
  <c r="Y1131" i="2"/>
  <c r="Y585" i="2"/>
  <c r="Y634" i="2"/>
  <c r="AH634" i="2" s="1"/>
  <c r="Y396" i="2"/>
  <c r="Y499" i="2"/>
  <c r="Y143" i="2"/>
  <c r="Y826" i="2"/>
  <c r="Y761" i="2"/>
  <c r="Y846" i="2"/>
  <c r="Y437" i="2"/>
  <c r="AH437" i="2" s="1"/>
  <c r="Y272" i="2"/>
  <c r="AH272" i="2" s="1"/>
  <c r="Y1228" i="2"/>
  <c r="Y291" i="2"/>
  <c r="Y820" i="2"/>
  <c r="Y849" i="2"/>
  <c r="AH849" i="2" s="1"/>
  <c r="Y493" i="2"/>
  <c r="Y1150" i="2"/>
  <c r="Y371" i="2"/>
  <c r="AH371" i="2" s="1"/>
  <c r="Y839" i="2"/>
  <c r="AK839" i="2" s="1"/>
  <c r="AL839" i="2" s="1"/>
  <c r="Y738" i="2"/>
  <c r="Y979" i="2"/>
  <c r="Y1070" i="2"/>
  <c r="Y932" i="2"/>
  <c r="AK932" i="2" s="1"/>
  <c r="AL932" i="2" s="1"/>
  <c r="Y26" i="2"/>
  <c r="Y667" i="2"/>
  <c r="Y261" i="2"/>
  <c r="Y821" i="2"/>
  <c r="AK821" i="2" s="1"/>
  <c r="AL821" i="2" s="1"/>
  <c r="Y1138" i="2"/>
  <c r="AK1138" i="2" s="1"/>
  <c r="AL1138" i="2" s="1"/>
  <c r="Y1160" i="2"/>
  <c r="Y310" i="2"/>
  <c r="AK310" i="2" s="1"/>
  <c r="AL310" i="2" s="1"/>
  <c r="Y497" i="2"/>
  <c r="AK497" i="2" s="1"/>
  <c r="AL497" i="2" s="1"/>
  <c r="Y1175" i="2"/>
  <c r="Y1031" i="2"/>
  <c r="Y1106" i="2"/>
  <c r="AK1106" i="2" s="1"/>
  <c r="AL1106" i="2" s="1"/>
  <c r="Y679" i="2"/>
  <c r="AK679" i="2" s="1"/>
  <c r="AL679" i="2" s="1"/>
  <c r="Y94" i="2"/>
  <c r="Y920" i="2"/>
  <c r="Y1015" i="2"/>
  <c r="Y521" i="2"/>
  <c r="AH521" i="2" s="1"/>
  <c r="Y551" i="2"/>
  <c r="AK551" i="2" s="1"/>
  <c r="AL551" i="2" s="1"/>
  <c r="Y321" i="2"/>
  <c r="Y1072" i="2"/>
  <c r="Y473" i="2"/>
  <c r="AH473" i="2" s="1"/>
  <c r="Y696" i="2"/>
  <c r="Y489" i="2"/>
  <c r="AK489" i="2" s="1"/>
  <c r="AL489" i="2" s="1"/>
  <c r="Y86" i="2"/>
  <c r="Y865" i="2"/>
  <c r="AK865" i="2" s="1"/>
  <c r="AL865" i="2" s="1"/>
  <c r="Y597" i="2"/>
  <c r="AH597" i="2" s="1"/>
  <c r="Y1042" i="2"/>
  <c r="Y692" i="2"/>
  <c r="Y271" i="2"/>
  <c r="AK271" i="2" s="1"/>
  <c r="AL271" i="2" s="1"/>
  <c r="Y663" i="2"/>
  <c r="AH663" i="2" s="1"/>
  <c r="Y626" i="2"/>
  <c r="Y512" i="2"/>
  <c r="Y710" i="2"/>
  <c r="AH710" i="2" s="1"/>
  <c r="Y252" i="2"/>
  <c r="AH252" i="2" s="1"/>
  <c r="Y389" i="2"/>
  <c r="Y711" i="2"/>
  <c r="Y323" i="2"/>
  <c r="AH323" i="2" s="1"/>
  <c r="Y306" i="2"/>
  <c r="AK306" i="2" s="1"/>
  <c r="AL306" i="2" s="1"/>
  <c r="Y584" i="2"/>
  <c r="Y864" i="2"/>
  <c r="Y482" i="2"/>
  <c r="AH482" i="2" s="1"/>
  <c r="Y751" i="2"/>
  <c r="AH751" i="2" s="1"/>
  <c r="Y988" i="2"/>
  <c r="Y498" i="2"/>
  <c r="Y860" i="2"/>
  <c r="AK860" i="2" s="1"/>
  <c r="AL860" i="2" s="1"/>
  <c r="Y1157" i="2"/>
  <c r="AH1157" i="2" s="1"/>
  <c r="Y556" i="2"/>
  <c r="Y1075" i="2"/>
  <c r="Y799" i="2"/>
  <c r="AH799" i="2" s="1"/>
  <c r="Y1071" i="2"/>
  <c r="AK1071" i="2" s="1"/>
  <c r="AL1071" i="2" s="1"/>
  <c r="Y276" i="2"/>
  <c r="Y704" i="2"/>
  <c r="Y315" i="2"/>
  <c r="AH315" i="2" s="1"/>
  <c r="Y509" i="2"/>
  <c r="AK509" i="2" s="1"/>
  <c r="AL509" i="2" s="1"/>
  <c r="Y1099" i="2"/>
  <c r="Y746" i="2"/>
  <c r="Y680" i="2"/>
  <c r="AH680" i="2" s="1"/>
  <c r="Y615" i="2"/>
  <c r="AK615" i="2" s="1"/>
  <c r="AL615" i="2" s="1"/>
  <c r="Y163" i="2"/>
  <c r="Y301" i="2"/>
  <c r="Y1141" i="2"/>
  <c r="AH1141" i="2" s="1"/>
  <c r="Y1056" i="2"/>
  <c r="AK1056" i="2" s="1"/>
  <c r="AL1056" i="2" s="1"/>
  <c r="Y256" i="2"/>
  <c r="Y566" i="2"/>
  <c r="Y816" i="2"/>
  <c r="AK816" i="2" s="1"/>
  <c r="AL816" i="2" s="1"/>
  <c r="Y999" i="2"/>
  <c r="AK999" i="2" s="1"/>
  <c r="AL999" i="2" s="1"/>
  <c r="Y500" i="2"/>
  <c r="Y1134" i="2"/>
  <c r="Y518" i="2"/>
  <c r="AH518" i="2" s="1"/>
  <c r="Y248" i="2"/>
  <c r="AK248" i="2" s="1"/>
  <c r="AL248" i="2" s="1"/>
  <c r="Y1078" i="2"/>
  <c r="Y262" i="2"/>
  <c r="Y559" i="2"/>
  <c r="AK559" i="2" s="1"/>
  <c r="AL559" i="2" s="1"/>
  <c r="Y1061" i="2"/>
  <c r="AK1061" i="2" s="1"/>
  <c r="AL1061" i="2" s="1"/>
  <c r="Y56" i="2"/>
  <c r="Y900" i="2"/>
  <c r="Y875" i="2"/>
  <c r="AH875" i="2" s="1"/>
  <c r="Y785" i="2"/>
  <c r="AK785" i="2" s="1"/>
  <c r="AL785" i="2" s="1"/>
  <c r="Y451" i="2"/>
  <c r="Y274" i="2"/>
  <c r="Y1161" i="2"/>
  <c r="AK1161" i="2" s="1"/>
  <c r="AL1161" i="2" s="1"/>
  <c r="Y405" i="2"/>
  <c r="AH405" i="2" s="1"/>
  <c r="Y942" i="2"/>
  <c r="Y1011" i="2"/>
  <c r="Y1132" i="2"/>
  <c r="AK1132" i="2" s="1"/>
  <c r="AL1132" i="2" s="1"/>
  <c r="Y355" i="2"/>
  <c r="Y153" i="2"/>
  <c r="Y1066" i="2"/>
  <c r="Y246" i="2"/>
  <c r="AH246" i="2" s="1"/>
  <c r="Y44" i="2"/>
  <c r="Y244" i="2"/>
  <c r="Y1135" i="2"/>
  <c r="Y388" i="2"/>
  <c r="AK388" i="2" s="1"/>
  <c r="AL388" i="2" s="1"/>
  <c r="Y700" i="2"/>
  <c r="AK700" i="2" s="1"/>
  <c r="AL700" i="2" s="1"/>
  <c r="Y220" i="2"/>
  <c r="Y200" i="2"/>
  <c r="Y578" i="2"/>
  <c r="AH578" i="2" s="1"/>
  <c r="Y397" i="2"/>
  <c r="Y683" i="2"/>
  <c r="Y1133" i="2"/>
  <c r="Y599" i="2"/>
  <c r="AK599" i="2" s="1"/>
  <c r="AL599" i="2" s="1"/>
  <c r="Y655" i="2"/>
  <c r="AK655" i="2" s="1"/>
  <c r="AL655" i="2" s="1"/>
  <c r="Y265" i="2"/>
  <c r="Y381" i="2"/>
  <c r="Y583" i="2"/>
  <c r="AK583" i="2" s="1"/>
  <c r="AL583" i="2" s="1"/>
  <c r="Y759" i="2"/>
  <c r="AK759" i="2" s="1"/>
  <c r="AL759" i="2" s="1"/>
  <c r="Y243" i="2"/>
  <c r="Y1027" i="2"/>
  <c r="Y462" i="2"/>
  <c r="AH462" i="2" s="1"/>
  <c r="Y1037" i="2"/>
  <c r="AK1037" i="2" s="1"/>
  <c r="AL1037" i="2" s="1"/>
  <c r="Y958" i="2"/>
  <c r="Y782" i="2"/>
  <c r="Y82" i="2"/>
  <c r="Y140" i="2"/>
  <c r="Y770" i="2"/>
  <c r="Y582" i="2"/>
  <c r="Y21" i="2"/>
  <c r="Y804" i="2"/>
  <c r="AK804" i="2" s="1"/>
  <c r="AL804" i="2" s="1"/>
  <c r="Y361" i="2"/>
  <c r="Y949" i="2"/>
  <c r="Y1164" i="2"/>
  <c r="AK1164" i="2" s="1"/>
  <c r="AL1164" i="2" s="1"/>
  <c r="Y572" i="2"/>
  <c r="AK572" i="2" s="1"/>
  <c r="AL572" i="2" s="1"/>
  <c r="Y1052" i="2"/>
  <c r="Y52" i="2"/>
  <c r="Y190" i="2"/>
  <c r="Y1169" i="2"/>
  <c r="AK1169" i="2" s="1"/>
  <c r="AL1169" i="2" s="1"/>
  <c r="Y133" i="2"/>
  <c r="Y1223" i="2"/>
  <c r="Y241" i="2"/>
  <c r="AK241" i="2" s="1"/>
  <c r="AL241" i="2" s="1"/>
  <c r="Y14" i="2"/>
  <c r="Y866" i="2"/>
  <c r="Y43" i="2"/>
  <c r="Y593" i="2"/>
  <c r="AH593" i="2" s="1"/>
  <c r="Y792" i="2"/>
  <c r="AK792" i="2" s="1"/>
  <c r="AL792" i="2" s="1"/>
  <c r="Y576" i="2"/>
  <c r="Y399" i="2"/>
  <c r="Y128" i="2"/>
  <c r="Y297" i="2"/>
  <c r="AH297" i="2" s="1"/>
  <c r="Y908" i="2"/>
  <c r="Y1137" i="2"/>
  <c r="Y830" i="2"/>
  <c r="AK830" i="2" s="1"/>
  <c r="AL830" i="2" s="1"/>
  <c r="Y236" i="2"/>
  <c r="AK236" i="2" s="1"/>
  <c r="AL236" i="2" s="1"/>
  <c r="Y1211" i="2"/>
  <c r="Y467" i="2"/>
  <c r="Y137" i="2"/>
  <c r="Y1216" i="2"/>
  <c r="AH1216" i="2" s="1"/>
  <c r="Y1186" i="2"/>
  <c r="Y300" i="2"/>
  <c r="Y383" i="2"/>
  <c r="AH383" i="2" s="1"/>
  <c r="Y546" i="2"/>
  <c r="AK546" i="2" s="1"/>
  <c r="AL546" i="2" s="1"/>
  <c r="Y732" i="2"/>
  <c r="Y623" i="2"/>
  <c r="Y313" i="2"/>
  <c r="AK313" i="2" s="1"/>
  <c r="AL313" i="2" s="1"/>
  <c r="Y1158" i="2"/>
  <c r="Y219" i="2"/>
  <c r="Y1008" i="2"/>
  <c r="Y162" i="2"/>
  <c r="Y954" i="2"/>
  <c r="AK954" i="2" s="1"/>
  <c r="AL954" i="2" s="1"/>
  <c r="Y1111" i="2"/>
  <c r="Y46" i="2"/>
  <c r="Y25" i="2"/>
  <c r="Y368" i="2"/>
  <c r="Y285" i="2"/>
  <c r="Y391" i="2"/>
  <c r="Y268" i="2"/>
  <c r="AK268" i="2" s="1"/>
  <c r="AL268" i="2" s="1"/>
  <c r="Y477" i="2"/>
  <c r="AK477" i="2" s="1"/>
  <c r="AL477" i="2" s="1"/>
  <c r="Y534" i="2"/>
  <c r="K1232" i="2"/>
  <c r="Y263" i="2"/>
  <c r="AH263" i="2" s="1"/>
  <c r="Y794" i="2"/>
  <c r="Y1100" i="2"/>
  <c r="Y129" i="2"/>
  <c r="Y413" i="2"/>
  <c r="AK413" i="2" s="1"/>
  <c r="AL413" i="2" s="1"/>
  <c r="Y735" i="2"/>
  <c r="AK735" i="2" s="1"/>
  <c r="AL735" i="2" s="1"/>
  <c r="Y533" i="2"/>
  <c r="Y433" i="2"/>
  <c r="AH433" i="2" s="1"/>
  <c r="Y281" i="2"/>
  <c r="AK281" i="2" s="1"/>
  <c r="AL281" i="2" s="1"/>
  <c r="Y817" i="2"/>
  <c r="AH817" i="2" s="1"/>
  <c r="Y527" i="2"/>
  <c r="Y157" i="2"/>
  <c r="Y257" i="2"/>
  <c r="AK257" i="2" s="1"/>
  <c r="AL257" i="2" s="1"/>
  <c r="Y774" i="2"/>
  <c r="Y135" i="2"/>
  <c r="Y964" i="2"/>
  <c r="AH964" i="2" s="1"/>
  <c r="Y793" i="2"/>
  <c r="AK793" i="2" s="1"/>
  <c r="AL793" i="2" s="1"/>
  <c r="Y314" i="2"/>
  <c r="Y1193" i="2"/>
  <c r="Y205" i="2"/>
  <c r="AK205" i="2" s="1"/>
  <c r="AL205" i="2" s="1"/>
  <c r="Y957" i="2"/>
  <c r="AK957" i="2" s="1"/>
  <c r="AL957" i="2" s="1"/>
  <c r="Y513" i="2"/>
  <c r="Y40" i="2"/>
  <c r="Y318" i="2"/>
  <c r="AK318" i="2" s="1"/>
  <c r="AL318" i="2" s="1"/>
  <c r="Y1226" i="2"/>
  <c r="AH1226" i="2" s="1"/>
  <c r="Y331" i="2"/>
  <c r="Y741" i="2"/>
  <c r="Y1152" i="2"/>
  <c r="AK1152" i="2" s="1"/>
  <c r="AL1152" i="2" s="1"/>
  <c r="Y1231" i="2"/>
  <c r="AK1231" i="2" s="1"/>
  <c r="AL1231" i="2" s="1"/>
  <c r="Y194" i="2"/>
  <c r="Y113" i="2"/>
  <c r="Y150" i="2"/>
  <c r="Y264" i="2"/>
  <c r="AK264" i="2" s="1"/>
  <c r="AL264" i="2" s="1"/>
  <c r="Y1003" i="2"/>
  <c r="AH1003" i="2" s="1"/>
  <c r="Y421" i="2"/>
  <c r="Y49" i="2"/>
  <c r="Y439" i="2"/>
  <c r="AK439" i="2" s="1"/>
  <c r="AL439" i="2" s="1"/>
  <c r="Y176" i="2"/>
  <c r="Y455" i="2"/>
  <c r="Y127" i="2"/>
  <c r="Y299" i="2"/>
  <c r="AK299" i="2" s="1"/>
  <c r="AL299" i="2" s="1"/>
  <c r="Y910" i="2"/>
  <c r="Y818" i="2"/>
  <c r="Y303" i="2"/>
  <c r="AK303" i="2" s="1"/>
  <c r="AL303" i="2" s="1"/>
  <c r="Y803" i="2"/>
  <c r="AK803" i="2" s="1"/>
  <c r="AL803" i="2" s="1"/>
  <c r="Y117" i="2"/>
  <c r="M1232" i="2"/>
  <c r="Y132" i="2"/>
  <c r="Y993" i="2"/>
  <c r="AK993" i="2" s="1"/>
  <c r="AL993" i="2" s="1"/>
  <c r="Y656" i="2"/>
  <c r="AH656" i="2" s="1"/>
  <c r="Y1195" i="2"/>
  <c r="AK1195" i="2" s="1"/>
  <c r="AL1195" i="2" s="1"/>
  <c r="Y526" i="2"/>
  <c r="AK526" i="2" s="1"/>
  <c r="AL526" i="2" s="1"/>
  <c r="Y139" i="2"/>
  <c r="Y63" i="2"/>
  <c r="Y1103" i="2"/>
  <c r="AK1103" i="2" s="1"/>
  <c r="AL1103" i="2" s="1"/>
  <c r="Y71" i="2"/>
  <c r="Y170" i="2"/>
  <c r="Y427" i="2"/>
  <c r="AK427" i="2" s="1"/>
  <c r="AL427" i="2" s="1"/>
  <c r="Y702" i="2"/>
  <c r="AH702" i="2" s="1"/>
  <c r="Y722" i="2"/>
  <c r="AK722" i="2" s="1"/>
  <c r="AL722" i="2" s="1"/>
  <c r="Y379" i="2"/>
  <c r="AK379" i="2" s="1"/>
  <c r="AL379" i="2" s="1"/>
  <c r="Y19" i="2"/>
  <c r="Y768" i="2"/>
  <c r="AK768" i="2" s="1"/>
  <c r="AL768" i="2" s="1"/>
  <c r="Y1151" i="2"/>
  <c r="AH1151" i="2" s="1"/>
  <c r="Y886" i="2"/>
  <c r="AK886" i="2" s="1"/>
  <c r="AL886" i="2" s="1"/>
  <c r="Y350" i="2"/>
  <c r="AH350" i="2" s="1"/>
  <c r="Y661" i="2"/>
  <c r="AK661" i="2" s="1"/>
  <c r="AL661" i="2" s="1"/>
  <c r="Y182" i="2"/>
  <c r="Y574" i="2"/>
  <c r="AK574" i="2" s="1"/>
  <c r="AL574" i="2" s="1"/>
  <c r="AK925" i="2"/>
  <c r="AL925" i="2" s="1"/>
  <c r="AH925" i="2"/>
  <c r="AH1161" i="2"/>
  <c r="AK467" i="2"/>
  <c r="AL467" i="2" s="1"/>
  <c r="AH467" i="2"/>
  <c r="AH257" i="2"/>
  <c r="AK344" i="2"/>
  <c r="AL344" i="2" s="1"/>
  <c r="AH344" i="2"/>
  <c r="AK417" i="2"/>
  <c r="AL417" i="2" s="1"/>
  <c r="AH417" i="2"/>
  <c r="AK723" i="2"/>
  <c r="AL723" i="2" s="1"/>
  <c r="AH723" i="2"/>
  <c r="AK942" i="2"/>
  <c r="AL942" i="2" s="1"/>
  <c r="AH942" i="2"/>
  <c r="AK972" i="2"/>
  <c r="AL972" i="2" s="1"/>
  <c r="AH972" i="2"/>
  <c r="AK409" i="2"/>
  <c r="AL409" i="2" s="1"/>
  <c r="AH409" i="2"/>
  <c r="AK955" i="2"/>
  <c r="AL955" i="2" s="1"/>
  <c r="AH955" i="2"/>
  <c r="AK394" i="2"/>
  <c r="AL394" i="2" s="1"/>
  <c r="AH394" i="2"/>
  <c r="AK707" i="2"/>
  <c r="AL707" i="2" s="1"/>
  <c r="AH707" i="2"/>
  <c r="AH366" i="2"/>
  <c r="AK1055" i="2"/>
  <c r="AL1055" i="2" s="1"/>
  <c r="AH1055" i="2"/>
  <c r="AK1011" i="2"/>
  <c r="AL1011" i="2" s="1"/>
  <c r="AH1011" i="2"/>
  <c r="AK1147" i="2"/>
  <c r="AL1147" i="2" s="1"/>
  <c r="AH1147" i="2"/>
  <c r="AH1132" i="2"/>
  <c r="AK435" i="2"/>
  <c r="AL435" i="2" s="1"/>
  <c r="AH435" i="2"/>
  <c r="AK991" i="2"/>
  <c r="AL991" i="2" s="1"/>
  <c r="AH991" i="2"/>
  <c r="AK604" i="2"/>
  <c r="AL604" i="2" s="1"/>
  <c r="AH604" i="2"/>
  <c r="AK964" i="2"/>
  <c r="AL964" i="2" s="1"/>
  <c r="AK1186" i="2"/>
  <c r="AL1186" i="2" s="1"/>
  <c r="AH1186" i="2"/>
  <c r="AK848" i="2"/>
  <c r="AL848" i="2" s="1"/>
  <c r="AH848" i="2"/>
  <c r="AK300" i="2"/>
  <c r="AL300" i="2" s="1"/>
  <c r="AH300" i="2"/>
  <c r="AK336" i="2"/>
  <c r="AL336" i="2" s="1"/>
  <c r="AH336" i="2"/>
  <c r="AK383" i="2"/>
  <c r="AL383" i="2" s="1"/>
  <c r="AK1066" i="2"/>
  <c r="AL1066" i="2" s="1"/>
  <c r="AH1066" i="2"/>
  <c r="AK246" i="2"/>
  <c r="AL246" i="2" s="1"/>
  <c r="AK732" i="2"/>
  <c r="AL732" i="2" s="1"/>
  <c r="AH732" i="2"/>
  <c r="AK767" i="2"/>
  <c r="AL767" i="2" s="1"/>
  <c r="AH767" i="2"/>
  <c r="AK836" i="2"/>
  <c r="AL836" i="2" s="1"/>
  <c r="AH836" i="2"/>
  <c r="AK623" i="2"/>
  <c r="AL623" i="2" s="1"/>
  <c r="AH623" i="2"/>
  <c r="AK244" i="2"/>
  <c r="AL244" i="2" s="1"/>
  <c r="AH244" i="2"/>
  <c r="AK752" i="2"/>
  <c r="AL752" i="2" s="1"/>
  <c r="AH752" i="2"/>
  <c r="AK739" i="2"/>
  <c r="AL739" i="2" s="1"/>
  <c r="AH739" i="2"/>
  <c r="AK693" i="2"/>
  <c r="AL693" i="2" s="1"/>
  <c r="AH693" i="2"/>
  <c r="AK1135" i="2"/>
  <c r="AL1135" i="2" s="1"/>
  <c r="AH1135" i="2"/>
  <c r="AK631" i="2"/>
  <c r="AL631" i="2" s="1"/>
  <c r="AH631" i="2"/>
  <c r="AK633" i="2"/>
  <c r="AL633" i="2" s="1"/>
  <c r="AH633" i="2"/>
  <c r="AK1057" i="2"/>
  <c r="AL1057" i="2" s="1"/>
  <c r="AH1057" i="2"/>
  <c r="AK219" i="2"/>
  <c r="AL219" i="2" s="1"/>
  <c r="AH219" i="2"/>
  <c r="AK725" i="2"/>
  <c r="AL725" i="2" s="1"/>
  <c r="AH725" i="2"/>
  <c r="AK1183" i="2"/>
  <c r="AL1183" i="2" s="1"/>
  <c r="AH1183" i="2"/>
  <c r="AK1008" i="2"/>
  <c r="AL1008" i="2" s="1"/>
  <c r="AH1008" i="2"/>
  <c r="AH699" i="2"/>
  <c r="AK670" i="2"/>
  <c r="AL670" i="2" s="1"/>
  <c r="AH670" i="2"/>
  <c r="AK220" i="2"/>
  <c r="AL220" i="2" s="1"/>
  <c r="AH220" i="2"/>
  <c r="AK787" i="2"/>
  <c r="AL787" i="2" s="1"/>
  <c r="AH787" i="2"/>
  <c r="AK757" i="2"/>
  <c r="AL757" i="2" s="1"/>
  <c r="AH757" i="2"/>
  <c r="AK278" i="2"/>
  <c r="AL278" i="2" s="1"/>
  <c r="AH278" i="2"/>
  <c r="AK339" i="2"/>
  <c r="AL339" i="2" s="1"/>
  <c r="AH339" i="2"/>
  <c r="AK200" i="2"/>
  <c r="AL200" i="2" s="1"/>
  <c r="AH200" i="2"/>
  <c r="AK968" i="2"/>
  <c r="AL968" i="2" s="1"/>
  <c r="AH968" i="2"/>
  <c r="AK1190" i="2"/>
  <c r="AL1190" i="2" s="1"/>
  <c r="AH1190" i="2"/>
  <c r="AH436" i="2"/>
  <c r="AK598" i="2"/>
  <c r="AL598" i="2" s="1"/>
  <c r="AH598" i="2"/>
  <c r="AK1111" i="2"/>
  <c r="AL1111" i="2" s="1"/>
  <c r="AH1111" i="2"/>
  <c r="AK404" i="2"/>
  <c r="AL404" i="2" s="1"/>
  <c r="AH404" i="2"/>
  <c r="AK578" i="2"/>
  <c r="AL578" i="2" s="1"/>
  <c r="AK719" i="2"/>
  <c r="AL719" i="2" s="1"/>
  <c r="AH719" i="2"/>
  <c r="AK1102" i="2"/>
  <c r="AL1102" i="2" s="1"/>
  <c r="AH1102" i="2"/>
  <c r="AK285" i="2"/>
  <c r="AL285" i="2" s="1"/>
  <c r="AH285" i="2"/>
  <c r="AK683" i="2"/>
  <c r="AL683" i="2" s="1"/>
  <c r="AH683" i="2"/>
  <c r="AK391" i="2"/>
  <c r="AL391" i="2" s="1"/>
  <c r="AH391" i="2"/>
  <c r="AK1205" i="2"/>
  <c r="AL1205" i="2" s="1"/>
  <c r="AH1205" i="2"/>
  <c r="AK414" i="2"/>
  <c r="AL414" i="2" s="1"/>
  <c r="AH414" i="2"/>
  <c r="AK624" i="2"/>
  <c r="AL624" i="2" s="1"/>
  <c r="AH624" i="2"/>
  <c r="AK666" i="2"/>
  <c r="AL666" i="2" s="1"/>
  <c r="AK896" i="2"/>
  <c r="AL896" i="2" s="1"/>
  <c r="AH896" i="2"/>
  <c r="AK935" i="2"/>
  <c r="AL935" i="2" s="1"/>
  <c r="AH935" i="2"/>
  <c r="AK534" i="2"/>
  <c r="AL534" i="2" s="1"/>
  <c r="AH534" i="2"/>
  <c r="AK263" i="2"/>
  <c r="AL263" i="2" s="1"/>
  <c r="AK312" i="2"/>
  <c r="AL312" i="2" s="1"/>
  <c r="AH312" i="2"/>
  <c r="AK913" i="2"/>
  <c r="AL913" i="2" s="1"/>
  <c r="AH913" i="2"/>
  <c r="AK1133" i="2"/>
  <c r="AL1133" i="2" s="1"/>
  <c r="AH1133" i="2"/>
  <c r="AK1033" i="2"/>
  <c r="AL1033" i="2" s="1"/>
  <c r="AH1033" i="2"/>
  <c r="AK507" i="2"/>
  <c r="AL507" i="2" s="1"/>
  <c r="AH507" i="2"/>
  <c r="AK984" i="2"/>
  <c r="AL984" i="2" s="1"/>
  <c r="AH984" i="2"/>
  <c r="AK1100" i="2"/>
  <c r="AL1100" i="2" s="1"/>
  <c r="AH1100" i="2"/>
  <c r="AK636" i="2"/>
  <c r="AL636" i="2" s="1"/>
  <c r="AH636" i="2"/>
  <c r="AK1014" i="2"/>
  <c r="AL1014" i="2" s="1"/>
  <c r="AH1014" i="2"/>
  <c r="AK1145" i="2"/>
  <c r="AL1145" i="2" s="1"/>
  <c r="AH1145" i="2"/>
  <c r="AK457" i="2"/>
  <c r="AL457" i="2" s="1"/>
  <c r="AH457" i="2"/>
  <c r="AK810" i="2"/>
  <c r="AL810" i="2" s="1"/>
  <c r="AH810" i="2"/>
  <c r="AK770" i="2"/>
  <c r="AL770" i="2" s="1"/>
  <c r="AH770" i="2"/>
  <c r="AK970" i="2"/>
  <c r="AL970" i="2" s="1"/>
  <c r="AH970" i="2"/>
  <c r="AK265" i="2"/>
  <c r="AL265" i="2" s="1"/>
  <c r="AH265" i="2"/>
  <c r="AK592" i="2"/>
  <c r="AL592" i="2" s="1"/>
  <c r="AH592" i="2"/>
  <c r="AK1163" i="2"/>
  <c r="AL1163" i="2" s="1"/>
  <c r="AH1163" i="2"/>
  <c r="AK1127" i="2"/>
  <c r="AL1127" i="2" s="1"/>
  <c r="AH1127" i="2"/>
  <c r="AK533" i="2"/>
  <c r="AL533" i="2" s="1"/>
  <c r="AH533" i="2"/>
  <c r="AK744" i="2"/>
  <c r="AL744" i="2" s="1"/>
  <c r="AH744" i="2"/>
  <c r="AK589" i="2"/>
  <c r="AL589" i="2" s="1"/>
  <c r="AH589" i="2"/>
  <c r="AK563" i="2"/>
  <c r="AL563" i="2" s="1"/>
  <c r="AH563" i="2"/>
  <c r="AK1131" i="2"/>
  <c r="AL1131" i="2" s="1"/>
  <c r="AH1131" i="2"/>
  <c r="AK547" i="2"/>
  <c r="AL547" i="2" s="1"/>
  <c r="AH547" i="2"/>
  <c r="AK1211" i="2"/>
  <c r="AL1211" i="2" s="1"/>
  <c r="AH1211" i="2"/>
  <c r="AK499" i="2"/>
  <c r="AL499" i="2" s="1"/>
  <c r="AH499" i="2"/>
  <c r="AK557" i="2"/>
  <c r="AL557" i="2" s="1"/>
  <c r="AH557" i="2"/>
  <c r="AK790" i="2"/>
  <c r="AL790" i="2" s="1"/>
  <c r="AH790" i="2"/>
  <c r="AK1156" i="2"/>
  <c r="AL1156" i="2" s="1"/>
  <c r="AH1156" i="2"/>
  <c r="AK441" i="2"/>
  <c r="AL441" i="2" s="1"/>
  <c r="AH441" i="2"/>
  <c r="AK1226" i="2"/>
  <c r="AL1226" i="2" s="1"/>
  <c r="AK1040" i="2"/>
  <c r="AL1040" i="2" s="1"/>
  <c r="AH1040" i="2"/>
  <c r="AK761" i="2"/>
  <c r="AL761" i="2" s="1"/>
  <c r="AH761" i="2"/>
  <c r="AK373" i="2"/>
  <c r="AL373" i="2" s="1"/>
  <c r="AH373" i="2"/>
  <c r="AK741" i="2"/>
  <c r="AL741" i="2" s="1"/>
  <c r="AH741" i="2"/>
  <c r="AK846" i="2"/>
  <c r="AL846" i="2" s="1"/>
  <c r="AH846" i="2"/>
  <c r="AK1012" i="2"/>
  <c r="AL1012" i="2" s="1"/>
  <c r="AH1012" i="2"/>
  <c r="AK1202" i="2"/>
  <c r="AL1202" i="2" s="1"/>
  <c r="AH1202" i="2"/>
  <c r="AK605" i="2"/>
  <c r="AL605" i="2" s="1"/>
  <c r="AH605" i="2"/>
  <c r="AK437" i="2"/>
  <c r="AL437" i="2" s="1"/>
  <c r="AK694" i="2"/>
  <c r="AL694" i="2" s="1"/>
  <c r="AH694" i="2"/>
  <c r="AK420" i="2"/>
  <c r="AL420" i="2" s="1"/>
  <c r="AH420" i="2"/>
  <c r="AK748" i="2"/>
  <c r="AL748" i="2" s="1"/>
  <c r="AH748" i="2"/>
  <c r="AK438" i="2"/>
  <c r="AL438" i="2" s="1"/>
  <c r="AH438" i="2"/>
  <c r="AK784" i="2"/>
  <c r="AL784" i="2" s="1"/>
  <c r="AH784" i="2"/>
  <c r="AK1143" i="2"/>
  <c r="AL1143" i="2" s="1"/>
  <c r="AH1143" i="2"/>
  <c r="AK869" i="2"/>
  <c r="AL869" i="2" s="1"/>
  <c r="AH869" i="2"/>
  <c r="AK360" i="2"/>
  <c r="AL360" i="2" s="1"/>
  <c r="AH360" i="2"/>
  <c r="AK272" i="2"/>
  <c r="AL272" i="2" s="1"/>
  <c r="AK1228" i="2"/>
  <c r="AL1228" i="2" s="1"/>
  <c r="AH1228" i="2"/>
  <c r="AK716" i="2"/>
  <c r="AL716" i="2" s="1"/>
  <c r="AH716" i="2"/>
  <c r="AK287" i="2"/>
  <c r="AL287" i="2" s="1"/>
  <c r="AH287" i="2"/>
  <c r="AK1003" i="2"/>
  <c r="AL1003" i="2" s="1"/>
  <c r="AK632" i="2"/>
  <c r="AL632" i="2" s="1"/>
  <c r="AH632" i="2"/>
  <c r="AK421" i="2"/>
  <c r="AL421" i="2" s="1"/>
  <c r="AH421" i="2"/>
  <c r="AK922" i="2"/>
  <c r="AL922" i="2" s="1"/>
  <c r="AH922" i="2"/>
  <c r="AK309" i="2"/>
  <c r="AL309" i="2" s="1"/>
  <c r="AH309" i="2"/>
  <c r="AK684" i="2"/>
  <c r="AL684" i="2" s="1"/>
  <c r="AH684" i="2"/>
  <c r="AK992" i="2"/>
  <c r="AL992" i="2" s="1"/>
  <c r="AH992" i="2"/>
  <c r="AK1128" i="2"/>
  <c r="AL1128" i="2" s="1"/>
  <c r="AH1128" i="2"/>
  <c r="AK484" i="2"/>
  <c r="AL484" i="2" s="1"/>
  <c r="AH484" i="2"/>
  <c r="AK455" i="2"/>
  <c r="AL455" i="2" s="1"/>
  <c r="AH455" i="2"/>
  <c r="AK703" i="2"/>
  <c r="AL703" i="2" s="1"/>
  <c r="AH703" i="2"/>
  <c r="AK532" i="2"/>
  <c r="AL532" i="2" s="1"/>
  <c r="AH532" i="2"/>
  <c r="AK291" i="2"/>
  <c r="AL291" i="2" s="1"/>
  <c r="AH291" i="2"/>
  <c r="AK820" i="2"/>
  <c r="AL820" i="2" s="1"/>
  <c r="AH820" i="2"/>
  <c r="AK907" i="2"/>
  <c r="AL907" i="2" s="1"/>
  <c r="AH907" i="2"/>
  <c r="AK503" i="2"/>
  <c r="AL503" i="2" s="1"/>
  <c r="AH503" i="2"/>
  <c r="AK890" i="2"/>
  <c r="AL890" i="2" s="1"/>
  <c r="AH890" i="2"/>
  <c r="AK493" i="2"/>
  <c r="AL493" i="2" s="1"/>
  <c r="AH493" i="2"/>
  <c r="AK283" i="2"/>
  <c r="AL283" i="2" s="1"/>
  <c r="AH283" i="2"/>
  <c r="AK607" i="2"/>
  <c r="AL607" i="2" s="1"/>
  <c r="AH607" i="2"/>
  <c r="AK254" i="2"/>
  <c r="AL254" i="2" s="1"/>
  <c r="AH254" i="2"/>
  <c r="AK818" i="2"/>
  <c r="AL818" i="2" s="1"/>
  <c r="AH818" i="2"/>
  <c r="AK1150" i="2"/>
  <c r="AL1150" i="2" s="1"/>
  <c r="AH1150" i="2"/>
  <c r="AK425" i="2"/>
  <c r="AL425" i="2" s="1"/>
  <c r="AH425" i="2"/>
  <c r="AK565" i="2"/>
  <c r="AL565" i="2" s="1"/>
  <c r="AH565" i="2"/>
  <c r="AK371" i="2"/>
  <c r="AL371" i="2" s="1"/>
  <c r="AK401" i="2"/>
  <c r="AL401" i="2" s="1"/>
  <c r="AH401" i="2"/>
  <c r="AK1017" i="2"/>
  <c r="AL1017" i="2" s="1"/>
  <c r="AH1017" i="2"/>
  <c r="AH993" i="2"/>
  <c r="AK517" i="2"/>
  <c r="AL517" i="2" s="1"/>
  <c r="AH517" i="2"/>
  <c r="AK985" i="2"/>
  <c r="AL985" i="2" s="1"/>
  <c r="AH985" i="2"/>
  <c r="AK582" i="2"/>
  <c r="AL582" i="2" s="1"/>
  <c r="AH582" i="2"/>
  <c r="AK603" i="2"/>
  <c r="AL603" i="2" s="1"/>
  <c r="AH603" i="2"/>
  <c r="AK218" i="2"/>
  <c r="AL218" i="2" s="1"/>
  <c r="AH218" i="2"/>
  <c r="AK1221" i="2"/>
  <c r="AL1221" i="2" s="1"/>
  <c r="AH1221" i="2"/>
  <c r="AK1092" i="2"/>
  <c r="AL1092" i="2" s="1"/>
  <c r="AH1092" i="2"/>
  <c r="AK1053" i="2"/>
  <c r="AL1053" i="2" s="1"/>
  <c r="AH1053" i="2"/>
  <c r="AK496" i="2"/>
  <c r="AL496" i="2" s="1"/>
  <c r="AH496" i="2"/>
  <c r="AK289" i="2"/>
  <c r="AL289" i="2" s="1"/>
  <c r="AH289" i="2"/>
  <c r="AK223" i="2"/>
  <c r="AL223" i="2" s="1"/>
  <c r="AH223" i="2"/>
  <c r="AK206" i="2"/>
  <c r="AL206" i="2" s="1"/>
  <c r="AH206" i="2"/>
  <c r="AK396" i="2"/>
  <c r="AL396" i="2" s="1"/>
  <c r="AH396" i="2"/>
  <c r="AK888" i="2"/>
  <c r="AL888" i="2" s="1"/>
  <c r="AH888" i="2"/>
  <c r="AK815" i="2"/>
  <c r="AL815" i="2" s="1"/>
  <c r="AH815" i="2"/>
  <c r="AK1178" i="2"/>
  <c r="AL1178" i="2" s="1"/>
  <c r="AH1178" i="2"/>
  <c r="AK944" i="2"/>
  <c r="AL944" i="2" s="1"/>
  <c r="AH944" i="2"/>
  <c r="AK1042" i="2"/>
  <c r="AL1042" i="2" s="1"/>
  <c r="AH1042" i="2"/>
  <c r="AK1002" i="2"/>
  <c r="AL1002" i="2" s="1"/>
  <c r="AH1002" i="2"/>
  <c r="AK596" i="2"/>
  <c r="AL596" i="2" s="1"/>
  <c r="AH596" i="2"/>
  <c r="AK359" i="2"/>
  <c r="AL359" i="2" s="1"/>
  <c r="AH359" i="2"/>
  <c r="AK863" i="2"/>
  <c r="AL863" i="2" s="1"/>
  <c r="AH863" i="2"/>
  <c r="AK570" i="2"/>
  <c r="AL570" i="2" s="1"/>
  <c r="AH570" i="2"/>
  <c r="AK692" i="2"/>
  <c r="AL692" i="2" s="1"/>
  <c r="AH692" i="2"/>
  <c r="AK663" i="2"/>
  <c r="AL663" i="2" s="1"/>
  <c r="AK626" i="2"/>
  <c r="AL626" i="2" s="1"/>
  <c r="AH626" i="2"/>
  <c r="AK738" i="2"/>
  <c r="AL738" i="2" s="1"/>
  <c r="AH738" i="2"/>
  <c r="AK424" i="2"/>
  <c r="AL424" i="2" s="1"/>
  <c r="AH424" i="2"/>
  <c r="AK979" i="2"/>
  <c r="AL979" i="2" s="1"/>
  <c r="AH979" i="2"/>
  <c r="AK512" i="2"/>
  <c r="AL512" i="2" s="1"/>
  <c r="AH512" i="2"/>
  <c r="AK1070" i="2"/>
  <c r="AL1070" i="2" s="1"/>
  <c r="AH1070" i="2"/>
  <c r="AK710" i="2"/>
  <c r="AL710" i="2" s="1"/>
  <c r="AK252" i="2"/>
  <c r="AL252" i="2" s="1"/>
  <c r="AH932" i="2"/>
  <c r="AK389" i="2"/>
  <c r="AL389" i="2" s="1"/>
  <c r="AH389" i="2"/>
  <c r="AK1172" i="2"/>
  <c r="AL1172" i="2" s="1"/>
  <c r="AH1172" i="2"/>
  <c r="AK711" i="2"/>
  <c r="AL711" i="2" s="1"/>
  <c r="AH711" i="2"/>
  <c r="AK323" i="2"/>
  <c r="AL323" i="2" s="1"/>
  <c r="AK667" i="2"/>
  <c r="AL667" i="2" s="1"/>
  <c r="AH667" i="2"/>
  <c r="AK261" i="2"/>
  <c r="AL261" i="2" s="1"/>
  <c r="AH261" i="2"/>
  <c r="AK418" i="2"/>
  <c r="AL418" i="2" s="1"/>
  <c r="AH418" i="2"/>
  <c r="AK584" i="2"/>
  <c r="AL584" i="2" s="1"/>
  <c r="AH584" i="2"/>
  <c r="AK864" i="2"/>
  <c r="AL864" i="2" s="1"/>
  <c r="AH864" i="2"/>
  <c r="AK506" i="2"/>
  <c r="AL506" i="2" s="1"/>
  <c r="AH506" i="2"/>
  <c r="AK814" i="2"/>
  <c r="AL814" i="2" s="1"/>
  <c r="AH814" i="2"/>
  <c r="AK1050" i="2"/>
  <c r="AL1050" i="2" s="1"/>
  <c r="AH1050" i="2"/>
  <c r="AK948" i="2"/>
  <c r="AL948" i="2" s="1"/>
  <c r="AH948" i="2"/>
  <c r="AK1160" i="2"/>
  <c r="AL1160" i="2" s="1"/>
  <c r="AH1160" i="2"/>
  <c r="AK482" i="2"/>
  <c r="AL482" i="2" s="1"/>
  <c r="AK542" i="2"/>
  <c r="AL542" i="2" s="1"/>
  <c r="AH542" i="2"/>
  <c r="AK1115" i="2"/>
  <c r="AL1115" i="2" s="1"/>
  <c r="AH1115" i="2"/>
  <c r="AK1191" i="2"/>
  <c r="AL1191" i="2" s="1"/>
  <c r="AH1191" i="2"/>
  <c r="AH310" i="2"/>
  <c r="AK505" i="2"/>
  <c r="AL505" i="2" s="1"/>
  <c r="AH505" i="2"/>
  <c r="AK349" i="2"/>
  <c r="AL349" i="2" s="1"/>
  <c r="AH349" i="2"/>
  <c r="AK751" i="2"/>
  <c r="AL751" i="2" s="1"/>
  <c r="AK645" i="2"/>
  <c r="AL645" i="2" s="1"/>
  <c r="AH645" i="2"/>
  <c r="AK1047" i="2"/>
  <c r="AL1047" i="2" s="1"/>
  <c r="AH1047" i="2"/>
  <c r="AK988" i="2"/>
  <c r="AL988" i="2" s="1"/>
  <c r="AH988" i="2"/>
  <c r="AK1130" i="2"/>
  <c r="AL1130" i="2" s="1"/>
  <c r="AH1130" i="2"/>
  <c r="AK498" i="2"/>
  <c r="AL498" i="2" s="1"/>
  <c r="AH498" i="2"/>
  <c r="AK202" i="2"/>
  <c r="AL202" i="2" s="1"/>
  <c r="AH202" i="2"/>
  <c r="AK813" i="2"/>
  <c r="AL813" i="2" s="1"/>
  <c r="AH813" i="2"/>
  <c r="AK1157" i="2"/>
  <c r="AL1157" i="2" s="1"/>
  <c r="AK556" i="2"/>
  <c r="AL556" i="2" s="1"/>
  <c r="AH556" i="2"/>
  <c r="AK510" i="2"/>
  <c r="AL510" i="2" s="1"/>
  <c r="AH510" i="2"/>
  <c r="AK1175" i="2"/>
  <c r="AL1175" i="2" s="1"/>
  <c r="AH1175" i="2"/>
  <c r="AK214" i="2"/>
  <c r="AL214" i="2" s="1"/>
  <c r="AH214" i="2"/>
  <c r="AK324" i="2"/>
  <c r="AL324" i="2" s="1"/>
  <c r="AH324" i="2"/>
  <c r="AK643" i="2"/>
  <c r="AL643" i="2" s="1"/>
  <c r="AH643" i="2"/>
  <c r="AK504" i="2"/>
  <c r="AL504" i="2" s="1"/>
  <c r="AH504" i="2"/>
  <c r="AK629" i="2"/>
  <c r="AL629" i="2" s="1"/>
  <c r="AH629" i="2"/>
  <c r="AK1075" i="2"/>
  <c r="AL1075" i="2" s="1"/>
  <c r="AH1075" i="2"/>
  <c r="AK1031" i="2"/>
  <c r="AL1031" i="2" s="1"/>
  <c r="AH1031" i="2"/>
  <c r="AH1106" i="2"/>
  <c r="AK737" i="2"/>
  <c r="AL737" i="2" s="1"/>
  <c r="AH737" i="2"/>
  <c r="AK754" i="2"/>
  <c r="AL754" i="2" s="1"/>
  <c r="AH754" i="2"/>
  <c r="AK717" i="2"/>
  <c r="AL717" i="2" s="1"/>
  <c r="AH717" i="2"/>
  <c r="AK799" i="2"/>
  <c r="AL799" i="2" s="1"/>
  <c r="AK690" i="2"/>
  <c r="AL690" i="2" s="1"/>
  <c r="AH690" i="2"/>
  <c r="AK543" i="2"/>
  <c r="AL543" i="2" s="1"/>
  <c r="AH543" i="2"/>
  <c r="AK983" i="2"/>
  <c r="AL983" i="2" s="1"/>
  <c r="AH983" i="2"/>
  <c r="AK1058" i="2"/>
  <c r="AL1058" i="2" s="1"/>
  <c r="AH1058" i="2"/>
  <c r="AK276" i="2"/>
  <c r="AL276" i="2" s="1"/>
  <c r="AH276" i="2"/>
  <c r="AK905" i="2"/>
  <c r="AL905" i="2" s="1"/>
  <c r="AH905" i="2"/>
  <c r="AK704" i="2"/>
  <c r="AL704" i="2" s="1"/>
  <c r="AH704" i="2"/>
  <c r="AK315" i="2"/>
  <c r="AL315" i="2" s="1"/>
  <c r="AK431" i="2"/>
  <c r="AL431" i="2" s="1"/>
  <c r="AH431" i="2"/>
  <c r="AK920" i="2"/>
  <c r="AL920" i="2" s="1"/>
  <c r="AH920" i="2"/>
  <c r="AK1197" i="2"/>
  <c r="AL1197" i="2" s="1"/>
  <c r="AH1197" i="2"/>
  <c r="AK1015" i="2"/>
  <c r="AL1015" i="2" s="1"/>
  <c r="AH1015" i="2"/>
  <c r="AK521" i="2"/>
  <c r="AL521" i="2" s="1"/>
  <c r="AK442" i="2"/>
  <c r="AL442" i="2" s="1"/>
  <c r="AH442" i="2"/>
  <c r="AK931" i="2"/>
  <c r="AL931" i="2" s="1"/>
  <c r="AH931" i="2"/>
  <c r="AK1099" i="2"/>
  <c r="AL1099" i="2" s="1"/>
  <c r="AH1099" i="2"/>
  <c r="AK386" i="2"/>
  <c r="AL386" i="2" s="1"/>
  <c r="AH386" i="2"/>
  <c r="AK450" i="2"/>
  <c r="AL450" i="2" s="1"/>
  <c r="AH450" i="2"/>
  <c r="AK708" i="2"/>
  <c r="AL708" i="2" s="1"/>
  <c r="AH708" i="2"/>
  <c r="AK1162" i="2"/>
  <c r="AL1162" i="2" s="1"/>
  <c r="AH1162" i="2"/>
  <c r="AK1076" i="2"/>
  <c r="AL1076" i="2" s="1"/>
  <c r="AH1076" i="2"/>
  <c r="AK779" i="2"/>
  <c r="AL779" i="2" s="1"/>
  <c r="AH779" i="2"/>
  <c r="AK321" i="2"/>
  <c r="AL321" i="2" s="1"/>
  <c r="AH321" i="2"/>
  <c r="AK746" i="2"/>
  <c r="AL746" i="2" s="1"/>
  <c r="AH746" i="2"/>
  <c r="AK680" i="2"/>
  <c r="AL680" i="2" s="1"/>
  <c r="AK488" i="2"/>
  <c r="AL488" i="2" s="1"/>
  <c r="AH488" i="2"/>
  <c r="AK415" i="2"/>
  <c r="AL415" i="2" s="1"/>
  <c r="AH415" i="2"/>
  <c r="AK207" i="2"/>
  <c r="AL207" i="2" s="1"/>
  <c r="AH207" i="2"/>
  <c r="AK718" i="2"/>
  <c r="AL718" i="2" s="1"/>
  <c r="AH718" i="2"/>
  <c r="AK1072" i="2"/>
  <c r="AL1072" i="2" s="1"/>
  <c r="AH1072" i="2"/>
  <c r="AK473" i="2"/>
  <c r="AL473" i="2" s="1"/>
  <c r="AK696" i="2"/>
  <c r="AL696" i="2" s="1"/>
  <c r="AH696" i="2"/>
  <c r="AK952" i="2"/>
  <c r="AL952" i="2" s="1"/>
  <c r="AH952" i="2"/>
  <c r="AK327" i="2"/>
  <c r="AL327" i="2" s="1"/>
  <c r="AH327" i="2"/>
  <c r="AK1170" i="2"/>
  <c r="AL1170" i="2" s="1"/>
  <c r="AH1170" i="2"/>
  <c r="AK706" i="2"/>
  <c r="AL706" i="2" s="1"/>
  <c r="AH706" i="2"/>
  <c r="AK301" i="2"/>
  <c r="AL301" i="2" s="1"/>
  <c r="AH301" i="2"/>
  <c r="AK447" i="2"/>
  <c r="AL447" i="2" s="1"/>
  <c r="AH447" i="2"/>
  <c r="AH489" i="2"/>
  <c r="AK352" i="2"/>
  <c r="AL352" i="2" s="1"/>
  <c r="AH352" i="2"/>
  <c r="AK1018" i="2"/>
  <c r="AL1018" i="2" s="1"/>
  <c r="AH1018" i="2"/>
  <c r="AK585" i="2"/>
  <c r="AL585" i="2" s="1"/>
  <c r="AH585" i="2"/>
  <c r="AK527" i="2"/>
  <c r="AL527" i="2" s="1"/>
  <c r="AH527" i="2"/>
  <c r="AK1193" i="2"/>
  <c r="AL1193" i="2" s="1"/>
  <c r="AH1193" i="2"/>
  <c r="AK381" i="2"/>
  <c r="AL381" i="2" s="1"/>
  <c r="AH381" i="2"/>
  <c r="AK411" i="2"/>
  <c r="AL411" i="2" s="1"/>
  <c r="AH411" i="2"/>
  <c r="AK916" i="2"/>
  <c r="AL916" i="2" s="1"/>
  <c r="AH916" i="2"/>
  <c r="AK297" i="2"/>
  <c r="AL297" i="2" s="1"/>
  <c r="AK1118" i="2"/>
  <c r="AL1118" i="2" s="1"/>
  <c r="AH1118" i="2"/>
  <c r="AK451" i="2"/>
  <c r="AL451" i="2" s="1"/>
  <c r="AH451" i="2"/>
  <c r="AK834" i="2"/>
  <c r="AL834" i="2" s="1"/>
  <c r="AH834" i="2"/>
  <c r="AK1141" i="2"/>
  <c r="AL1141" i="2" s="1"/>
  <c r="AK817" i="2"/>
  <c r="AL817" i="2" s="1"/>
  <c r="AK319" i="2"/>
  <c r="AL319" i="2" s="1"/>
  <c r="AH319" i="2"/>
  <c r="AK242" i="2"/>
  <c r="AL242" i="2" s="1"/>
  <c r="AH242" i="2"/>
  <c r="AK243" i="2"/>
  <c r="AL243" i="2" s="1"/>
  <c r="AH243" i="2"/>
  <c r="AK923" i="2"/>
  <c r="AL923" i="2" s="1"/>
  <c r="AH923" i="2"/>
  <c r="AK671" i="2"/>
  <c r="AL671" i="2" s="1"/>
  <c r="AH671" i="2"/>
  <c r="AK256" i="2"/>
  <c r="AL256" i="2" s="1"/>
  <c r="AH256" i="2"/>
  <c r="AK871" i="2"/>
  <c r="AL871" i="2" s="1"/>
  <c r="AH871" i="2"/>
  <c r="AK573" i="2"/>
  <c r="AL573" i="2" s="1"/>
  <c r="AH573" i="2"/>
  <c r="AK361" i="2"/>
  <c r="AL361" i="2" s="1"/>
  <c r="AH361" i="2"/>
  <c r="AK908" i="2"/>
  <c r="AL908" i="2" s="1"/>
  <c r="AH908" i="2"/>
  <c r="AK566" i="2"/>
  <c r="AL566" i="2" s="1"/>
  <c r="AH566" i="2"/>
  <c r="AK491" i="2"/>
  <c r="AL491" i="2" s="1"/>
  <c r="AH491" i="2"/>
  <c r="AK274" i="2"/>
  <c r="AL274" i="2" s="1"/>
  <c r="AH274" i="2"/>
  <c r="AK591" i="2"/>
  <c r="AL591" i="2" s="1"/>
  <c r="AH591" i="2"/>
  <c r="AK949" i="2"/>
  <c r="AL949" i="2" s="1"/>
  <c r="AH949" i="2"/>
  <c r="AK1027" i="2"/>
  <c r="AL1027" i="2" s="1"/>
  <c r="AH1027" i="2"/>
  <c r="AK294" i="2"/>
  <c r="AL294" i="2" s="1"/>
  <c r="AH294" i="2"/>
  <c r="AK601" i="2"/>
  <c r="AL601" i="2" s="1"/>
  <c r="AH601" i="2"/>
  <c r="AK1137" i="2"/>
  <c r="AL1137" i="2" s="1"/>
  <c r="AH1137" i="2"/>
  <c r="AH830" i="2"/>
  <c r="AK946" i="2"/>
  <c r="AL946" i="2" s="1"/>
  <c r="AH946" i="2"/>
  <c r="AH1164" i="2"/>
  <c r="AK1207" i="2"/>
  <c r="AL1207" i="2" s="1"/>
  <c r="AH1207" i="2"/>
  <c r="AH572" i="2"/>
  <c r="AK462" i="2"/>
  <c r="AL462" i="2" s="1"/>
  <c r="AK1052" i="2"/>
  <c r="AL1052" i="2" s="1"/>
  <c r="AH1052" i="2"/>
  <c r="AK844" i="2"/>
  <c r="AL844" i="2" s="1"/>
  <c r="AH844" i="2"/>
  <c r="AK880" i="2"/>
  <c r="AL880" i="2" s="1"/>
  <c r="AH880" i="2"/>
  <c r="AK558" i="2"/>
  <c r="AL558" i="2" s="1"/>
  <c r="AH558" i="2"/>
  <c r="AK372" i="2"/>
  <c r="AL372" i="2" s="1"/>
  <c r="AH372" i="2"/>
  <c r="AK500" i="2"/>
  <c r="AL500" i="2" s="1"/>
  <c r="AH500" i="2"/>
  <c r="AK958" i="2"/>
  <c r="AL958" i="2" s="1"/>
  <c r="AH958" i="2"/>
  <c r="AK1134" i="2"/>
  <c r="AL1134" i="2" s="1"/>
  <c r="AH1134" i="2"/>
  <c r="AK326" i="2"/>
  <c r="AL326" i="2" s="1"/>
  <c r="AH326" i="2"/>
  <c r="AK518" i="2"/>
  <c r="AL518" i="2" s="1"/>
  <c r="AK782" i="2"/>
  <c r="AL782" i="2" s="1"/>
  <c r="AH782" i="2"/>
  <c r="AK1108" i="2"/>
  <c r="AL1108" i="2" s="1"/>
  <c r="AH1108" i="2"/>
  <c r="AK280" i="2"/>
  <c r="AL280" i="2" s="1"/>
  <c r="AH280" i="2"/>
  <c r="AK825" i="2"/>
  <c r="AL825" i="2" s="1"/>
  <c r="AH825" i="2"/>
  <c r="AH248" i="2"/>
  <c r="AK1009" i="2"/>
  <c r="AL1009" i="2" s="1"/>
  <c r="AH1009" i="2"/>
  <c r="AK1223" i="2"/>
  <c r="AL1223" i="2" s="1"/>
  <c r="AH1223" i="2"/>
  <c r="AK1078" i="2"/>
  <c r="AL1078" i="2" s="1"/>
  <c r="AH1078" i="2"/>
  <c r="AK262" i="2"/>
  <c r="AL262" i="2" s="1"/>
  <c r="AH262" i="2"/>
  <c r="AK705" i="2"/>
  <c r="AL705" i="2" s="1"/>
  <c r="AH705" i="2"/>
  <c r="AK829" i="2"/>
  <c r="AL829" i="2" s="1"/>
  <c r="AH829" i="2"/>
  <c r="AH559" i="2"/>
  <c r="AK866" i="2"/>
  <c r="AL866" i="2" s="1"/>
  <c r="AH866" i="2"/>
  <c r="AK613" i="2"/>
  <c r="AL613" i="2" s="1"/>
  <c r="AH613" i="2"/>
  <c r="AK481" i="2"/>
  <c r="AL481" i="2" s="1"/>
  <c r="AH481" i="2"/>
  <c r="AH1061" i="2"/>
  <c r="AK1006" i="2"/>
  <c r="AL1006" i="2" s="1"/>
  <c r="AH1006" i="2"/>
  <c r="AK786" i="2"/>
  <c r="AL786" i="2" s="1"/>
  <c r="AH786" i="2"/>
  <c r="AK593" i="2"/>
  <c r="AL593" i="2" s="1"/>
  <c r="AK1174" i="2"/>
  <c r="AL1174" i="2" s="1"/>
  <c r="AH1174" i="2"/>
  <c r="AK459" i="2"/>
  <c r="AL459" i="2" s="1"/>
  <c r="AH459" i="2"/>
  <c r="AK805" i="2"/>
  <c r="AL805" i="2" s="1"/>
  <c r="AH805" i="2"/>
  <c r="AK900" i="2"/>
  <c r="AL900" i="2" s="1"/>
  <c r="AH900" i="2"/>
  <c r="AK567" i="2"/>
  <c r="AL567" i="2" s="1"/>
  <c r="AH567" i="2"/>
  <c r="AK762" i="2"/>
  <c r="AL762" i="2" s="1"/>
  <c r="AH762" i="2"/>
  <c r="AK576" i="2"/>
  <c r="AL576" i="2" s="1"/>
  <c r="AH576" i="2"/>
  <c r="AK856" i="2"/>
  <c r="AL856" i="2" s="1"/>
  <c r="AH856" i="2"/>
  <c r="AK996" i="2"/>
  <c r="AL996" i="2" s="1"/>
  <c r="AH996" i="2"/>
  <c r="AK840" i="2"/>
  <c r="AL840" i="2" s="1"/>
  <c r="AH840" i="2"/>
  <c r="AK895" i="2"/>
  <c r="AL895" i="2" s="1"/>
  <c r="AH895" i="2"/>
  <c r="AK399" i="2"/>
  <c r="AL399" i="2" s="1"/>
  <c r="AH399" i="2"/>
  <c r="AK227" i="2"/>
  <c r="AL227" i="2" s="1"/>
  <c r="AH227" i="2"/>
  <c r="AK279" i="2"/>
  <c r="AL279" i="2" s="1"/>
  <c r="AH279" i="2"/>
  <c r="AK1155" i="2"/>
  <c r="AL1155" i="2" s="1"/>
  <c r="AH1155" i="2"/>
  <c r="AK616" i="2"/>
  <c r="AL616" i="2" s="1"/>
  <c r="AH616" i="2"/>
  <c r="AK824" i="2"/>
  <c r="AL824" i="2" s="1"/>
  <c r="AH824" i="2"/>
  <c r="AK1120" i="2"/>
  <c r="AL1120" i="2" s="1"/>
  <c r="AH1120" i="2"/>
  <c r="AK747" i="2"/>
  <c r="AL747" i="2" s="1"/>
  <c r="AH747" i="2"/>
  <c r="AK720" i="2"/>
  <c r="AL720" i="2" s="1"/>
  <c r="AH720" i="2"/>
  <c r="AK853" i="2"/>
  <c r="AL853" i="2" s="1"/>
  <c r="AH853" i="2"/>
  <c r="AH785" i="2"/>
  <c r="AK231" i="2"/>
  <c r="AL231" i="2" s="1"/>
  <c r="AH231" i="2"/>
  <c r="AK802" i="2"/>
  <c r="AL802" i="2" s="1"/>
  <c r="AH802" i="2"/>
  <c r="AK664" i="2"/>
  <c r="AL664" i="2" s="1"/>
  <c r="AH664" i="2"/>
  <c r="Y476" i="2"/>
  <c r="Y917" i="2"/>
  <c r="Y587" i="2"/>
  <c r="Y198" i="2"/>
  <c r="Y304" i="2"/>
  <c r="Y1025" i="2"/>
  <c r="Y123" i="2"/>
  <c r="Y973" i="2"/>
  <c r="Y538" i="2"/>
  <c r="Y674" i="2"/>
  <c r="Y1059" i="2"/>
  <c r="Y1139" i="2"/>
  <c r="Y337" i="2"/>
  <c r="Y766" i="2"/>
  <c r="Y192" i="2"/>
  <c r="Y1026" i="2"/>
  <c r="Y995" i="2"/>
  <c r="Y709" i="2"/>
  <c r="Y639" i="2"/>
  <c r="Y621" i="2"/>
  <c r="Y1125" i="2"/>
  <c r="Y724" i="2"/>
  <c r="Y579" i="2"/>
  <c r="Y225" i="2"/>
  <c r="Y213" i="2"/>
  <c r="Y608" i="2"/>
  <c r="Y345" i="2"/>
  <c r="Y124" i="2"/>
  <c r="Y963" i="2"/>
  <c r="Y434" i="2"/>
  <c r="Y854" i="2"/>
  <c r="Y377" i="2"/>
  <c r="Y743" i="2"/>
  <c r="Y715" i="2"/>
  <c r="Y364" i="2"/>
  <c r="Y419" i="2"/>
  <c r="Y444" i="2"/>
  <c r="Y586" i="2"/>
  <c r="Y131" i="2"/>
  <c r="Y332" i="2"/>
  <c r="Y712" i="2"/>
  <c r="Y760" i="2"/>
  <c r="Y827" i="2"/>
  <c r="Y121" i="2"/>
  <c r="Y97" i="2"/>
  <c r="Y1146" i="2"/>
  <c r="Y191" i="2"/>
  <c r="Y69" i="2"/>
  <c r="Y22" i="2"/>
  <c r="Y742" i="2"/>
  <c r="Y240" i="2"/>
  <c r="Y468" i="2"/>
  <c r="Y673" i="2"/>
  <c r="Y1149" i="2"/>
  <c r="Y914" i="2"/>
  <c r="Y37" i="2"/>
  <c r="Y668" i="2"/>
  <c r="Y778" i="2"/>
  <c r="Y72" i="2"/>
  <c r="Y369" i="2"/>
  <c r="Y756" i="2"/>
  <c r="Y159" i="2"/>
  <c r="AK159" i="2" s="1"/>
  <c r="AL159" i="2" s="1"/>
  <c r="Y640" i="2"/>
  <c r="Y776" i="2"/>
  <c r="Y136" i="2"/>
  <c r="Y204" i="2"/>
  <c r="Y1148" i="2"/>
  <c r="Y18" i="2"/>
  <c r="Y367" i="2"/>
  <c r="Y245" i="2"/>
  <c r="Y1001" i="2"/>
  <c r="Y66" i="2"/>
  <c r="Y1173" i="2"/>
  <c r="Y382" i="2"/>
  <c r="Y267" i="2"/>
  <c r="Y251" i="2"/>
  <c r="Y650" i="2"/>
  <c r="Y828" i="2"/>
  <c r="Y764" i="2"/>
  <c r="Y456" i="2"/>
  <c r="Y918" i="2"/>
  <c r="Y375" i="2"/>
  <c r="Y99" i="2"/>
  <c r="Y677" i="2"/>
  <c r="Y119" i="2"/>
  <c r="Y156" i="2"/>
  <c r="Y659" i="2"/>
  <c r="Y1209" i="2"/>
  <c r="Y806" i="2"/>
  <c r="Y266" i="2"/>
  <c r="Y398" i="2"/>
  <c r="Y987" i="2"/>
  <c r="Y58" i="2"/>
  <c r="Y1021" i="2"/>
  <c r="Y1189" i="2"/>
  <c r="Y277" i="2"/>
  <c r="Y1000" i="2"/>
  <c r="Y797" i="2"/>
  <c r="Y138" i="2"/>
  <c r="Y901" i="2"/>
  <c r="Y594" i="2"/>
  <c r="Y416" i="2"/>
  <c r="Y809" i="2"/>
  <c r="Y28" i="2"/>
  <c r="Y1046" i="2"/>
  <c r="Y470" i="2"/>
  <c r="Y158" i="2"/>
  <c r="Y1212" i="2"/>
  <c r="Y93" i="2"/>
  <c r="Y653" i="2"/>
  <c r="Y16" i="2"/>
  <c r="Y1122" i="2"/>
  <c r="Y783" i="2"/>
  <c r="Y695" i="2"/>
  <c r="Y329" i="2"/>
  <c r="Y1176" i="2"/>
  <c r="Y83" i="2"/>
  <c r="Y934" i="2"/>
  <c r="Y448" i="2"/>
  <c r="Y1140" i="2"/>
  <c r="Y1225" i="2"/>
  <c r="Y758" i="2"/>
  <c r="Y1024" i="2"/>
  <c r="Y528" i="2"/>
  <c r="Y678" i="2"/>
  <c r="Y282" i="2"/>
  <c r="Y906" i="2"/>
  <c r="Y101" i="2"/>
  <c r="Y1068" i="2"/>
  <c r="Y406" i="2"/>
  <c r="Y221" i="2"/>
  <c r="Y334" i="2"/>
  <c r="Y775" i="2"/>
  <c r="Y147" i="2"/>
  <c r="AK147" i="2" s="1"/>
  <c r="AL147" i="2" s="1"/>
  <c r="Y841" i="2"/>
  <c r="Y392" i="2"/>
  <c r="Y1093" i="2"/>
  <c r="Y540" i="2"/>
  <c r="Y870" i="2"/>
  <c r="Y180" i="2"/>
  <c r="Y541" i="2"/>
  <c r="Y1094" i="2"/>
  <c r="Y795" i="2"/>
  <c r="Y822" i="2"/>
  <c r="Y108" i="2"/>
  <c r="Y95" i="2"/>
  <c r="AK95" i="2" s="1"/>
  <c r="AL95" i="2" s="1"/>
  <c r="Y936" i="2"/>
  <c r="Y253" i="2"/>
  <c r="Y909" i="2"/>
  <c r="Y238" i="2"/>
  <c r="Y105" i="2"/>
  <c r="Y965" i="2"/>
  <c r="Y1194" i="2"/>
  <c r="Y1230" i="2"/>
  <c r="Y1179" i="2"/>
  <c r="Y259" i="2"/>
  <c r="Y881" i="2"/>
  <c r="Y1187" i="2"/>
  <c r="Y370" i="2"/>
  <c r="Y347" i="2"/>
  <c r="Y1219" i="2"/>
  <c r="Y1030" i="2"/>
  <c r="Y107" i="2"/>
  <c r="Y651" i="2"/>
  <c r="Y322" i="2"/>
  <c r="Y430" i="2"/>
  <c r="Y1104" i="2"/>
  <c r="Y950" i="2"/>
  <c r="Y1201" i="2"/>
  <c r="Y92" i="2"/>
  <c r="Y571" i="2"/>
  <c r="Y258" i="2"/>
  <c r="Y288" i="2"/>
  <c r="Y887" i="2"/>
  <c r="Y872" i="2"/>
  <c r="Y1159" i="2"/>
  <c r="Y1004" i="2"/>
  <c r="Y68" i="2"/>
  <c r="Y595" i="2"/>
  <c r="Y879" i="2"/>
  <c r="Y1097" i="2"/>
  <c r="Y549" i="2"/>
  <c r="Y612" i="2"/>
  <c r="Y819" i="2"/>
  <c r="Y239" i="2"/>
  <c r="Y933" i="2"/>
  <c r="Y1119" i="2"/>
  <c r="Y356" i="2"/>
  <c r="Y552" i="2"/>
  <c r="Y208" i="2"/>
  <c r="Y384" i="2"/>
  <c r="Y1165" i="2"/>
  <c r="Y882" i="2"/>
  <c r="Y516" i="2"/>
  <c r="Y445" i="2"/>
  <c r="Y733" i="2"/>
  <c r="Y867" i="2"/>
  <c r="Y1220" i="2"/>
  <c r="Y195" i="2"/>
  <c r="Y921" i="2"/>
  <c r="Y286" i="2"/>
  <c r="Y588" i="2"/>
  <c r="Y210" i="2"/>
  <c r="Y495" i="2"/>
  <c r="Y35" i="2"/>
  <c r="Y745" i="2"/>
  <c r="Y461" i="2"/>
  <c r="Y577" i="2"/>
  <c r="Y485" i="2"/>
  <c r="Y904" i="2"/>
  <c r="Y681" i="2"/>
  <c r="Y1073" i="2"/>
  <c r="Y390" i="2"/>
  <c r="Y1045" i="2"/>
  <c r="Y545" i="2"/>
  <c r="Y897" i="2"/>
  <c r="Y226" i="2"/>
  <c r="Y581" i="2"/>
  <c r="Y1204" i="2"/>
  <c r="Y986" i="2"/>
  <c r="Y45" i="2"/>
  <c r="Y562" i="2"/>
  <c r="Y422" i="2"/>
  <c r="Y861" i="2"/>
  <c r="Y302" i="2"/>
  <c r="Y618" i="2"/>
  <c r="Y1113" i="2"/>
  <c r="Y898" i="2"/>
  <c r="Y1095" i="2"/>
  <c r="Y1208" i="2"/>
  <c r="Y403" i="2"/>
  <c r="Y81" i="2"/>
  <c r="Y736" i="2"/>
  <c r="Y801" i="2"/>
  <c r="Y185" i="2"/>
  <c r="Y48" i="2"/>
  <c r="Y480" i="2"/>
  <c r="Y1038" i="2"/>
  <c r="Y976" i="2"/>
  <c r="Y211" i="2"/>
  <c r="Y90" i="2"/>
  <c r="Y311" i="2"/>
  <c r="Y912" i="2"/>
  <c r="Y625" i="2"/>
  <c r="Y249" i="2"/>
  <c r="Y878" i="2"/>
  <c r="Y1199" i="2"/>
  <c r="Y1054" i="2"/>
  <c r="Y1110" i="2"/>
  <c r="Y333" i="2"/>
  <c r="Y843" i="2"/>
  <c r="Y39" i="2"/>
  <c r="AK39" i="2" s="1"/>
  <c r="AL39" i="2" s="1"/>
  <c r="Y232" i="2"/>
  <c r="Y893" i="2"/>
  <c r="Y91" i="2"/>
  <c r="AK91" i="2" s="1"/>
  <c r="AL91" i="2" s="1"/>
  <c r="Y490" i="2"/>
  <c r="Y1114" i="2"/>
  <c r="Y1200" i="2"/>
  <c r="Y994" i="2"/>
  <c r="Y125" i="2"/>
  <c r="Y483" i="2"/>
  <c r="Y330" i="2"/>
  <c r="Y845" i="2"/>
  <c r="Y222" i="2"/>
  <c r="Y410" i="2"/>
  <c r="Y915" i="2"/>
  <c r="Y114" i="2"/>
  <c r="Y855" i="2"/>
  <c r="Y982" i="2"/>
  <c r="Y308" i="2"/>
  <c r="Y811" i="2"/>
  <c r="Y407" i="2"/>
  <c r="Y911" i="2"/>
  <c r="Y325" i="2"/>
  <c r="Y474" i="2"/>
  <c r="Y929" i="2"/>
  <c r="Y89" i="2"/>
  <c r="Y823" i="2"/>
  <c r="Y734" i="2"/>
  <c r="Y899" i="2"/>
  <c r="Y237" i="2"/>
  <c r="Y492" i="2"/>
  <c r="Y682" i="2"/>
  <c r="Y561" i="2"/>
  <c r="Y981" i="2"/>
  <c r="Y1063" i="2"/>
  <c r="Y452" i="2"/>
  <c r="Y76" i="2"/>
  <c r="Y791" i="2"/>
  <c r="Y953" i="2"/>
  <c r="Y186" i="2"/>
  <c r="Y465" i="2"/>
  <c r="Y617" i="2"/>
  <c r="Y1109" i="2"/>
  <c r="Y772" i="2"/>
  <c r="Y292" i="2"/>
  <c r="Y487" i="2"/>
  <c r="Y59" i="2"/>
  <c r="AK59" i="2" s="1"/>
  <c r="AL59" i="2" s="1"/>
  <c r="Y974" i="2"/>
  <c r="Y1090" i="2"/>
  <c r="Y298" i="2"/>
  <c r="Y727" i="2"/>
  <c r="Y926" i="2"/>
  <c r="Y729" i="2"/>
  <c r="Y429" i="2"/>
  <c r="Y847" i="2"/>
  <c r="Y544" i="2"/>
  <c r="Y1154" i="2"/>
  <c r="Y1020" i="2"/>
  <c r="Y515" i="2"/>
  <c r="Y858" i="2"/>
  <c r="Y478" i="2"/>
  <c r="Y967" i="2"/>
  <c r="Y209" i="2"/>
  <c r="Y928" i="2"/>
  <c r="Y769" i="2"/>
  <c r="Y966" i="2"/>
  <c r="Y212" i="2"/>
  <c r="Y701" i="2"/>
  <c r="Y426" i="2"/>
  <c r="Y620" i="2"/>
  <c r="Y590" i="2"/>
  <c r="Y1019" i="2"/>
  <c r="Y1116" i="2"/>
  <c r="Y120" i="2"/>
  <c r="Y328" i="2"/>
  <c r="Y688" i="2"/>
  <c r="Y9" i="2"/>
  <c r="Y862" i="2"/>
  <c r="Y1080" i="2"/>
  <c r="Y956" i="2"/>
  <c r="Y777" i="2"/>
  <c r="Y106" i="2"/>
  <c r="Y471" i="2"/>
  <c r="Y536" i="2"/>
  <c r="Y635" i="2"/>
  <c r="Y1065" i="2"/>
  <c r="Y224" i="2"/>
  <c r="Y807" i="2"/>
  <c r="Y580" i="2"/>
  <c r="Y193" i="2"/>
  <c r="Y486" i="2"/>
  <c r="Y765" i="2"/>
  <c r="Y730" i="2"/>
  <c r="Y606" i="2"/>
  <c r="Y919" i="2"/>
  <c r="Y1028" i="2"/>
  <c r="Y141" i="2"/>
  <c r="Y937" i="2"/>
  <c r="Y154" i="2"/>
  <c r="Y637" i="2"/>
  <c r="Y884" i="2"/>
  <c r="Y2" i="2"/>
  <c r="Y432" i="2"/>
  <c r="Y161" i="2"/>
  <c r="Y838" i="2"/>
  <c r="Y385" i="2"/>
  <c r="Y446" i="2"/>
  <c r="Y1182" i="2"/>
  <c r="Y1032" i="2"/>
  <c r="Y116" i="2"/>
  <c r="Y55" i="2"/>
  <c r="AK55" i="2" s="1"/>
  <c r="AL55" i="2" s="1"/>
  <c r="Y927" i="2"/>
  <c r="Y641" i="2"/>
  <c r="Y290" i="2"/>
  <c r="Y501" i="2"/>
  <c r="Y997" i="2"/>
  <c r="Y1101" i="2"/>
  <c r="Y960" i="2"/>
  <c r="Y628" i="2"/>
  <c r="Y1089" i="2"/>
  <c r="Y614" i="2"/>
  <c r="Y5" i="2"/>
  <c r="Y522" i="2"/>
  <c r="Y835" i="2"/>
  <c r="Y338" i="2"/>
  <c r="Y494" i="2"/>
  <c r="Y1218" i="2"/>
  <c r="Y38" i="2"/>
  <c r="Y877" i="2"/>
  <c r="Y187" i="2"/>
  <c r="Y638" i="2"/>
  <c r="Y1085" i="2"/>
  <c r="Y1010" i="2"/>
  <c r="Y1224" i="2"/>
  <c r="Y940" i="2"/>
  <c r="Y891" i="2"/>
  <c r="Y525" i="2"/>
  <c r="Y657" i="2"/>
  <c r="Y961" i="2"/>
  <c r="Y201" i="2"/>
  <c r="Y357" i="2"/>
  <c r="Y1007" i="2"/>
  <c r="Y1168" i="2"/>
  <c r="Y196" i="2"/>
  <c r="Y548" i="2"/>
  <c r="Y7" i="2"/>
  <c r="Y342" i="2"/>
  <c r="Y726" i="2"/>
  <c r="Y458" i="2"/>
  <c r="Y990" i="2"/>
  <c r="Y1215" i="2"/>
  <c r="Y1079" i="2"/>
  <c r="Y393" i="2"/>
  <c r="Y1185" i="2"/>
  <c r="Y295" i="2"/>
  <c r="Y423" i="2"/>
  <c r="Y941" i="2"/>
  <c r="Y188" i="2"/>
  <c r="Y658" i="2"/>
  <c r="Y255" i="2"/>
  <c r="Y1171" i="2"/>
  <c r="Y70" i="2"/>
  <c r="Y676" i="2"/>
  <c r="Y550" i="2"/>
  <c r="Y943" i="2"/>
  <c r="Y11" i="2"/>
  <c r="Y395" i="2"/>
  <c r="Y740" i="2"/>
  <c r="Y1117" i="2"/>
  <c r="Y1064" i="2"/>
  <c r="Y537" i="2"/>
  <c r="Y796" i="2"/>
  <c r="Y376" i="2"/>
  <c r="Y975" i="2"/>
  <c r="Y341" i="2"/>
  <c r="Y523" i="2"/>
  <c r="Y947" i="2"/>
  <c r="Y178" i="2"/>
  <c r="Y1214" i="2"/>
  <c r="Y454" i="2"/>
  <c r="Y508" i="2"/>
  <c r="Y1105" i="2"/>
  <c r="Y800" i="2"/>
  <c r="Y183" i="2"/>
  <c r="AK183" i="2" s="1"/>
  <c r="AL183" i="2" s="1"/>
  <c r="Y648" i="2"/>
  <c r="Y812" i="2"/>
  <c r="Y1222" i="2"/>
  <c r="Y230" i="2"/>
  <c r="Y1048" i="2"/>
  <c r="Y780" i="2"/>
  <c r="Y1167" i="2"/>
  <c r="Y275" i="2"/>
  <c r="Y374" i="2"/>
  <c r="Y1126" i="2"/>
  <c r="Y77" i="2"/>
  <c r="Y568" i="2"/>
  <c r="Y335" i="2"/>
  <c r="Y1136" i="2"/>
  <c r="Y1044" i="2"/>
  <c r="Y307" i="2"/>
  <c r="Y697" i="2"/>
  <c r="Y832" i="2"/>
  <c r="Y554" i="2"/>
  <c r="Y1074" i="2"/>
  <c r="Y642" i="2"/>
  <c r="Y305" i="2"/>
  <c r="Y1029" i="2"/>
  <c r="Y400" i="2"/>
  <c r="Y234" i="2"/>
  <c r="Y197" i="2"/>
  <c r="Y971" i="2"/>
  <c r="Y343" i="2"/>
  <c r="Y233" i="2"/>
  <c r="Y672" i="2"/>
  <c r="Y980" i="2"/>
  <c r="Y889" i="2"/>
  <c r="Y199" i="2"/>
  <c r="Y428" i="2"/>
  <c r="Y903" i="2"/>
  <c r="Y273" i="2"/>
  <c r="Y874" i="2"/>
  <c r="Y100" i="2"/>
  <c r="Y502" i="2"/>
  <c r="Y831" i="2"/>
  <c r="Y622" i="2"/>
  <c r="Y102" i="2"/>
  <c r="Y531" i="2"/>
  <c r="Y215" i="2"/>
  <c r="Y348" i="2"/>
  <c r="Y1129" i="2"/>
  <c r="Y837" i="2"/>
  <c r="Y1016" i="2"/>
  <c r="Y1083" i="2"/>
  <c r="Y228" i="2"/>
  <c r="Y859" i="2"/>
  <c r="Y30" i="2"/>
  <c r="Y675" i="2"/>
  <c r="Y951" i="2"/>
  <c r="Y1198" i="2"/>
  <c r="Y1062" i="2"/>
  <c r="Y354" i="2"/>
  <c r="Y763" i="2"/>
  <c r="Y412" i="2"/>
  <c r="Y1013" i="2"/>
  <c r="Y731" i="2"/>
  <c r="Y122" i="2"/>
  <c r="Y1005" i="2"/>
  <c r="Y443" i="2"/>
  <c r="Y883" i="2"/>
  <c r="Y519" i="2"/>
  <c r="Y203" i="2"/>
  <c r="Y977" i="2"/>
  <c r="Y842" i="2"/>
  <c r="Y351" i="2"/>
  <c r="Y17" i="2"/>
  <c r="Y1034" i="2"/>
  <c r="Y939" i="2"/>
  <c r="Y669" i="2"/>
  <c r="Y229" i="2"/>
  <c r="Y539" i="2"/>
  <c r="Y771" i="2"/>
  <c r="Y217" i="2"/>
  <c r="Y750" i="2"/>
  <c r="Y1107" i="2"/>
  <c r="Y892" i="2"/>
  <c r="Y358" i="2"/>
  <c r="Y181" i="2"/>
  <c r="Y475" i="2"/>
  <c r="Y511" i="2"/>
  <c r="Y1023" i="2"/>
  <c r="Y1184" i="2"/>
  <c r="Y1096" i="2"/>
  <c r="Y61" i="2"/>
  <c r="Y611" i="2"/>
  <c r="Y8" i="2"/>
  <c r="Y647" i="2"/>
  <c r="Y687" i="2"/>
  <c r="Y449" i="2"/>
  <c r="Y788" i="2"/>
  <c r="Y962" i="2"/>
  <c r="Y166" i="2"/>
  <c r="Y873" i="2"/>
  <c r="Y535" i="2"/>
  <c r="Y959" i="2"/>
  <c r="Y235" i="2"/>
  <c r="Y380" i="2"/>
  <c r="Y1081" i="2"/>
  <c r="Y453" i="2"/>
  <c r="Y1229" i="2"/>
  <c r="Y1192" i="2"/>
  <c r="Y269" i="2"/>
  <c r="Y644" i="2"/>
  <c r="Y247" i="2"/>
  <c r="Y781" i="2"/>
  <c r="Y609" i="2"/>
  <c r="Y555" i="2"/>
  <c r="Y868" i="2"/>
  <c r="Y885" i="2"/>
  <c r="Y1069" i="2"/>
  <c r="Y1098" i="2"/>
  <c r="Y172" i="2"/>
  <c r="Y320" i="2"/>
  <c r="Y1188" i="2"/>
  <c r="Y514" i="2"/>
  <c r="Y84" i="2"/>
  <c r="Y24" i="2"/>
  <c r="Y460" i="2"/>
  <c r="Y98" i="2"/>
  <c r="Y894" i="2"/>
  <c r="Y1041" i="2"/>
  <c r="Y689" i="2"/>
  <c r="Y1077" i="2"/>
  <c r="Y363" i="2"/>
  <c r="Y989" i="2"/>
  <c r="Y110" i="2"/>
  <c r="Y530" i="2"/>
  <c r="Y654" i="2"/>
  <c r="Y4" i="2"/>
  <c r="Y1086" i="2"/>
  <c r="Y1142" i="2"/>
  <c r="Y665" i="2"/>
  <c r="Y1121" i="2"/>
  <c r="Y600" i="2"/>
  <c r="Y569" i="2"/>
  <c r="Y713" i="2"/>
  <c r="Y27" i="2"/>
  <c r="Y602" i="2"/>
  <c r="Y463" i="2"/>
  <c r="Y857" i="2"/>
  <c r="Y130" i="2"/>
  <c r="Y80" i="2"/>
  <c r="Y1213" i="2"/>
  <c r="Y1088" i="2"/>
  <c r="Y660" i="2"/>
  <c r="Y62" i="2"/>
  <c r="Y112" i="2"/>
  <c r="Y1227" i="2"/>
  <c r="Y387" i="2"/>
  <c r="Y924" i="2"/>
  <c r="Y296" i="2"/>
  <c r="Y520" i="2"/>
  <c r="Y619" i="2"/>
  <c r="Y31" i="2"/>
  <c r="AK31" i="2" s="1"/>
  <c r="AL31" i="2" s="1"/>
  <c r="Y789" i="2"/>
  <c r="Y1210" i="2"/>
  <c r="Y1217" i="2"/>
  <c r="Y346" i="2"/>
  <c r="Y755" i="2"/>
  <c r="Y34" i="2"/>
  <c r="Y1203" i="2"/>
  <c r="Y260" i="2"/>
  <c r="Y65" i="2"/>
  <c r="Y472" i="2"/>
  <c r="Y174" i="2"/>
  <c r="Y79" i="2"/>
  <c r="AK79" i="2" s="1"/>
  <c r="AL79" i="2" s="1"/>
  <c r="Y808" i="2"/>
  <c r="Y1082" i="2"/>
  <c r="Y1067" i="2"/>
  <c r="Y1196" i="2"/>
  <c r="Y340" i="2"/>
  <c r="Y698" i="2"/>
  <c r="Y685" i="2"/>
  <c r="Y851" i="2"/>
  <c r="Y714" i="2"/>
  <c r="Y47" i="2"/>
  <c r="AK47" i="2" s="1"/>
  <c r="AL47" i="2" s="1"/>
  <c r="Y1144" i="2"/>
  <c r="Y1180" i="2"/>
  <c r="Y179" i="2"/>
  <c r="AK179" i="2" s="1"/>
  <c r="AL179" i="2" s="1"/>
  <c r="Y402" i="2"/>
  <c r="Y749" i="2"/>
  <c r="Y270" i="2"/>
  <c r="Y524" i="2"/>
  <c r="Y691" i="2"/>
  <c r="Y479" i="2"/>
  <c r="Y1091" i="2"/>
  <c r="Y938" i="2"/>
  <c r="Y627" i="2"/>
  <c r="Y1153" i="2"/>
  <c r="Y152" i="2"/>
  <c r="Y529" i="2"/>
  <c r="Y945" i="2"/>
  <c r="Y560" i="2"/>
  <c r="Y728" i="2"/>
  <c r="Y1087" i="2"/>
  <c r="Y1043" i="2"/>
  <c r="Y553" i="2"/>
  <c r="Y88" i="2"/>
  <c r="Y284" i="2"/>
  <c r="Y652" i="2"/>
  <c r="Y57" i="2"/>
  <c r="Y1166" i="2"/>
  <c r="Y1060" i="2"/>
  <c r="Y1112" i="2"/>
  <c r="Y466" i="2"/>
  <c r="Y365" i="2"/>
  <c r="Y440" i="2"/>
  <c r="Y149" i="2"/>
  <c r="Y60" i="2"/>
  <c r="Y1049" i="2"/>
  <c r="Y111" i="2"/>
  <c r="AK111" i="2" s="1"/>
  <c r="AL111" i="2" s="1"/>
  <c r="Y36" i="2"/>
  <c r="Y876" i="2"/>
  <c r="Y630" i="2"/>
  <c r="Y316" i="2"/>
  <c r="Y852" i="2"/>
  <c r="Y146" i="2"/>
  <c r="Y464" i="2"/>
  <c r="Y1022" i="2"/>
  <c r="Y1123" i="2"/>
  <c r="Y1206" i="2"/>
  <c r="Y610" i="2"/>
  <c r="Y646" i="2"/>
  <c r="Y155" i="2"/>
  <c r="AK155" i="2" s="1"/>
  <c r="AL155" i="2" s="1"/>
  <c r="Y833" i="2"/>
  <c r="Y575" i="2"/>
  <c r="Y1039" i="2"/>
  <c r="Y930" i="2"/>
  <c r="Y317" i="2"/>
  <c r="Y564" i="2"/>
  <c r="Y104" i="2"/>
  <c r="Y408" i="2"/>
  <c r="Y75" i="2"/>
  <c r="Y378" i="2"/>
  <c r="Y773" i="2"/>
  <c r="Y978" i="2"/>
  <c r="Y1035" i="2"/>
  <c r="Y649" i="2"/>
  <c r="Y250" i="2"/>
  <c r="Y85" i="2"/>
  <c r="Y353" i="2"/>
  <c r="Y753" i="2"/>
  <c r="Y1177" i="2"/>
  <c r="Y469" i="2"/>
  <c r="Y798" i="2"/>
  <c r="Y902" i="2"/>
  <c r="Y1051" i="2"/>
  <c r="Y20" i="2"/>
  <c r="Y969" i="2"/>
  <c r="Y216" i="2"/>
  <c r="Y686" i="2"/>
  <c r="Y293" i="2"/>
  <c r="Y362" i="2"/>
  <c r="Y721" i="2"/>
  <c r="Y73" i="2"/>
  <c r="Y662" i="2"/>
  <c r="Y1181" i="2"/>
  <c r="Y1084" i="2"/>
  <c r="G1232" i="2"/>
  <c r="E1232" i="2"/>
  <c r="R3" i="2"/>
  <c r="AK3" i="2" s="1"/>
  <c r="AL3" i="2" s="1"/>
  <c r="R4" i="2"/>
  <c r="R5" i="2"/>
  <c r="R6" i="2"/>
  <c r="R7" i="2"/>
  <c r="R8" i="2"/>
  <c r="R9" i="2"/>
  <c r="R10" i="2"/>
  <c r="AK10" i="2" s="1"/>
  <c r="AL10" i="2" s="1"/>
  <c r="R11" i="2"/>
  <c r="R12" i="2"/>
  <c r="AK12" i="2" s="1"/>
  <c r="AL12" i="2" s="1"/>
  <c r="R13" i="2"/>
  <c r="R14" i="2"/>
  <c r="R15" i="2"/>
  <c r="AK15" i="2" s="1"/>
  <c r="AL15" i="2" s="1"/>
  <c r="R16" i="2"/>
  <c r="R17" i="2"/>
  <c r="R18" i="2"/>
  <c r="R19" i="2"/>
  <c r="R20" i="2"/>
  <c r="R21" i="2"/>
  <c r="R22" i="2"/>
  <c r="R23" i="2"/>
  <c r="AK23" i="2" s="1"/>
  <c r="AL23" i="2" s="1"/>
  <c r="R24" i="2"/>
  <c r="R25" i="2"/>
  <c r="R26" i="2"/>
  <c r="R27" i="2"/>
  <c r="R28" i="2"/>
  <c r="R29" i="2"/>
  <c r="AK29" i="2" s="1"/>
  <c r="AL29" i="2" s="1"/>
  <c r="R30" i="2"/>
  <c r="R31" i="2"/>
  <c r="R32" i="2"/>
  <c r="AK32" i="2" s="1"/>
  <c r="AL32" i="2" s="1"/>
  <c r="R33" i="2"/>
  <c r="AK33" i="2" s="1"/>
  <c r="AL33" i="2" s="1"/>
  <c r="R34" i="2"/>
  <c r="R35" i="2"/>
  <c r="R36" i="2"/>
  <c r="R37" i="2"/>
  <c r="R38" i="2"/>
  <c r="R39" i="2"/>
  <c r="R40" i="2"/>
  <c r="R41" i="2"/>
  <c r="AK41" i="2" s="1"/>
  <c r="AL41" i="2" s="1"/>
  <c r="R42" i="2"/>
  <c r="AK42" i="2" s="1"/>
  <c r="AL42" i="2" s="1"/>
  <c r="R43" i="2"/>
  <c r="R44" i="2"/>
  <c r="R45" i="2"/>
  <c r="R46" i="2"/>
  <c r="R47" i="2"/>
  <c r="R48" i="2"/>
  <c r="R49" i="2"/>
  <c r="R50" i="2"/>
  <c r="AK50" i="2" s="1"/>
  <c r="AL50" i="2" s="1"/>
  <c r="R51" i="2"/>
  <c r="AK51" i="2" s="1"/>
  <c r="AL51" i="2" s="1"/>
  <c r="R52" i="2"/>
  <c r="R53" i="2"/>
  <c r="AK53" i="2" s="1"/>
  <c r="AL53" i="2" s="1"/>
  <c r="R54" i="2"/>
  <c r="AK54" i="2" s="1"/>
  <c r="AL54" i="2" s="1"/>
  <c r="R55" i="2"/>
  <c r="R56" i="2"/>
  <c r="R57" i="2"/>
  <c r="R58" i="2"/>
  <c r="R59" i="2"/>
  <c r="R60" i="2"/>
  <c r="R61" i="2"/>
  <c r="R62" i="2"/>
  <c r="R63" i="2"/>
  <c r="R64" i="2"/>
  <c r="AK64" i="2" s="1"/>
  <c r="AL64" i="2" s="1"/>
  <c r="R65" i="2"/>
  <c r="R66" i="2"/>
  <c r="R67" i="2"/>
  <c r="AK67" i="2" s="1"/>
  <c r="AL67" i="2" s="1"/>
  <c r="R68" i="2"/>
  <c r="R69" i="2"/>
  <c r="R70" i="2"/>
  <c r="R71" i="2"/>
  <c r="R72" i="2"/>
  <c r="R73" i="2"/>
  <c r="R74" i="2"/>
  <c r="AK74" i="2" s="1"/>
  <c r="AL74" i="2" s="1"/>
  <c r="R75" i="2"/>
  <c r="R76" i="2"/>
  <c r="R77" i="2"/>
  <c r="R78" i="2"/>
  <c r="AK78" i="2" s="1"/>
  <c r="AL78" i="2" s="1"/>
  <c r="R79" i="2"/>
  <c r="R80" i="2"/>
  <c r="R81" i="2"/>
  <c r="R82" i="2"/>
  <c r="R83" i="2"/>
  <c r="R84" i="2"/>
  <c r="R85" i="2"/>
  <c r="R86" i="2"/>
  <c r="R87" i="2"/>
  <c r="AK87" i="2" s="1"/>
  <c r="AL87" i="2" s="1"/>
  <c r="R88" i="2"/>
  <c r="R89" i="2"/>
  <c r="R90" i="2"/>
  <c r="R91" i="2"/>
  <c r="R92" i="2"/>
  <c r="R93" i="2"/>
  <c r="R94" i="2"/>
  <c r="R95" i="2"/>
  <c r="R96" i="2"/>
  <c r="AK96" i="2" s="1"/>
  <c r="AL96" i="2" s="1"/>
  <c r="R97" i="2"/>
  <c r="R98" i="2"/>
  <c r="R99" i="2"/>
  <c r="R100" i="2"/>
  <c r="R101" i="2"/>
  <c r="R102" i="2"/>
  <c r="R103" i="2"/>
  <c r="AK103" i="2" s="1"/>
  <c r="AL103" i="2" s="1"/>
  <c r="R104" i="2"/>
  <c r="R105" i="2"/>
  <c r="R106" i="2"/>
  <c r="R107" i="2"/>
  <c r="R108" i="2"/>
  <c r="R109" i="2"/>
  <c r="AK109" i="2" s="1"/>
  <c r="AL109" i="2" s="1"/>
  <c r="R110" i="2"/>
  <c r="R111" i="2"/>
  <c r="R112" i="2"/>
  <c r="R113" i="2"/>
  <c r="R114" i="2"/>
  <c r="R115" i="2"/>
  <c r="AK115" i="2" s="1"/>
  <c r="AL115" i="2" s="1"/>
  <c r="R116" i="2"/>
  <c r="R117" i="2"/>
  <c r="R118" i="2"/>
  <c r="AK118" i="2" s="1"/>
  <c r="AL118" i="2" s="1"/>
  <c r="R119" i="2"/>
  <c r="R120" i="2"/>
  <c r="R121" i="2"/>
  <c r="R122" i="2"/>
  <c r="R123" i="2"/>
  <c r="R124" i="2"/>
  <c r="R125" i="2"/>
  <c r="R126" i="2"/>
  <c r="AK126" i="2" s="1"/>
  <c r="AL126" i="2" s="1"/>
  <c r="R127" i="2"/>
  <c r="R128" i="2"/>
  <c r="R129" i="2"/>
  <c r="R130" i="2"/>
  <c r="R131" i="2"/>
  <c r="R132" i="2"/>
  <c r="R133" i="2"/>
  <c r="R134" i="2"/>
  <c r="AK134" i="2" s="1"/>
  <c r="AL134" i="2" s="1"/>
  <c r="R135" i="2"/>
  <c r="R136" i="2"/>
  <c r="R137" i="2"/>
  <c r="R138" i="2"/>
  <c r="R139" i="2"/>
  <c r="R140" i="2"/>
  <c r="R141" i="2"/>
  <c r="R142" i="2"/>
  <c r="AK142" i="2" s="1"/>
  <c r="AL142" i="2" s="1"/>
  <c r="R143" i="2"/>
  <c r="R144" i="2"/>
  <c r="AK144" i="2" s="1"/>
  <c r="AL144" i="2" s="1"/>
  <c r="R145" i="2"/>
  <c r="R146" i="2"/>
  <c r="R147" i="2"/>
  <c r="R148" i="2"/>
  <c r="AK148" i="2" s="1"/>
  <c r="AL148" i="2" s="1"/>
  <c r="R149" i="2"/>
  <c r="R150" i="2"/>
  <c r="R151" i="2"/>
  <c r="AK151" i="2" s="1"/>
  <c r="AL151" i="2" s="1"/>
  <c r="R152" i="2"/>
  <c r="R153" i="2"/>
  <c r="R154" i="2"/>
  <c r="R155" i="2"/>
  <c r="R156" i="2"/>
  <c r="R157" i="2"/>
  <c r="R158" i="2"/>
  <c r="R159" i="2"/>
  <c r="R160" i="2"/>
  <c r="AK160" i="2" s="1"/>
  <c r="AL160" i="2" s="1"/>
  <c r="R161" i="2"/>
  <c r="R162" i="2"/>
  <c r="R163" i="2"/>
  <c r="R164" i="2"/>
  <c r="AK164" i="2" s="1"/>
  <c r="AL164" i="2" s="1"/>
  <c r="R165" i="2"/>
  <c r="AK165" i="2" s="1"/>
  <c r="AL165" i="2" s="1"/>
  <c r="R166" i="2"/>
  <c r="R167" i="2"/>
  <c r="AK167" i="2" s="1"/>
  <c r="AL167" i="2" s="1"/>
  <c r="R168" i="2"/>
  <c r="AK168" i="2" s="1"/>
  <c r="AL168" i="2" s="1"/>
  <c r="R169" i="2"/>
  <c r="AK169" i="2" s="1"/>
  <c r="AL169" i="2" s="1"/>
  <c r="R170" i="2"/>
  <c r="R171" i="2"/>
  <c r="AK171" i="2" s="1"/>
  <c r="AL171" i="2" s="1"/>
  <c r="R172" i="2"/>
  <c r="R173" i="2"/>
  <c r="AK173" i="2" s="1"/>
  <c r="AL173" i="2" s="1"/>
  <c r="R174" i="2"/>
  <c r="R175" i="2"/>
  <c r="AK175" i="2" s="1"/>
  <c r="AL175" i="2" s="1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AK189" i="2" s="1"/>
  <c r="AL189" i="2" s="1"/>
  <c r="R190" i="2"/>
  <c r="R191" i="2"/>
  <c r="R192" i="2"/>
  <c r="R193" i="2"/>
  <c r="R194" i="2"/>
  <c r="R195" i="2"/>
  <c r="R196" i="2"/>
  <c r="R197" i="2"/>
  <c r="R198" i="2"/>
  <c r="R199" i="2"/>
  <c r="R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" i="2"/>
  <c r="AH583" i="2" l="1"/>
  <c r="AH679" i="2"/>
  <c r="AH860" i="2"/>
  <c r="AH497" i="2"/>
  <c r="AH821" i="2"/>
  <c r="AH803" i="2"/>
  <c r="AH299" i="2"/>
  <c r="AH439" i="2"/>
  <c r="AH886" i="2"/>
  <c r="AH379" i="2"/>
  <c r="AH957" i="2"/>
  <c r="AH413" i="2"/>
  <c r="AH599" i="2"/>
  <c r="AH268" i="2"/>
  <c r="AH313" i="2"/>
  <c r="AH388" i="2"/>
  <c r="AH1036" i="2"/>
  <c r="AH574" i="2"/>
  <c r="AK110" i="2"/>
  <c r="AL110" i="2" s="1"/>
  <c r="AK154" i="2"/>
  <c r="AL154" i="2" s="1"/>
  <c r="AK875" i="2"/>
  <c r="AL875" i="2" s="1"/>
  <c r="AH241" i="2"/>
  <c r="AH816" i="2"/>
  <c r="AH793" i="2"/>
  <c r="AH271" i="2"/>
  <c r="AH865" i="2"/>
  <c r="AH839" i="2"/>
  <c r="AH264" i="2"/>
  <c r="AH281" i="2"/>
  <c r="AH850" i="2"/>
  <c r="AK62" i="2"/>
  <c r="AL62" i="2" s="1"/>
  <c r="AK181" i="2"/>
  <c r="AL181" i="2" s="1"/>
  <c r="AK17" i="2"/>
  <c r="AL17" i="2" s="1"/>
  <c r="AK77" i="2"/>
  <c r="AL77" i="2" s="1"/>
  <c r="AH661" i="2"/>
  <c r="AH1231" i="2"/>
  <c r="AK634" i="2"/>
  <c r="AL634" i="2" s="1"/>
  <c r="AK19" i="2"/>
  <c r="AL19" i="2" s="1"/>
  <c r="AK63" i="2"/>
  <c r="AL63" i="2" s="1"/>
  <c r="AK152" i="2"/>
  <c r="AL152" i="2" s="1"/>
  <c r="AK68" i="2"/>
  <c r="AL68" i="2" s="1"/>
  <c r="AK117" i="2"/>
  <c r="AL117" i="2" s="1"/>
  <c r="AK910" i="2"/>
  <c r="AL910" i="2" s="1"/>
  <c r="AH910" i="2"/>
  <c r="AK176" i="2"/>
  <c r="AL176" i="2" s="1"/>
  <c r="AK194" i="2"/>
  <c r="AL194" i="2" s="1"/>
  <c r="AK331" i="2"/>
  <c r="AL331" i="2" s="1"/>
  <c r="AH331" i="2"/>
  <c r="AK513" i="2"/>
  <c r="AL513" i="2" s="1"/>
  <c r="AH513" i="2"/>
  <c r="AK314" i="2"/>
  <c r="AL314" i="2" s="1"/>
  <c r="AH314" i="2"/>
  <c r="AK774" i="2"/>
  <c r="AL774" i="2" s="1"/>
  <c r="AH774" i="2"/>
  <c r="AK794" i="2"/>
  <c r="AL794" i="2" s="1"/>
  <c r="AH794" i="2"/>
  <c r="AK368" i="2"/>
  <c r="AL368" i="2" s="1"/>
  <c r="AH368" i="2"/>
  <c r="AK1158" i="2"/>
  <c r="AL1158" i="2" s="1"/>
  <c r="AH1158" i="2"/>
  <c r="AK14" i="2"/>
  <c r="AL14" i="2" s="1"/>
  <c r="AK140" i="2"/>
  <c r="AL140" i="2" s="1"/>
  <c r="AK397" i="2"/>
  <c r="AL397" i="2" s="1"/>
  <c r="AH397" i="2"/>
  <c r="AK44" i="2"/>
  <c r="AL44" i="2" s="1"/>
  <c r="AK355" i="2"/>
  <c r="AL355" i="2" s="1"/>
  <c r="AH355" i="2"/>
  <c r="AK26" i="2"/>
  <c r="AL26" i="2" s="1"/>
  <c r="AK75" i="2"/>
  <c r="AL75" i="2" s="1"/>
  <c r="AK146" i="2"/>
  <c r="AL146" i="2" s="1"/>
  <c r="AK60" i="2"/>
  <c r="AL60" i="2" s="1"/>
  <c r="AK57" i="2"/>
  <c r="AL57" i="2" s="1"/>
  <c r="AH1037" i="2"/>
  <c r="AH999" i="2"/>
  <c r="AH1056" i="2"/>
  <c r="AH427" i="2"/>
  <c r="AH615" i="2"/>
  <c r="AH551" i="2"/>
  <c r="AH509" i="2"/>
  <c r="AK597" i="2"/>
  <c r="AL597" i="2" s="1"/>
  <c r="AK350" i="2"/>
  <c r="AL350" i="2" s="1"/>
  <c r="AH655" i="2"/>
  <c r="AH546" i="2"/>
  <c r="AK826" i="2"/>
  <c r="AL826" i="2" s="1"/>
  <c r="AH826" i="2"/>
  <c r="AK88" i="2"/>
  <c r="AL88" i="2" s="1"/>
  <c r="AK80" i="2"/>
  <c r="AL80" i="2" s="1"/>
  <c r="AK92" i="2"/>
  <c r="AL92" i="2" s="1"/>
  <c r="AK156" i="2"/>
  <c r="AL156" i="2" s="1"/>
  <c r="H1232" i="2"/>
  <c r="AK20" i="2"/>
  <c r="AL20" i="2" s="1"/>
  <c r="AK85" i="2"/>
  <c r="AL85" i="2" s="1"/>
  <c r="AK36" i="2"/>
  <c r="AL36" i="2" s="1"/>
  <c r="AK149" i="2"/>
  <c r="AL149" i="2" s="1"/>
  <c r="AK34" i="2"/>
  <c r="AL34" i="2" s="1"/>
  <c r="AK84" i="2"/>
  <c r="AL84" i="2" s="1"/>
  <c r="AK172" i="2"/>
  <c r="AL172" i="2" s="1"/>
  <c r="AK166" i="2"/>
  <c r="AL166" i="2" s="1"/>
  <c r="AK61" i="2"/>
  <c r="AL61" i="2" s="1"/>
  <c r="AK141" i="2"/>
  <c r="AL141" i="2" s="1"/>
  <c r="AK9" i="2"/>
  <c r="AL9" i="2" s="1"/>
  <c r="AK76" i="2"/>
  <c r="AL76" i="2" s="1"/>
  <c r="AK125" i="2"/>
  <c r="AL125" i="2" s="1"/>
  <c r="AK48" i="2"/>
  <c r="AL48" i="2" s="1"/>
  <c r="AK81" i="2"/>
  <c r="AL81" i="2" s="1"/>
  <c r="AK180" i="2"/>
  <c r="AL180" i="2" s="1"/>
  <c r="AK101" i="2"/>
  <c r="AL101" i="2" s="1"/>
  <c r="AK28" i="2"/>
  <c r="AL28" i="2" s="1"/>
  <c r="AK66" i="2"/>
  <c r="AL66" i="2" s="1"/>
  <c r="AK18" i="2"/>
  <c r="AL18" i="2" s="1"/>
  <c r="AK37" i="2"/>
  <c r="AL37" i="2" s="1"/>
  <c r="AK69" i="2"/>
  <c r="AL69" i="2" s="1"/>
  <c r="AK121" i="2"/>
  <c r="AL121" i="2" s="1"/>
  <c r="AK124" i="2"/>
  <c r="AL124" i="2" s="1"/>
  <c r="AH1169" i="2"/>
  <c r="AH804" i="2"/>
  <c r="AH1138" i="2"/>
  <c r="AH306" i="2"/>
  <c r="AH236" i="2"/>
  <c r="AK656" i="2"/>
  <c r="AL656" i="2" s="1"/>
  <c r="AK849" i="2"/>
  <c r="AL849" i="2" s="1"/>
  <c r="AH735" i="2"/>
  <c r="AH477" i="2"/>
  <c r="AH954" i="2"/>
  <c r="AH700" i="2"/>
  <c r="AK405" i="2"/>
  <c r="AL405" i="2" s="1"/>
  <c r="AK998" i="2"/>
  <c r="AL998" i="2" s="1"/>
  <c r="AH998" i="2"/>
  <c r="AK13" i="2"/>
  <c r="AL13" i="2" s="1"/>
  <c r="AK1124" i="2"/>
  <c r="AL1124" i="2" s="1"/>
  <c r="AH1124" i="2"/>
  <c r="AK8" i="2"/>
  <c r="AL8" i="2" s="1"/>
  <c r="AK73" i="2"/>
  <c r="AL73" i="2" s="1"/>
  <c r="AK104" i="2"/>
  <c r="AL104" i="2" s="1"/>
  <c r="AK65" i="2"/>
  <c r="AL65" i="2" s="1"/>
  <c r="AK112" i="2"/>
  <c r="AL112" i="2" s="1"/>
  <c r="AK98" i="2"/>
  <c r="AL98" i="2" s="1"/>
  <c r="AK30" i="2"/>
  <c r="AL30" i="2" s="1"/>
  <c r="AK38" i="2"/>
  <c r="AL38" i="2" s="1"/>
  <c r="AK161" i="2"/>
  <c r="AL161" i="2" s="1"/>
  <c r="AK186" i="2"/>
  <c r="AL186" i="2" s="1"/>
  <c r="AK114" i="2"/>
  <c r="AL114" i="2" s="1"/>
  <c r="AK185" i="2"/>
  <c r="AL185" i="2" s="1"/>
  <c r="AK107" i="2"/>
  <c r="AL107" i="2" s="1"/>
  <c r="AK105" i="2"/>
  <c r="AL105" i="2" s="1"/>
  <c r="AK16" i="2"/>
  <c r="AL16" i="2" s="1"/>
  <c r="AK158" i="2"/>
  <c r="AL158" i="2" s="1"/>
  <c r="AK138" i="2"/>
  <c r="AL138" i="2" s="1"/>
  <c r="AK99" i="2"/>
  <c r="AL99" i="2" s="1"/>
  <c r="AK72" i="2"/>
  <c r="AL72" i="2" s="1"/>
  <c r="AK191" i="2"/>
  <c r="AL191" i="2" s="1"/>
  <c r="AK131" i="2"/>
  <c r="AL131" i="2" s="1"/>
  <c r="AK192" i="2"/>
  <c r="AL192" i="2" s="1"/>
  <c r="AK123" i="2"/>
  <c r="AL123" i="2" s="1"/>
  <c r="AH792" i="2"/>
  <c r="AH759" i="2"/>
  <c r="AH1071" i="2"/>
  <c r="AK1216" i="2"/>
  <c r="AL1216" i="2" s="1"/>
  <c r="AK184" i="2"/>
  <c r="AL184" i="2" s="1"/>
  <c r="AK174" i="2"/>
  <c r="AL174" i="2" s="1"/>
  <c r="AK130" i="2"/>
  <c r="AL130" i="2" s="1"/>
  <c r="AK27" i="2"/>
  <c r="AL27" i="2" s="1"/>
  <c r="AK4" i="2"/>
  <c r="AL4" i="2" s="1"/>
  <c r="AK24" i="2"/>
  <c r="AL24" i="2" s="1"/>
  <c r="AK122" i="2"/>
  <c r="AL122" i="2" s="1"/>
  <c r="AK102" i="2"/>
  <c r="AL102" i="2" s="1"/>
  <c r="AK100" i="2"/>
  <c r="AL100" i="2" s="1"/>
  <c r="AK197" i="2"/>
  <c r="AL197" i="2" s="1"/>
  <c r="AK178" i="2"/>
  <c r="AL178" i="2" s="1"/>
  <c r="AK11" i="2"/>
  <c r="AL11" i="2" s="1"/>
  <c r="AK70" i="2"/>
  <c r="AL70" i="2" s="1"/>
  <c r="AK188" i="2"/>
  <c r="AL188" i="2" s="1"/>
  <c r="AK7" i="2"/>
  <c r="AL7" i="2" s="1"/>
  <c r="AK187" i="2"/>
  <c r="AL187" i="2" s="1"/>
  <c r="AK5" i="2"/>
  <c r="AL5" i="2" s="1"/>
  <c r="AK116" i="2"/>
  <c r="AL116" i="2" s="1"/>
  <c r="AK2" i="2"/>
  <c r="AL2" i="2" s="1"/>
  <c r="AK193" i="2"/>
  <c r="AL193" i="2" s="1"/>
  <c r="AK106" i="2"/>
  <c r="AL106" i="2" s="1"/>
  <c r="AK120" i="2"/>
  <c r="AL120" i="2" s="1"/>
  <c r="AK89" i="2"/>
  <c r="AL89" i="2" s="1"/>
  <c r="AK90" i="2"/>
  <c r="AL90" i="2" s="1"/>
  <c r="AK45" i="2"/>
  <c r="AL45" i="2" s="1"/>
  <c r="AK35" i="2"/>
  <c r="AL35" i="2" s="1"/>
  <c r="AK108" i="2"/>
  <c r="AL108" i="2" s="1"/>
  <c r="AK83" i="2"/>
  <c r="AL83" i="2" s="1"/>
  <c r="AK93" i="2"/>
  <c r="AL93" i="2" s="1"/>
  <c r="AK58" i="2"/>
  <c r="AL58" i="2" s="1"/>
  <c r="AK119" i="2"/>
  <c r="AL119" i="2" s="1"/>
  <c r="AK136" i="2"/>
  <c r="AL136" i="2" s="1"/>
  <c r="AK22" i="2"/>
  <c r="AL22" i="2" s="1"/>
  <c r="AK97" i="2"/>
  <c r="AL97" i="2" s="1"/>
  <c r="AK170" i="2"/>
  <c r="AL170" i="2" s="1"/>
  <c r="AK139" i="2"/>
  <c r="AL139" i="2" s="1"/>
  <c r="AK25" i="2"/>
  <c r="AL25" i="2" s="1"/>
  <c r="AK162" i="2"/>
  <c r="AL162" i="2" s="1"/>
  <c r="AK137" i="2"/>
  <c r="AL137" i="2" s="1"/>
  <c r="AK128" i="2"/>
  <c r="AL128" i="2" s="1"/>
  <c r="AK190" i="2"/>
  <c r="AL190" i="2" s="1"/>
  <c r="AK21" i="2"/>
  <c r="AL21" i="2" s="1"/>
  <c r="AK82" i="2"/>
  <c r="AL82" i="2" s="1"/>
  <c r="AK143" i="2"/>
  <c r="AL143" i="2" s="1"/>
  <c r="AK177" i="2"/>
  <c r="AL177" i="2" s="1"/>
  <c r="AK6" i="2"/>
  <c r="AL6" i="2" s="1"/>
  <c r="AK182" i="2"/>
  <c r="AL182" i="2" s="1"/>
  <c r="AK71" i="2"/>
  <c r="AL71" i="2" s="1"/>
  <c r="AK132" i="2"/>
  <c r="AL132" i="2" s="1"/>
  <c r="AK127" i="2"/>
  <c r="AL127" i="2" s="1"/>
  <c r="AK49" i="2"/>
  <c r="AL49" i="2" s="1"/>
  <c r="AK150" i="2"/>
  <c r="AL150" i="2" s="1"/>
  <c r="AK157" i="2"/>
  <c r="AL157" i="2" s="1"/>
  <c r="AK129" i="2"/>
  <c r="AL129" i="2" s="1"/>
  <c r="AK46" i="2"/>
  <c r="AL46" i="2" s="1"/>
  <c r="AK43" i="2"/>
  <c r="AL43" i="2" s="1"/>
  <c r="AK52" i="2"/>
  <c r="AL52" i="2" s="1"/>
  <c r="AK86" i="2"/>
  <c r="AL86" i="2" s="1"/>
  <c r="AK94" i="2"/>
  <c r="AL94" i="2" s="1"/>
  <c r="AK113" i="2"/>
  <c r="AL113" i="2" s="1"/>
  <c r="AK40" i="2"/>
  <c r="AL40" i="2" s="1"/>
  <c r="AK135" i="2"/>
  <c r="AL135" i="2" s="1"/>
  <c r="AK133" i="2"/>
  <c r="AL133" i="2" s="1"/>
  <c r="AK153" i="2"/>
  <c r="AL153" i="2" s="1"/>
  <c r="AK56" i="2"/>
  <c r="AL56" i="2" s="1"/>
  <c r="AK163" i="2"/>
  <c r="AL163" i="2" s="1"/>
  <c r="AK145" i="2"/>
  <c r="AL145" i="2" s="1"/>
  <c r="AK702" i="2"/>
  <c r="AL702" i="2" s="1"/>
  <c r="AH1195" i="2"/>
  <c r="AH768" i="2"/>
  <c r="AK198" i="2"/>
  <c r="AL198" i="2" s="1"/>
  <c r="AK199" i="2"/>
  <c r="AL199" i="2" s="1"/>
  <c r="AK196" i="2"/>
  <c r="AL196" i="2" s="1"/>
  <c r="AK195" i="2"/>
  <c r="AL195" i="2" s="1"/>
  <c r="AK433" i="2"/>
  <c r="AL433" i="2" s="1"/>
  <c r="AH1103" i="2"/>
  <c r="AH526" i="2"/>
  <c r="AH303" i="2"/>
  <c r="AH1152" i="2"/>
  <c r="AH318" i="2"/>
  <c r="AH205" i="2"/>
  <c r="AK1151" i="2"/>
  <c r="AL1151" i="2" s="1"/>
  <c r="AH722" i="2"/>
  <c r="AK362" i="2"/>
  <c r="AL362" i="2" s="1"/>
  <c r="AH362" i="2"/>
  <c r="AK876" i="2"/>
  <c r="AL876" i="2" s="1"/>
  <c r="AH876" i="2"/>
  <c r="AK1153" i="2"/>
  <c r="AL1153" i="2" s="1"/>
  <c r="AH1153" i="2"/>
  <c r="AK749" i="2"/>
  <c r="AL749" i="2" s="1"/>
  <c r="AH749" i="2"/>
  <c r="AK685" i="2"/>
  <c r="AL685" i="2" s="1"/>
  <c r="AH685" i="2"/>
  <c r="AK1067" i="2"/>
  <c r="AL1067" i="2" s="1"/>
  <c r="AH1067" i="2"/>
  <c r="AK1203" i="2"/>
  <c r="AL1203" i="2" s="1"/>
  <c r="AH1203" i="2"/>
  <c r="AK619" i="2"/>
  <c r="AL619" i="2" s="1"/>
  <c r="AH619" i="2"/>
  <c r="AK781" i="2"/>
  <c r="AL781" i="2" s="1"/>
  <c r="AH781" i="2"/>
  <c r="AK380" i="2"/>
  <c r="AL380" i="2" s="1"/>
  <c r="AH380" i="2"/>
  <c r="AK611" i="2"/>
  <c r="AL611" i="2" s="1"/>
  <c r="AH611" i="2"/>
  <c r="AK358" i="2"/>
  <c r="AL358" i="2" s="1"/>
  <c r="AH358" i="2"/>
  <c r="AK669" i="2"/>
  <c r="AL669" i="2" s="1"/>
  <c r="AH669" i="2"/>
  <c r="AK519" i="2"/>
  <c r="AL519" i="2" s="1"/>
  <c r="AH519" i="2"/>
  <c r="AK763" i="2"/>
  <c r="AL763" i="2" s="1"/>
  <c r="AH763" i="2"/>
  <c r="AK228" i="2"/>
  <c r="AL228" i="2" s="1"/>
  <c r="AH228" i="2"/>
  <c r="AK428" i="2"/>
  <c r="AL428" i="2" s="1"/>
  <c r="AH428" i="2"/>
  <c r="AK672" i="2"/>
  <c r="AL672" i="2" s="1"/>
  <c r="AH672" i="2"/>
  <c r="AK305" i="2"/>
  <c r="AL305" i="2" s="1"/>
  <c r="AH305" i="2"/>
  <c r="AK1136" i="2"/>
  <c r="AL1136" i="2" s="1"/>
  <c r="AH1136" i="2"/>
  <c r="AK1126" i="2"/>
  <c r="AL1126" i="2" s="1"/>
  <c r="AH1126" i="2"/>
  <c r="AK812" i="2"/>
  <c r="AL812" i="2" s="1"/>
  <c r="AH812" i="2"/>
  <c r="AK1105" i="2"/>
  <c r="AL1105" i="2" s="1"/>
  <c r="AH1105" i="2"/>
  <c r="AK975" i="2"/>
  <c r="AL975" i="2" s="1"/>
  <c r="AH975" i="2"/>
  <c r="AK1064" i="2"/>
  <c r="AL1064" i="2" s="1"/>
  <c r="AH1064" i="2"/>
  <c r="AK1224" i="2"/>
  <c r="AL1224" i="2" s="1"/>
  <c r="AH1224" i="2"/>
  <c r="AK385" i="2"/>
  <c r="AL385" i="2" s="1"/>
  <c r="AH385" i="2"/>
  <c r="AK937" i="2"/>
  <c r="AL937" i="2" s="1"/>
  <c r="AH937" i="2"/>
  <c r="AK606" i="2"/>
  <c r="AL606" i="2" s="1"/>
  <c r="AH606" i="2"/>
  <c r="AK862" i="2"/>
  <c r="AL862" i="2" s="1"/>
  <c r="AH862" i="2"/>
  <c r="AK620" i="2"/>
  <c r="AL620" i="2" s="1"/>
  <c r="AH620" i="2"/>
  <c r="AK966" i="2"/>
  <c r="AL966" i="2" s="1"/>
  <c r="AH966" i="2"/>
  <c r="AK1020" i="2"/>
  <c r="AL1020" i="2" s="1"/>
  <c r="AH1020" i="2"/>
  <c r="AK298" i="2"/>
  <c r="AL298" i="2" s="1"/>
  <c r="AH298" i="2"/>
  <c r="AK487" i="2"/>
  <c r="AL487" i="2" s="1"/>
  <c r="AH487" i="2"/>
  <c r="AK791" i="2"/>
  <c r="AL791" i="2" s="1"/>
  <c r="AH791" i="2"/>
  <c r="AK981" i="2"/>
  <c r="AL981" i="2" s="1"/>
  <c r="AH981" i="2"/>
  <c r="AK237" i="2"/>
  <c r="AL237" i="2" s="1"/>
  <c r="AH237" i="2"/>
  <c r="AK911" i="2"/>
  <c r="AL911" i="2" s="1"/>
  <c r="AH911" i="2"/>
  <c r="AK410" i="2"/>
  <c r="AL410" i="2" s="1"/>
  <c r="AH410" i="2"/>
  <c r="AK1114" i="2"/>
  <c r="AL1114" i="2" s="1"/>
  <c r="AH1114" i="2"/>
  <c r="AK1095" i="2"/>
  <c r="AL1095" i="2" s="1"/>
  <c r="AH1095" i="2"/>
  <c r="AK322" i="2"/>
  <c r="AL322" i="2" s="1"/>
  <c r="AH322" i="2"/>
  <c r="AK662" i="2"/>
  <c r="AL662" i="2" s="1"/>
  <c r="AH662" i="2"/>
  <c r="AK293" i="2"/>
  <c r="AL293" i="2" s="1"/>
  <c r="AH293" i="2"/>
  <c r="AK469" i="2"/>
  <c r="AL469" i="2" s="1"/>
  <c r="AH469" i="2"/>
  <c r="AK978" i="2"/>
  <c r="AL978" i="2" s="1"/>
  <c r="AH978" i="2"/>
  <c r="AK408" i="2"/>
  <c r="AL408" i="2" s="1"/>
  <c r="AH408" i="2"/>
  <c r="AK930" i="2"/>
  <c r="AL930" i="2" s="1"/>
  <c r="AH930" i="2"/>
  <c r="AK1123" i="2"/>
  <c r="AL1123" i="2" s="1"/>
  <c r="AH1123" i="2"/>
  <c r="AK852" i="2"/>
  <c r="AL852" i="2" s="1"/>
  <c r="AH852" i="2"/>
  <c r="AK1112" i="2"/>
  <c r="AL1112" i="2" s="1"/>
  <c r="AH1112" i="2"/>
  <c r="AK652" i="2"/>
  <c r="AL652" i="2" s="1"/>
  <c r="AH652" i="2"/>
  <c r="AK1043" i="2"/>
  <c r="AL1043" i="2" s="1"/>
  <c r="AH1043" i="2"/>
  <c r="AK945" i="2"/>
  <c r="AL945" i="2" s="1"/>
  <c r="AH945" i="2"/>
  <c r="AK627" i="2"/>
  <c r="AL627" i="2" s="1"/>
  <c r="AH627" i="2"/>
  <c r="AK691" i="2"/>
  <c r="AL691" i="2" s="1"/>
  <c r="AH691" i="2"/>
  <c r="AK402" i="2"/>
  <c r="AL402" i="2" s="1"/>
  <c r="AH402" i="2"/>
  <c r="AK698" i="2"/>
  <c r="AL698" i="2" s="1"/>
  <c r="AH698" i="2"/>
  <c r="AK1082" i="2"/>
  <c r="AL1082" i="2" s="1"/>
  <c r="AH1082" i="2"/>
  <c r="AK472" i="2"/>
  <c r="AL472" i="2" s="1"/>
  <c r="AH472" i="2"/>
  <c r="AK1210" i="2"/>
  <c r="AL1210" i="2" s="1"/>
  <c r="AH1210" i="2"/>
  <c r="AK520" i="2"/>
  <c r="AL520" i="2" s="1"/>
  <c r="AH520" i="2"/>
  <c r="AK1227" i="2"/>
  <c r="AL1227" i="2" s="1"/>
  <c r="AH1227" i="2"/>
  <c r="AK1088" i="2"/>
  <c r="AL1088" i="2" s="1"/>
  <c r="AH1088" i="2"/>
  <c r="AK857" i="2"/>
  <c r="AL857" i="2" s="1"/>
  <c r="AH857" i="2"/>
  <c r="AK713" i="2"/>
  <c r="AL713" i="2" s="1"/>
  <c r="AH713" i="2"/>
  <c r="AK665" i="2"/>
  <c r="AL665" i="2" s="1"/>
  <c r="AH665" i="2"/>
  <c r="AK654" i="2"/>
  <c r="AL654" i="2" s="1"/>
  <c r="AH654" i="2"/>
  <c r="AK363" i="2"/>
  <c r="AL363" i="2" s="1"/>
  <c r="AH363" i="2"/>
  <c r="AK894" i="2"/>
  <c r="AL894" i="2" s="1"/>
  <c r="AH894" i="2"/>
  <c r="AK868" i="2"/>
  <c r="AL868" i="2" s="1"/>
  <c r="AH868" i="2"/>
  <c r="AK247" i="2"/>
  <c r="AL247" i="2" s="1"/>
  <c r="AH247" i="2"/>
  <c r="AK1229" i="2"/>
  <c r="AL1229" i="2" s="1"/>
  <c r="AH1229" i="2"/>
  <c r="AK235" i="2"/>
  <c r="AL235" i="2" s="1"/>
  <c r="AH235" i="2"/>
  <c r="AK687" i="2"/>
  <c r="AL687" i="2" s="1"/>
  <c r="AH687" i="2"/>
  <c r="AK511" i="2"/>
  <c r="AL511" i="2" s="1"/>
  <c r="AH511" i="2"/>
  <c r="AK892" i="2"/>
  <c r="AL892" i="2" s="1"/>
  <c r="AH892" i="2"/>
  <c r="AK771" i="2"/>
  <c r="AL771" i="2" s="1"/>
  <c r="AH771" i="2"/>
  <c r="AK939" i="2"/>
  <c r="AL939" i="2" s="1"/>
  <c r="AH939" i="2"/>
  <c r="AK842" i="2"/>
  <c r="AL842" i="2" s="1"/>
  <c r="AH842" i="2"/>
  <c r="AK883" i="2"/>
  <c r="AL883" i="2" s="1"/>
  <c r="AH883" i="2"/>
  <c r="AK731" i="2"/>
  <c r="AL731" i="2" s="1"/>
  <c r="AH731" i="2"/>
  <c r="AK354" i="2"/>
  <c r="AL354" i="2" s="1"/>
  <c r="AH354" i="2"/>
  <c r="AK675" i="2"/>
  <c r="AL675" i="2" s="1"/>
  <c r="AH675" i="2"/>
  <c r="AK1083" i="2"/>
  <c r="AL1083" i="2" s="1"/>
  <c r="AH1083" i="2"/>
  <c r="AK348" i="2"/>
  <c r="AL348" i="2" s="1"/>
  <c r="AH348" i="2"/>
  <c r="AK622" i="2"/>
  <c r="AL622" i="2" s="1"/>
  <c r="AH622" i="2"/>
  <c r="AK874" i="2"/>
  <c r="AL874" i="2" s="1"/>
  <c r="AH874" i="2"/>
  <c r="AK233" i="2"/>
  <c r="AL233" i="2" s="1"/>
  <c r="AH233" i="2"/>
  <c r="AK234" i="2"/>
  <c r="AL234" i="2" s="1"/>
  <c r="AH234" i="2"/>
  <c r="AK642" i="2"/>
  <c r="AL642" i="2" s="1"/>
  <c r="AH642" i="2"/>
  <c r="AK697" i="2"/>
  <c r="AL697" i="2" s="1"/>
  <c r="AH697" i="2"/>
  <c r="AK335" i="2"/>
  <c r="AL335" i="2" s="1"/>
  <c r="AH335" i="2"/>
  <c r="AK374" i="2"/>
  <c r="AL374" i="2" s="1"/>
  <c r="AH374" i="2"/>
  <c r="AK1048" i="2"/>
  <c r="AL1048" i="2" s="1"/>
  <c r="AH1048" i="2"/>
  <c r="AK648" i="2"/>
  <c r="AL648" i="2" s="1"/>
  <c r="AH648" i="2"/>
  <c r="AK508" i="2"/>
  <c r="AL508" i="2" s="1"/>
  <c r="AH508" i="2"/>
  <c r="AK947" i="2"/>
  <c r="AL947" i="2" s="1"/>
  <c r="AH947" i="2"/>
  <c r="AK376" i="2"/>
  <c r="AL376" i="2" s="1"/>
  <c r="AH376" i="2"/>
  <c r="AK1117" i="2"/>
  <c r="AL1117" i="2" s="1"/>
  <c r="AH1117" i="2"/>
  <c r="AK943" i="2"/>
  <c r="AL943" i="2" s="1"/>
  <c r="AH943" i="2"/>
  <c r="AK1171" i="2"/>
  <c r="AL1171" i="2" s="1"/>
  <c r="AH1171" i="2"/>
  <c r="AK941" i="2"/>
  <c r="AL941" i="2" s="1"/>
  <c r="AH941" i="2"/>
  <c r="AK393" i="2"/>
  <c r="AL393" i="2" s="1"/>
  <c r="AH393" i="2"/>
  <c r="AK458" i="2"/>
  <c r="AL458" i="2" s="1"/>
  <c r="AH458" i="2"/>
  <c r="AK548" i="2"/>
  <c r="AL548" i="2" s="1"/>
  <c r="AH548" i="2"/>
  <c r="AK357" i="2"/>
  <c r="AL357" i="2" s="1"/>
  <c r="AH357" i="2"/>
  <c r="AK525" i="2"/>
  <c r="AL525" i="2" s="1"/>
  <c r="AH525" i="2"/>
  <c r="AK1010" i="2"/>
  <c r="AL1010" i="2" s="1"/>
  <c r="AH1010" i="2"/>
  <c r="AK877" i="2"/>
  <c r="AL877" i="2" s="1"/>
  <c r="AH877" i="2"/>
  <c r="AK338" i="2"/>
  <c r="AL338" i="2" s="1"/>
  <c r="AH338" i="2"/>
  <c r="AK614" i="2"/>
  <c r="AL614" i="2" s="1"/>
  <c r="AH614" i="2"/>
  <c r="AK1101" i="2"/>
  <c r="AL1101" i="2" s="1"/>
  <c r="AH1101" i="2"/>
  <c r="AK641" i="2"/>
  <c r="AL641" i="2" s="1"/>
  <c r="AH641" i="2"/>
  <c r="AK1032" i="2"/>
  <c r="AL1032" i="2" s="1"/>
  <c r="AH1032" i="2"/>
  <c r="AK838" i="2"/>
  <c r="AL838" i="2" s="1"/>
  <c r="AH838" i="2"/>
  <c r="AK884" i="2"/>
  <c r="AL884" i="2" s="1"/>
  <c r="AH884" i="2"/>
  <c r="AK730" i="2"/>
  <c r="AL730" i="2" s="1"/>
  <c r="AH730" i="2"/>
  <c r="AK580" i="2"/>
  <c r="AL580" i="2" s="1"/>
  <c r="AH580" i="2"/>
  <c r="AK635" i="2"/>
  <c r="AL635" i="2" s="1"/>
  <c r="AH635" i="2"/>
  <c r="AK777" i="2"/>
  <c r="AL777" i="2" s="1"/>
  <c r="AH777" i="2"/>
  <c r="AK1116" i="2"/>
  <c r="AL1116" i="2" s="1"/>
  <c r="AH1116" i="2"/>
  <c r="AK426" i="2"/>
  <c r="AL426" i="2" s="1"/>
  <c r="AH426" i="2"/>
  <c r="AK769" i="2"/>
  <c r="AL769" i="2" s="1"/>
  <c r="AH769" i="2"/>
  <c r="AK478" i="2"/>
  <c r="AL478" i="2" s="1"/>
  <c r="AH478" i="2"/>
  <c r="AK1154" i="2"/>
  <c r="AL1154" i="2" s="1"/>
  <c r="AH1154" i="2"/>
  <c r="AK729" i="2"/>
  <c r="AL729" i="2" s="1"/>
  <c r="AH729" i="2"/>
  <c r="AK1090" i="2"/>
  <c r="AL1090" i="2" s="1"/>
  <c r="AH1090" i="2"/>
  <c r="AK292" i="2"/>
  <c r="AL292" i="2" s="1"/>
  <c r="AH292" i="2"/>
  <c r="AK465" i="2"/>
  <c r="AL465" i="2" s="1"/>
  <c r="AH465" i="2"/>
  <c r="AK561" i="2"/>
  <c r="AL561" i="2" s="1"/>
  <c r="AH561" i="2"/>
  <c r="AK899" i="2"/>
  <c r="AL899" i="2" s="1"/>
  <c r="AH899" i="2"/>
  <c r="AK929" i="2"/>
  <c r="AL929" i="2" s="1"/>
  <c r="AH929" i="2"/>
  <c r="AK407" i="2"/>
  <c r="AL407" i="2" s="1"/>
  <c r="AH407" i="2"/>
  <c r="AK855" i="2"/>
  <c r="AL855" i="2" s="1"/>
  <c r="AH855" i="2"/>
  <c r="AK222" i="2"/>
  <c r="AL222" i="2" s="1"/>
  <c r="AH222" i="2"/>
  <c r="AK490" i="2"/>
  <c r="AL490" i="2" s="1"/>
  <c r="AH490" i="2"/>
  <c r="AK1054" i="2"/>
  <c r="AL1054" i="2" s="1"/>
  <c r="AH1054" i="2"/>
  <c r="AK625" i="2"/>
  <c r="AL625" i="2" s="1"/>
  <c r="AH625" i="2"/>
  <c r="AK211" i="2"/>
  <c r="AL211" i="2" s="1"/>
  <c r="AH211" i="2"/>
  <c r="AK898" i="2"/>
  <c r="AL898" i="2" s="1"/>
  <c r="AH898" i="2"/>
  <c r="AK861" i="2"/>
  <c r="AL861" i="2" s="1"/>
  <c r="AH861" i="2"/>
  <c r="AK986" i="2"/>
  <c r="AL986" i="2" s="1"/>
  <c r="AH986" i="2"/>
  <c r="AK897" i="2"/>
  <c r="AL897" i="2" s="1"/>
  <c r="AH897" i="2"/>
  <c r="AK1073" i="2"/>
  <c r="AL1073" i="2" s="1"/>
  <c r="AH1073" i="2"/>
  <c r="AK577" i="2"/>
  <c r="AL577" i="2" s="1"/>
  <c r="AH577" i="2"/>
  <c r="AK495" i="2"/>
  <c r="AL495" i="2" s="1"/>
  <c r="AH495" i="2"/>
  <c r="AK921" i="2"/>
  <c r="AL921" i="2" s="1"/>
  <c r="AH921" i="2"/>
  <c r="AK733" i="2"/>
  <c r="AL733" i="2" s="1"/>
  <c r="AH733" i="2"/>
  <c r="AK1165" i="2"/>
  <c r="AL1165" i="2" s="1"/>
  <c r="AH1165" i="2"/>
  <c r="AK356" i="2"/>
  <c r="AL356" i="2" s="1"/>
  <c r="AH356" i="2"/>
  <c r="AK819" i="2"/>
  <c r="AL819" i="2" s="1"/>
  <c r="AH819" i="2"/>
  <c r="AK879" i="2"/>
  <c r="AL879" i="2" s="1"/>
  <c r="AH879" i="2"/>
  <c r="AK1159" i="2"/>
  <c r="AL1159" i="2" s="1"/>
  <c r="AH1159" i="2"/>
  <c r="AK258" i="2"/>
  <c r="AL258" i="2" s="1"/>
  <c r="AH258" i="2"/>
  <c r="AK950" i="2"/>
  <c r="AL950" i="2" s="1"/>
  <c r="AH950" i="2"/>
  <c r="AK651" i="2"/>
  <c r="AL651" i="2" s="1"/>
  <c r="AH651" i="2"/>
  <c r="AK347" i="2"/>
  <c r="AL347" i="2" s="1"/>
  <c r="AH347" i="2"/>
  <c r="AK259" i="2"/>
  <c r="AL259" i="2" s="1"/>
  <c r="AH259" i="2"/>
  <c r="AK965" i="2"/>
  <c r="AL965" i="2" s="1"/>
  <c r="AH965" i="2"/>
  <c r="AK253" i="2"/>
  <c r="AL253" i="2" s="1"/>
  <c r="AH253" i="2"/>
  <c r="AK822" i="2"/>
  <c r="AL822" i="2" s="1"/>
  <c r="AH822" i="2"/>
  <c r="AK392" i="2"/>
  <c r="AL392" i="2" s="1"/>
  <c r="AH392" i="2"/>
  <c r="AK334" i="2"/>
  <c r="AL334" i="2" s="1"/>
  <c r="AH334" i="2"/>
  <c r="AK528" i="2"/>
  <c r="AL528" i="2" s="1"/>
  <c r="AH528" i="2"/>
  <c r="AK1140" i="2"/>
  <c r="AL1140" i="2" s="1"/>
  <c r="AH1140" i="2"/>
  <c r="AK1176" i="2"/>
  <c r="AL1176" i="2" s="1"/>
  <c r="AH1176" i="2"/>
  <c r="AK1122" i="2"/>
  <c r="AL1122" i="2" s="1"/>
  <c r="AH1122" i="2"/>
  <c r="AK1212" i="2"/>
  <c r="AL1212" i="2" s="1"/>
  <c r="AH1212" i="2"/>
  <c r="AK901" i="2"/>
  <c r="AL901" i="2" s="1"/>
  <c r="AH901" i="2"/>
  <c r="AK277" i="2"/>
  <c r="AL277" i="2" s="1"/>
  <c r="AH277" i="2"/>
  <c r="AK987" i="2"/>
  <c r="AL987" i="2" s="1"/>
  <c r="AH987" i="2"/>
  <c r="AK1209" i="2"/>
  <c r="AL1209" i="2" s="1"/>
  <c r="AH1209" i="2"/>
  <c r="AK677" i="2"/>
  <c r="AL677" i="2" s="1"/>
  <c r="AH677" i="2"/>
  <c r="AK456" i="2"/>
  <c r="AL456" i="2" s="1"/>
  <c r="AH456" i="2"/>
  <c r="AK251" i="2"/>
  <c r="AL251" i="2" s="1"/>
  <c r="AH251" i="2"/>
  <c r="AK776" i="2"/>
  <c r="AL776" i="2" s="1"/>
  <c r="AH776" i="2"/>
  <c r="AK369" i="2"/>
  <c r="AL369" i="2" s="1"/>
  <c r="AH369" i="2"/>
  <c r="AK468" i="2"/>
  <c r="AL468" i="2" s="1"/>
  <c r="AH468" i="2"/>
  <c r="AK332" i="2"/>
  <c r="AL332" i="2" s="1"/>
  <c r="AH332" i="2"/>
  <c r="AK419" i="2"/>
  <c r="AL419" i="2" s="1"/>
  <c r="AH419" i="2"/>
  <c r="AK377" i="2"/>
  <c r="AL377" i="2" s="1"/>
  <c r="AH377" i="2"/>
  <c r="AK225" i="2"/>
  <c r="AL225" i="2" s="1"/>
  <c r="AH225" i="2"/>
  <c r="AK621" i="2"/>
  <c r="AL621" i="2" s="1"/>
  <c r="AH621" i="2"/>
  <c r="AK1026" i="2"/>
  <c r="AL1026" i="2" s="1"/>
  <c r="AH1026" i="2"/>
  <c r="AK1139" i="2"/>
  <c r="AL1139" i="2" s="1"/>
  <c r="AH1139" i="2"/>
  <c r="AK973" i="2"/>
  <c r="AL973" i="2" s="1"/>
  <c r="AH973" i="2"/>
  <c r="AK1051" i="2"/>
  <c r="AL1051" i="2" s="1"/>
  <c r="AH1051" i="2"/>
  <c r="AK250" i="2"/>
  <c r="AL250" i="2" s="1"/>
  <c r="AH250" i="2"/>
  <c r="AK773" i="2"/>
  <c r="AL773" i="2" s="1"/>
  <c r="AH773" i="2"/>
  <c r="AK1039" i="2"/>
  <c r="AL1039" i="2" s="1"/>
  <c r="AH1039" i="2"/>
  <c r="AK1060" i="2"/>
  <c r="AL1060" i="2" s="1"/>
  <c r="AH1060" i="2"/>
  <c r="AK1087" i="2"/>
  <c r="AL1087" i="2" s="1"/>
  <c r="AH1087" i="2"/>
  <c r="AK938" i="2"/>
  <c r="AL938" i="2" s="1"/>
  <c r="AH938" i="2"/>
  <c r="AK524" i="2"/>
  <c r="AL524" i="2" s="1"/>
  <c r="AH524" i="2"/>
  <c r="AK714" i="2"/>
  <c r="AL714" i="2" s="1"/>
  <c r="AH714" i="2"/>
  <c r="AK789" i="2"/>
  <c r="AL789" i="2" s="1"/>
  <c r="AH789" i="2"/>
  <c r="AK296" i="2"/>
  <c r="AL296" i="2" s="1"/>
  <c r="AH296" i="2"/>
  <c r="AK1213" i="2"/>
  <c r="AL1213" i="2" s="1"/>
  <c r="AH1213" i="2"/>
  <c r="AK569" i="2"/>
  <c r="AL569" i="2" s="1"/>
  <c r="AH569" i="2"/>
  <c r="AK530" i="2"/>
  <c r="AL530" i="2" s="1"/>
  <c r="AH530" i="2"/>
  <c r="AK1077" i="2"/>
  <c r="AL1077" i="2" s="1"/>
  <c r="AH1077" i="2"/>
  <c r="AK514" i="2"/>
  <c r="AL514" i="2" s="1"/>
  <c r="AH514" i="2"/>
  <c r="AK555" i="2"/>
  <c r="AL555" i="2" s="1"/>
  <c r="AH555" i="2"/>
  <c r="AK453" i="2"/>
  <c r="AL453" i="2" s="1"/>
  <c r="AH453" i="2"/>
  <c r="AK962" i="2"/>
  <c r="AL962" i="2" s="1"/>
  <c r="AH962" i="2"/>
  <c r="AK475" i="2"/>
  <c r="AL475" i="2" s="1"/>
  <c r="AH475" i="2"/>
  <c r="AK539" i="2"/>
  <c r="AL539" i="2" s="1"/>
  <c r="AH539" i="2"/>
  <c r="AK977" i="2"/>
  <c r="AL977" i="2" s="1"/>
  <c r="AH977" i="2"/>
  <c r="AK1013" i="2"/>
  <c r="AL1013" i="2" s="1"/>
  <c r="AH1013" i="2"/>
  <c r="AK1062" i="2"/>
  <c r="AL1062" i="2" s="1"/>
  <c r="AH1062" i="2"/>
  <c r="AK1016" i="2"/>
  <c r="AL1016" i="2" s="1"/>
  <c r="AH1016" i="2"/>
  <c r="AK831" i="2"/>
  <c r="AL831" i="2" s="1"/>
  <c r="AH831" i="2"/>
  <c r="AK889" i="2"/>
  <c r="AL889" i="2" s="1"/>
  <c r="AH889" i="2"/>
  <c r="AK400" i="2"/>
  <c r="AL400" i="2" s="1"/>
  <c r="AH400" i="2"/>
  <c r="AK307" i="2"/>
  <c r="AL307" i="2" s="1"/>
  <c r="AH307" i="2"/>
  <c r="AK796" i="2"/>
  <c r="AL796" i="2" s="1"/>
  <c r="AH796" i="2"/>
  <c r="AK550" i="2"/>
  <c r="AL550" i="2" s="1"/>
  <c r="AH550" i="2"/>
  <c r="AK423" i="2"/>
  <c r="AL423" i="2" s="1"/>
  <c r="AH423" i="2"/>
  <c r="AK891" i="2"/>
  <c r="AL891" i="2" s="1"/>
  <c r="AH891" i="2"/>
  <c r="AK1085" i="2"/>
  <c r="AL1085" i="2" s="1"/>
  <c r="AH1085" i="2"/>
  <c r="AK835" i="2"/>
  <c r="AL835" i="2" s="1"/>
  <c r="AH835" i="2"/>
  <c r="AK997" i="2"/>
  <c r="AL997" i="2" s="1"/>
  <c r="AH997" i="2"/>
  <c r="AK1182" i="2"/>
  <c r="AL1182" i="2" s="1"/>
  <c r="AH1182" i="2"/>
  <c r="AK637" i="2"/>
  <c r="AL637" i="2" s="1"/>
  <c r="AH637" i="2"/>
  <c r="AK765" i="2"/>
  <c r="AL765" i="2" s="1"/>
  <c r="AH765" i="2"/>
  <c r="AK536" i="2"/>
  <c r="AL536" i="2" s="1"/>
  <c r="AH536" i="2"/>
  <c r="AK688" i="2"/>
  <c r="AL688" i="2" s="1"/>
  <c r="AH688" i="2"/>
  <c r="AK701" i="2"/>
  <c r="AL701" i="2" s="1"/>
  <c r="AH701" i="2"/>
  <c r="AK858" i="2"/>
  <c r="AL858" i="2" s="1"/>
  <c r="AH858" i="2"/>
  <c r="AK926" i="2"/>
  <c r="AL926" i="2" s="1"/>
  <c r="AH926" i="2"/>
  <c r="AK734" i="2"/>
  <c r="AL734" i="2" s="1"/>
  <c r="AH734" i="2"/>
  <c r="AK1199" i="2"/>
  <c r="AL1199" i="2" s="1"/>
  <c r="AH1199" i="2"/>
  <c r="AK976" i="2"/>
  <c r="AL976" i="2" s="1"/>
  <c r="AH976" i="2"/>
  <c r="AK1113" i="2"/>
  <c r="AL1113" i="2" s="1"/>
  <c r="AH1113" i="2"/>
  <c r="AK422" i="2"/>
  <c r="AL422" i="2" s="1"/>
  <c r="AH422" i="2"/>
  <c r="AK1204" i="2"/>
  <c r="AL1204" i="2" s="1"/>
  <c r="AH1204" i="2"/>
  <c r="AK545" i="2"/>
  <c r="AL545" i="2" s="1"/>
  <c r="AH545" i="2"/>
  <c r="AK681" i="2"/>
  <c r="AL681" i="2" s="1"/>
  <c r="AH681" i="2"/>
  <c r="AK461" i="2"/>
  <c r="AL461" i="2" s="1"/>
  <c r="AH461" i="2"/>
  <c r="AK210" i="2"/>
  <c r="AL210" i="2" s="1"/>
  <c r="AH210" i="2"/>
  <c r="AK445" i="2"/>
  <c r="AL445" i="2" s="1"/>
  <c r="AH445" i="2"/>
  <c r="AK384" i="2"/>
  <c r="AL384" i="2" s="1"/>
  <c r="AH384" i="2"/>
  <c r="AK1119" i="2"/>
  <c r="AL1119" i="2" s="1"/>
  <c r="AH1119" i="2"/>
  <c r="AK612" i="2"/>
  <c r="AL612" i="2" s="1"/>
  <c r="AH612" i="2"/>
  <c r="AK595" i="2"/>
  <c r="AL595" i="2" s="1"/>
  <c r="AH595" i="2"/>
  <c r="AK872" i="2"/>
  <c r="AL872" i="2" s="1"/>
  <c r="AH872" i="2"/>
  <c r="AK571" i="2"/>
  <c r="AL571" i="2" s="1"/>
  <c r="AH571" i="2"/>
  <c r="AK1104" i="2"/>
  <c r="AL1104" i="2" s="1"/>
  <c r="AH1104" i="2"/>
  <c r="AK1179" i="2"/>
  <c r="AL1179" i="2" s="1"/>
  <c r="AH1179" i="2"/>
  <c r="AK936" i="2"/>
  <c r="AL936" i="2" s="1"/>
  <c r="AH936" i="2"/>
  <c r="AK795" i="2"/>
  <c r="AL795" i="2" s="1"/>
  <c r="AH795" i="2"/>
  <c r="AK870" i="2"/>
  <c r="AL870" i="2" s="1"/>
  <c r="AH870" i="2"/>
  <c r="AK841" i="2"/>
  <c r="AL841" i="2" s="1"/>
  <c r="AH841" i="2"/>
  <c r="AK221" i="2"/>
  <c r="AL221" i="2" s="1"/>
  <c r="AH221" i="2"/>
  <c r="AK906" i="2"/>
  <c r="AL906" i="2" s="1"/>
  <c r="AH906" i="2"/>
  <c r="AK1024" i="2"/>
  <c r="AL1024" i="2" s="1"/>
  <c r="AH1024" i="2"/>
  <c r="AK448" i="2"/>
  <c r="AL448" i="2" s="1"/>
  <c r="AH448" i="2"/>
  <c r="AK329" i="2"/>
  <c r="AL329" i="2" s="1"/>
  <c r="AH329" i="2"/>
  <c r="AK809" i="2"/>
  <c r="AL809" i="2" s="1"/>
  <c r="AH809" i="2"/>
  <c r="AK1189" i="2"/>
  <c r="AL1189" i="2" s="1"/>
  <c r="AH1189" i="2"/>
  <c r="AK398" i="2"/>
  <c r="AL398" i="2" s="1"/>
  <c r="AH398" i="2"/>
  <c r="AK659" i="2"/>
  <c r="AL659" i="2" s="1"/>
  <c r="AH659" i="2"/>
  <c r="AK764" i="2"/>
  <c r="AL764" i="2" s="1"/>
  <c r="AH764" i="2"/>
  <c r="AK267" i="2"/>
  <c r="AL267" i="2" s="1"/>
  <c r="AH267" i="2"/>
  <c r="AK1001" i="2"/>
  <c r="AL1001" i="2" s="1"/>
  <c r="AH1001" i="2"/>
  <c r="AK1148" i="2"/>
  <c r="AL1148" i="2" s="1"/>
  <c r="AH1148" i="2"/>
  <c r="AK640" i="2"/>
  <c r="AL640" i="2" s="1"/>
  <c r="AH640" i="2"/>
  <c r="AK914" i="2"/>
  <c r="AL914" i="2" s="1"/>
  <c r="AH914" i="2"/>
  <c r="AK240" i="2"/>
  <c r="AL240" i="2" s="1"/>
  <c r="AH240" i="2"/>
  <c r="AK827" i="2"/>
  <c r="AL827" i="2" s="1"/>
  <c r="AH827" i="2"/>
  <c r="AK364" i="2"/>
  <c r="AL364" i="2" s="1"/>
  <c r="AH364" i="2"/>
  <c r="AK854" i="2"/>
  <c r="AL854" i="2" s="1"/>
  <c r="AH854" i="2"/>
  <c r="AK345" i="2"/>
  <c r="AL345" i="2" s="1"/>
  <c r="AH345" i="2"/>
  <c r="AK579" i="2"/>
  <c r="AL579" i="2" s="1"/>
  <c r="AH579" i="2"/>
  <c r="AK639" i="2"/>
  <c r="AL639" i="2" s="1"/>
  <c r="AH639" i="2"/>
  <c r="AK1059" i="2"/>
  <c r="AL1059" i="2" s="1"/>
  <c r="AH1059" i="2"/>
  <c r="AK587" i="2"/>
  <c r="AL587" i="2" s="1"/>
  <c r="AH587" i="2"/>
  <c r="AK798" i="2"/>
  <c r="AL798" i="2" s="1"/>
  <c r="AH798" i="2"/>
  <c r="AK686" i="2"/>
  <c r="AL686" i="2" s="1"/>
  <c r="AH686" i="2"/>
  <c r="AK1177" i="2"/>
  <c r="AL1177" i="2" s="1"/>
  <c r="AH1177" i="2"/>
  <c r="AK646" i="2"/>
  <c r="AL646" i="2" s="1"/>
  <c r="AH646" i="2"/>
  <c r="AK1022" i="2"/>
  <c r="AL1022" i="2" s="1"/>
  <c r="AH1022" i="2"/>
  <c r="AK316" i="2"/>
  <c r="AL316" i="2" s="1"/>
  <c r="AH316" i="2"/>
  <c r="AK440" i="2"/>
  <c r="AL440" i="2" s="1"/>
  <c r="AH440" i="2"/>
  <c r="AK284" i="2"/>
  <c r="AL284" i="2" s="1"/>
  <c r="AH284" i="2"/>
  <c r="AK529" i="2"/>
  <c r="AL529" i="2" s="1"/>
  <c r="AH529" i="2"/>
  <c r="AK340" i="2"/>
  <c r="AL340" i="2" s="1"/>
  <c r="AH340" i="2"/>
  <c r="AK808" i="2"/>
  <c r="AL808" i="2" s="1"/>
  <c r="AH808" i="2"/>
  <c r="AK755" i="2"/>
  <c r="AL755" i="2" s="1"/>
  <c r="AH755" i="2"/>
  <c r="AK463" i="2"/>
  <c r="AL463" i="2" s="1"/>
  <c r="AH463" i="2"/>
  <c r="AK1142" i="2"/>
  <c r="AL1142" i="2" s="1"/>
  <c r="AH1142" i="2"/>
  <c r="AK1098" i="2"/>
  <c r="AL1098" i="2" s="1"/>
  <c r="AH1098" i="2"/>
  <c r="AK644" i="2"/>
  <c r="AL644" i="2" s="1"/>
  <c r="AH644" i="2"/>
  <c r="AK959" i="2"/>
  <c r="AL959" i="2" s="1"/>
  <c r="AH959" i="2"/>
  <c r="AK647" i="2"/>
  <c r="AL647" i="2" s="1"/>
  <c r="AH647" i="2"/>
  <c r="AK1096" i="2"/>
  <c r="AL1096" i="2" s="1"/>
  <c r="AH1096" i="2"/>
  <c r="AK1107" i="2"/>
  <c r="AL1107" i="2" s="1"/>
  <c r="AH1107" i="2"/>
  <c r="AK1034" i="2"/>
  <c r="AL1034" i="2" s="1"/>
  <c r="AH1034" i="2"/>
  <c r="AK443" i="2"/>
  <c r="AL443" i="2" s="1"/>
  <c r="AH443" i="2"/>
  <c r="AK215" i="2"/>
  <c r="AL215" i="2" s="1"/>
  <c r="AH215" i="2"/>
  <c r="AK273" i="2"/>
  <c r="AL273" i="2" s="1"/>
  <c r="AH273" i="2"/>
  <c r="AK343" i="2"/>
  <c r="AL343" i="2" s="1"/>
  <c r="AH343" i="2"/>
  <c r="AK1074" i="2"/>
  <c r="AL1074" i="2" s="1"/>
  <c r="AH1074" i="2"/>
  <c r="AK568" i="2"/>
  <c r="AL568" i="2" s="1"/>
  <c r="AH568" i="2"/>
  <c r="AK275" i="2"/>
  <c r="AL275" i="2" s="1"/>
  <c r="AH275" i="2"/>
  <c r="AK230" i="2"/>
  <c r="AL230" i="2" s="1"/>
  <c r="AH230" i="2"/>
  <c r="AK454" i="2"/>
  <c r="AL454" i="2" s="1"/>
  <c r="AH454" i="2"/>
  <c r="AK523" i="2"/>
  <c r="AL523" i="2" s="1"/>
  <c r="AH523" i="2"/>
  <c r="AK740" i="2"/>
  <c r="AL740" i="2" s="1"/>
  <c r="AH740" i="2"/>
  <c r="AK255" i="2"/>
  <c r="AL255" i="2" s="1"/>
  <c r="AH255" i="2"/>
  <c r="AK1079" i="2"/>
  <c r="AL1079" i="2" s="1"/>
  <c r="AH1079" i="2"/>
  <c r="AK726" i="2"/>
  <c r="AL726" i="2" s="1"/>
  <c r="AH726" i="2"/>
  <c r="AK201" i="2"/>
  <c r="AL201" i="2" s="1"/>
  <c r="AH201" i="2"/>
  <c r="AK1089" i="2"/>
  <c r="AL1089" i="2" s="1"/>
  <c r="AH1089" i="2"/>
  <c r="AK927" i="2"/>
  <c r="AL927" i="2" s="1"/>
  <c r="AH927" i="2"/>
  <c r="AK1028" i="2"/>
  <c r="AL1028" i="2" s="1"/>
  <c r="AH1028" i="2"/>
  <c r="AK807" i="2"/>
  <c r="AL807" i="2" s="1"/>
  <c r="AH807" i="2"/>
  <c r="AK956" i="2"/>
  <c r="AL956" i="2" s="1"/>
  <c r="AH956" i="2"/>
  <c r="AK1019" i="2"/>
  <c r="AL1019" i="2" s="1"/>
  <c r="AH1019" i="2"/>
  <c r="AK928" i="2"/>
  <c r="AL928" i="2" s="1"/>
  <c r="AH928" i="2"/>
  <c r="AK544" i="2"/>
  <c r="AL544" i="2" s="1"/>
  <c r="AH544" i="2"/>
  <c r="AK974" i="2"/>
  <c r="AL974" i="2" s="1"/>
  <c r="AH974" i="2"/>
  <c r="AK772" i="2"/>
  <c r="AL772" i="2" s="1"/>
  <c r="AH772" i="2"/>
  <c r="AK452" i="2"/>
  <c r="AL452" i="2" s="1"/>
  <c r="AH452" i="2"/>
  <c r="AK682" i="2"/>
  <c r="AL682" i="2" s="1"/>
  <c r="AH682" i="2"/>
  <c r="AK474" i="2"/>
  <c r="AL474" i="2" s="1"/>
  <c r="AH474" i="2"/>
  <c r="AK811" i="2"/>
  <c r="AL811" i="2" s="1"/>
  <c r="AH811" i="2"/>
  <c r="AK845" i="2"/>
  <c r="AL845" i="2" s="1"/>
  <c r="AH845" i="2"/>
  <c r="AK994" i="2"/>
  <c r="AL994" i="2" s="1"/>
  <c r="AH994" i="2"/>
  <c r="AK843" i="2"/>
  <c r="AL843" i="2" s="1"/>
  <c r="AH843" i="2"/>
  <c r="AK912" i="2"/>
  <c r="AL912" i="2" s="1"/>
  <c r="AH912" i="2"/>
  <c r="AK403" i="2"/>
  <c r="AL403" i="2" s="1"/>
  <c r="AH403" i="2"/>
  <c r="AK370" i="2"/>
  <c r="AL370" i="2" s="1"/>
  <c r="AH370" i="2"/>
  <c r="AK1084" i="2"/>
  <c r="AL1084" i="2" s="1"/>
  <c r="AH1084" i="2"/>
  <c r="AK721" i="2"/>
  <c r="AL721" i="2" s="1"/>
  <c r="AH721" i="2"/>
  <c r="AK216" i="2"/>
  <c r="AL216" i="2" s="1"/>
  <c r="AH216" i="2"/>
  <c r="AK902" i="2"/>
  <c r="AL902" i="2" s="1"/>
  <c r="AH902" i="2"/>
  <c r="AK753" i="2"/>
  <c r="AL753" i="2" s="1"/>
  <c r="AH753" i="2"/>
  <c r="AK649" i="2"/>
  <c r="AL649" i="2" s="1"/>
  <c r="AH649" i="2"/>
  <c r="AK378" i="2"/>
  <c r="AL378" i="2" s="1"/>
  <c r="AH378" i="2"/>
  <c r="AK564" i="2"/>
  <c r="AL564" i="2" s="1"/>
  <c r="AH564" i="2"/>
  <c r="AK575" i="2"/>
  <c r="AL575" i="2" s="1"/>
  <c r="AH575" i="2"/>
  <c r="AK610" i="2"/>
  <c r="AL610" i="2" s="1"/>
  <c r="AH610" i="2"/>
  <c r="AK464" i="2"/>
  <c r="AL464" i="2" s="1"/>
  <c r="AH464" i="2"/>
  <c r="AK630" i="2"/>
  <c r="AL630" i="2" s="1"/>
  <c r="AH630" i="2"/>
  <c r="AK1049" i="2"/>
  <c r="AL1049" i="2" s="1"/>
  <c r="AH1049" i="2"/>
  <c r="AK365" i="2"/>
  <c r="AL365" i="2" s="1"/>
  <c r="AH365" i="2"/>
  <c r="AK1166" i="2"/>
  <c r="AL1166" i="2" s="1"/>
  <c r="AH1166" i="2"/>
  <c r="AK728" i="2"/>
  <c r="AL728" i="2" s="1"/>
  <c r="AH728" i="2"/>
  <c r="AK1091" i="2"/>
  <c r="AL1091" i="2" s="1"/>
  <c r="AH1091" i="2"/>
  <c r="AK270" i="2"/>
  <c r="AL270" i="2" s="1"/>
  <c r="AH270" i="2"/>
  <c r="AK1180" i="2"/>
  <c r="AL1180" i="2" s="1"/>
  <c r="AH1180" i="2"/>
  <c r="AK851" i="2"/>
  <c r="AL851" i="2" s="1"/>
  <c r="AH851" i="2"/>
  <c r="AK1196" i="2"/>
  <c r="AL1196" i="2" s="1"/>
  <c r="AH1196" i="2"/>
  <c r="AK260" i="2"/>
  <c r="AL260" i="2" s="1"/>
  <c r="AH260" i="2"/>
  <c r="AK346" i="2"/>
  <c r="AL346" i="2" s="1"/>
  <c r="AH346" i="2"/>
  <c r="AK924" i="2"/>
  <c r="AL924" i="2" s="1"/>
  <c r="AH924" i="2"/>
  <c r="AK602" i="2"/>
  <c r="AL602" i="2" s="1"/>
  <c r="AH602" i="2"/>
  <c r="AK600" i="2"/>
  <c r="AL600" i="2" s="1"/>
  <c r="AH600" i="2"/>
  <c r="AK1086" i="2"/>
  <c r="AL1086" i="2" s="1"/>
  <c r="AH1086" i="2"/>
  <c r="AK689" i="2"/>
  <c r="AL689" i="2" s="1"/>
  <c r="AH689" i="2"/>
  <c r="AK460" i="2"/>
  <c r="AL460" i="2" s="1"/>
  <c r="AH460" i="2"/>
  <c r="AK1188" i="2"/>
  <c r="AL1188" i="2" s="1"/>
  <c r="AH1188" i="2"/>
  <c r="AK1069" i="2"/>
  <c r="AL1069" i="2" s="1"/>
  <c r="AH1069" i="2"/>
  <c r="AK609" i="2"/>
  <c r="AL609" i="2" s="1"/>
  <c r="AH609" i="2"/>
  <c r="AK269" i="2"/>
  <c r="AL269" i="2" s="1"/>
  <c r="AH269" i="2"/>
  <c r="AK1081" i="2"/>
  <c r="AL1081" i="2" s="1"/>
  <c r="AH1081" i="2"/>
  <c r="AK535" i="2"/>
  <c r="AL535" i="2" s="1"/>
  <c r="AH535" i="2"/>
  <c r="AK788" i="2"/>
  <c r="AL788" i="2" s="1"/>
  <c r="AH788" i="2"/>
  <c r="AK1184" i="2"/>
  <c r="AL1184" i="2" s="1"/>
  <c r="AH1184" i="2"/>
  <c r="AK750" i="2"/>
  <c r="AL750" i="2" s="1"/>
  <c r="AH750" i="2"/>
  <c r="AK229" i="2"/>
  <c r="AL229" i="2" s="1"/>
  <c r="AH229" i="2"/>
  <c r="AK203" i="2"/>
  <c r="AL203" i="2" s="1"/>
  <c r="AH203" i="2"/>
  <c r="AK1005" i="2"/>
  <c r="AL1005" i="2" s="1"/>
  <c r="AH1005" i="2"/>
  <c r="AK412" i="2"/>
  <c r="AL412" i="2" s="1"/>
  <c r="AH412" i="2"/>
  <c r="AK1198" i="2"/>
  <c r="AL1198" i="2" s="1"/>
  <c r="AH1198" i="2"/>
  <c r="AK859" i="2"/>
  <c r="AL859" i="2" s="1"/>
  <c r="AH859" i="2"/>
  <c r="AK837" i="2"/>
  <c r="AL837" i="2" s="1"/>
  <c r="AH837" i="2"/>
  <c r="AK531" i="2"/>
  <c r="AL531" i="2" s="1"/>
  <c r="AH531" i="2"/>
  <c r="AK502" i="2"/>
  <c r="AL502" i="2" s="1"/>
  <c r="AH502" i="2"/>
  <c r="AK903" i="2"/>
  <c r="AL903" i="2" s="1"/>
  <c r="AH903" i="2"/>
  <c r="AK980" i="2"/>
  <c r="AL980" i="2" s="1"/>
  <c r="AH980" i="2"/>
  <c r="AK971" i="2"/>
  <c r="AL971" i="2" s="1"/>
  <c r="AH971" i="2"/>
  <c r="AK1029" i="2"/>
  <c r="AL1029" i="2" s="1"/>
  <c r="AH1029" i="2"/>
  <c r="AK554" i="2"/>
  <c r="AL554" i="2" s="1"/>
  <c r="AH554" i="2"/>
  <c r="AK1044" i="2"/>
  <c r="AL1044" i="2" s="1"/>
  <c r="AH1044" i="2"/>
  <c r="AK1167" i="2"/>
  <c r="AL1167" i="2" s="1"/>
  <c r="AH1167" i="2"/>
  <c r="AK1222" i="2"/>
  <c r="AL1222" i="2" s="1"/>
  <c r="AH1222" i="2"/>
  <c r="AK800" i="2"/>
  <c r="AL800" i="2" s="1"/>
  <c r="AH800" i="2"/>
  <c r="AK1214" i="2"/>
  <c r="AL1214" i="2" s="1"/>
  <c r="AH1214" i="2"/>
  <c r="AK341" i="2"/>
  <c r="AL341" i="2" s="1"/>
  <c r="AH341" i="2"/>
  <c r="AK537" i="2"/>
  <c r="AL537" i="2" s="1"/>
  <c r="AH537" i="2"/>
  <c r="AK395" i="2"/>
  <c r="AL395" i="2" s="1"/>
  <c r="AH395" i="2"/>
  <c r="AK676" i="2"/>
  <c r="AL676" i="2" s="1"/>
  <c r="AH676" i="2"/>
  <c r="AK658" i="2"/>
  <c r="AL658" i="2" s="1"/>
  <c r="AH658" i="2"/>
  <c r="AK295" i="2"/>
  <c r="AL295" i="2" s="1"/>
  <c r="AH295" i="2"/>
  <c r="AK1215" i="2"/>
  <c r="AL1215" i="2" s="1"/>
  <c r="AH1215" i="2"/>
  <c r="AK342" i="2"/>
  <c r="AL342" i="2" s="1"/>
  <c r="AH342" i="2"/>
  <c r="AK1168" i="2"/>
  <c r="AL1168" i="2" s="1"/>
  <c r="AH1168" i="2"/>
  <c r="AK961" i="2"/>
  <c r="AL961" i="2" s="1"/>
  <c r="AH961" i="2"/>
  <c r="AK940" i="2"/>
  <c r="AL940" i="2" s="1"/>
  <c r="AH940" i="2"/>
  <c r="AK638" i="2"/>
  <c r="AL638" i="2" s="1"/>
  <c r="AH638" i="2"/>
  <c r="AK1218" i="2"/>
  <c r="AL1218" i="2" s="1"/>
  <c r="AH1218" i="2"/>
  <c r="AK522" i="2"/>
  <c r="AL522" i="2" s="1"/>
  <c r="AH522" i="2"/>
  <c r="AK628" i="2"/>
  <c r="AL628" i="2" s="1"/>
  <c r="AH628" i="2"/>
  <c r="AK501" i="2"/>
  <c r="AL501" i="2" s="1"/>
  <c r="AH501" i="2"/>
  <c r="AK446" i="2"/>
  <c r="AL446" i="2" s="1"/>
  <c r="AH446" i="2"/>
  <c r="AK432" i="2"/>
  <c r="AL432" i="2" s="1"/>
  <c r="AH432" i="2"/>
  <c r="AK919" i="2"/>
  <c r="AL919" i="2" s="1"/>
  <c r="AH919" i="2"/>
  <c r="AK486" i="2"/>
  <c r="AL486" i="2" s="1"/>
  <c r="AH486" i="2"/>
  <c r="AK224" i="2"/>
  <c r="AL224" i="2" s="1"/>
  <c r="AH224" i="2"/>
  <c r="AK471" i="2"/>
  <c r="AL471" i="2" s="1"/>
  <c r="AH471" i="2"/>
  <c r="AK1080" i="2"/>
  <c r="AL1080" i="2" s="1"/>
  <c r="AH1080" i="2"/>
  <c r="AK328" i="2"/>
  <c r="AL328" i="2" s="1"/>
  <c r="AH328" i="2"/>
  <c r="AK590" i="2"/>
  <c r="AL590" i="2" s="1"/>
  <c r="AH590" i="2"/>
  <c r="AK212" i="2"/>
  <c r="AL212" i="2" s="1"/>
  <c r="AH212" i="2"/>
  <c r="AK209" i="2"/>
  <c r="AL209" i="2" s="1"/>
  <c r="AH209" i="2"/>
  <c r="AK515" i="2"/>
  <c r="AL515" i="2" s="1"/>
  <c r="AH515" i="2"/>
  <c r="AK847" i="2"/>
  <c r="AL847" i="2" s="1"/>
  <c r="AH847" i="2"/>
  <c r="AK727" i="2"/>
  <c r="AL727" i="2" s="1"/>
  <c r="AH727" i="2"/>
  <c r="AK1109" i="2"/>
  <c r="AL1109" i="2" s="1"/>
  <c r="AH1109" i="2"/>
  <c r="AK953" i="2"/>
  <c r="AL953" i="2" s="1"/>
  <c r="AH953" i="2"/>
  <c r="AK1063" i="2"/>
  <c r="AL1063" i="2" s="1"/>
  <c r="AH1063" i="2"/>
  <c r="AK492" i="2"/>
  <c r="AL492" i="2" s="1"/>
  <c r="AH492" i="2"/>
  <c r="AK823" i="2"/>
  <c r="AL823" i="2" s="1"/>
  <c r="AH823" i="2"/>
  <c r="AK325" i="2"/>
  <c r="AL325" i="2" s="1"/>
  <c r="AH325" i="2"/>
  <c r="AK308" i="2"/>
  <c r="AL308" i="2" s="1"/>
  <c r="AH308" i="2"/>
  <c r="AK915" i="2"/>
  <c r="AL915" i="2" s="1"/>
  <c r="AH915" i="2"/>
  <c r="AK330" i="2"/>
  <c r="AL330" i="2" s="1"/>
  <c r="AH330" i="2"/>
  <c r="AK1200" i="2"/>
  <c r="AL1200" i="2" s="1"/>
  <c r="AH1200" i="2"/>
  <c r="AK893" i="2"/>
  <c r="AL893" i="2" s="1"/>
  <c r="AH893" i="2"/>
  <c r="AK333" i="2"/>
  <c r="AL333" i="2" s="1"/>
  <c r="AH333" i="2"/>
  <c r="AK878" i="2"/>
  <c r="AL878" i="2" s="1"/>
  <c r="AH878" i="2"/>
  <c r="AK311" i="2"/>
  <c r="AL311" i="2" s="1"/>
  <c r="AH311" i="2"/>
  <c r="AK1038" i="2"/>
  <c r="AL1038" i="2" s="1"/>
  <c r="AH1038" i="2"/>
  <c r="AK801" i="2"/>
  <c r="AL801" i="2" s="1"/>
  <c r="AH801" i="2"/>
  <c r="AK1208" i="2"/>
  <c r="AL1208" i="2" s="1"/>
  <c r="AH1208" i="2"/>
  <c r="AK618" i="2"/>
  <c r="AL618" i="2" s="1"/>
  <c r="AH618" i="2"/>
  <c r="AK562" i="2"/>
  <c r="AL562" i="2" s="1"/>
  <c r="AH562" i="2"/>
  <c r="AK581" i="2"/>
  <c r="AL581" i="2" s="1"/>
  <c r="AH581" i="2"/>
  <c r="AK1045" i="2"/>
  <c r="AL1045" i="2" s="1"/>
  <c r="AH1045" i="2"/>
  <c r="AK904" i="2"/>
  <c r="AL904" i="2" s="1"/>
  <c r="AH904" i="2"/>
  <c r="AK745" i="2"/>
  <c r="AL745" i="2" s="1"/>
  <c r="AH745" i="2"/>
  <c r="AK588" i="2"/>
  <c r="AL588" i="2" s="1"/>
  <c r="AH588" i="2"/>
  <c r="AK1220" i="2"/>
  <c r="AL1220" i="2" s="1"/>
  <c r="AH1220" i="2"/>
  <c r="AK516" i="2"/>
  <c r="AL516" i="2" s="1"/>
  <c r="AH516" i="2"/>
  <c r="AK208" i="2"/>
  <c r="AL208" i="2" s="1"/>
  <c r="AH208" i="2"/>
  <c r="AK933" i="2"/>
  <c r="AL933" i="2" s="1"/>
  <c r="AH933" i="2"/>
  <c r="AK549" i="2"/>
  <c r="AL549" i="2" s="1"/>
  <c r="AH549" i="2"/>
  <c r="AK887" i="2"/>
  <c r="AL887" i="2" s="1"/>
  <c r="AH887" i="2"/>
  <c r="AK430" i="2"/>
  <c r="AL430" i="2" s="1"/>
  <c r="AH430" i="2"/>
  <c r="AK1030" i="2"/>
  <c r="AL1030" i="2" s="1"/>
  <c r="AH1030" i="2"/>
  <c r="AK1187" i="2"/>
  <c r="AL1187" i="2" s="1"/>
  <c r="AH1187" i="2"/>
  <c r="AK1230" i="2"/>
  <c r="AL1230" i="2" s="1"/>
  <c r="AH1230" i="2"/>
  <c r="AK238" i="2"/>
  <c r="AL238" i="2" s="1"/>
  <c r="AH238" i="2"/>
  <c r="AK1094" i="2"/>
  <c r="AL1094" i="2" s="1"/>
  <c r="AH1094" i="2"/>
  <c r="AK540" i="2"/>
  <c r="AL540" i="2" s="1"/>
  <c r="AH540" i="2"/>
  <c r="AK406" i="2"/>
  <c r="AL406" i="2" s="1"/>
  <c r="AH406" i="2"/>
  <c r="AK282" i="2"/>
  <c r="AL282" i="2" s="1"/>
  <c r="AH282" i="2"/>
  <c r="AK758" i="2"/>
  <c r="AL758" i="2" s="1"/>
  <c r="AH758" i="2"/>
  <c r="AK934" i="2"/>
  <c r="AL934" i="2" s="1"/>
  <c r="AH934" i="2"/>
  <c r="AK695" i="2"/>
  <c r="AL695" i="2" s="1"/>
  <c r="AH695" i="2"/>
  <c r="AK653" i="2"/>
  <c r="AL653" i="2" s="1"/>
  <c r="AH653" i="2"/>
  <c r="AK470" i="2"/>
  <c r="AL470" i="2" s="1"/>
  <c r="AH470" i="2"/>
  <c r="AK416" i="2"/>
  <c r="AL416" i="2" s="1"/>
  <c r="AH416" i="2"/>
  <c r="AK797" i="2"/>
  <c r="AL797" i="2" s="1"/>
  <c r="AH797" i="2"/>
  <c r="AK1021" i="2"/>
  <c r="AL1021" i="2" s="1"/>
  <c r="AH1021" i="2"/>
  <c r="AK266" i="2"/>
  <c r="AL266" i="2" s="1"/>
  <c r="AH266" i="2"/>
  <c r="AK375" i="2"/>
  <c r="AL375" i="2" s="1"/>
  <c r="AH375" i="2"/>
  <c r="AK828" i="2"/>
  <c r="AL828" i="2" s="1"/>
  <c r="AH828" i="2"/>
  <c r="AK382" i="2"/>
  <c r="AL382" i="2" s="1"/>
  <c r="AH382" i="2"/>
  <c r="AK245" i="2"/>
  <c r="AL245" i="2" s="1"/>
  <c r="AH245" i="2"/>
  <c r="AK204" i="2"/>
  <c r="AL204" i="2" s="1"/>
  <c r="AH204" i="2"/>
  <c r="AK778" i="2"/>
  <c r="AL778" i="2" s="1"/>
  <c r="AH778" i="2"/>
  <c r="AK1149" i="2"/>
  <c r="AL1149" i="2" s="1"/>
  <c r="AH1149" i="2"/>
  <c r="AK742" i="2"/>
  <c r="AL742" i="2" s="1"/>
  <c r="AH742" i="2"/>
  <c r="AK1146" i="2"/>
  <c r="AL1146" i="2" s="1"/>
  <c r="AH1146" i="2"/>
  <c r="AK760" i="2"/>
  <c r="AL760" i="2" s="1"/>
  <c r="AH760" i="2"/>
  <c r="AK586" i="2"/>
  <c r="AL586" i="2" s="1"/>
  <c r="AH586" i="2"/>
  <c r="AK715" i="2"/>
  <c r="AL715" i="2" s="1"/>
  <c r="AH715" i="2"/>
  <c r="AK434" i="2"/>
  <c r="AL434" i="2" s="1"/>
  <c r="AH434" i="2"/>
  <c r="AK608" i="2"/>
  <c r="AL608" i="2" s="1"/>
  <c r="AH608" i="2"/>
  <c r="AK724" i="2"/>
  <c r="AL724" i="2" s="1"/>
  <c r="AH724" i="2"/>
  <c r="AK709" i="2"/>
  <c r="AL709" i="2" s="1"/>
  <c r="AH709" i="2"/>
  <c r="AK766" i="2"/>
  <c r="AL766" i="2" s="1"/>
  <c r="AH766" i="2"/>
  <c r="AK674" i="2"/>
  <c r="AL674" i="2" s="1"/>
  <c r="AH674" i="2"/>
  <c r="AK1025" i="2"/>
  <c r="AL1025" i="2" s="1"/>
  <c r="AH1025" i="2"/>
  <c r="AK917" i="2"/>
  <c r="AL917" i="2" s="1"/>
  <c r="AH917" i="2"/>
  <c r="AK1181" i="2"/>
  <c r="AL1181" i="2" s="1"/>
  <c r="AH1181" i="2"/>
  <c r="AK969" i="2"/>
  <c r="AL969" i="2" s="1"/>
  <c r="AH969" i="2"/>
  <c r="AK353" i="2"/>
  <c r="AL353" i="2" s="1"/>
  <c r="AH353" i="2"/>
  <c r="AK1035" i="2"/>
  <c r="AL1035" i="2" s="1"/>
  <c r="AH1035" i="2"/>
  <c r="AK317" i="2"/>
  <c r="AL317" i="2" s="1"/>
  <c r="AH317" i="2"/>
  <c r="AK833" i="2"/>
  <c r="AL833" i="2" s="1"/>
  <c r="AH833" i="2"/>
  <c r="AK1206" i="2"/>
  <c r="AL1206" i="2" s="1"/>
  <c r="AH1206" i="2"/>
  <c r="AK466" i="2"/>
  <c r="AL466" i="2" s="1"/>
  <c r="AH466" i="2"/>
  <c r="AK553" i="2"/>
  <c r="AL553" i="2" s="1"/>
  <c r="AH553" i="2"/>
  <c r="AK560" i="2"/>
  <c r="AL560" i="2" s="1"/>
  <c r="AH560" i="2"/>
  <c r="AK479" i="2"/>
  <c r="AL479" i="2" s="1"/>
  <c r="AH479" i="2"/>
  <c r="AK1144" i="2"/>
  <c r="AL1144" i="2" s="1"/>
  <c r="AH1144" i="2"/>
  <c r="AK1217" i="2"/>
  <c r="AL1217" i="2" s="1"/>
  <c r="AH1217" i="2"/>
  <c r="AK387" i="2"/>
  <c r="AL387" i="2" s="1"/>
  <c r="AH387" i="2"/>
  <c r="AK660" i="2"/>
  <c r="AL660" i="2" s="1"/>
  <c r="AH660" i="2"/>
  <c r="AK1121" i="2"/>
  <c r="AL1121" i="2" s="1"/>
  <c r="AH1121" i="2"/>
  <c r="AK989" i="2"/>
  <c r="AL989" i="2" s="1"/>
  <c r="AH989" i="2"/>
  <c r="AK1041" i="2"/>
  <c r="AL1041" i="2" s="1"/>
  <c r="AH1041" i="2"/>
  <c r="AK320" i="2"/>
  <c r="AL320" i="2" s="1"/>
  <c r="AH320" i="2"/>
  <c r="AK885" i="2"/>
  <c r="AL885" i="2" s="1"/>
  <c r="AH885" i="2"/>
  <c r="AK1192" i="2"/>
  <c r="AL1192" i="2" s="1"/>
  <c r="AH1192" i="2"/>
  <c r="AK873" i="2"/>
  <c r="AL873" i="2" s="1"/>
  <c r="AH873" i="2"/>
  <c r="AK449" i="2"/>
  <c r="AL449" i="2" s="1"/>
  <c r="AH449" i="2"/>
  <c r="AK1023" i="2"/>
  <c r="AL1023" i="2" s="1"/>
  <c r="AH1023" i="2"/>
  <c r="AK217" i="2"/>
  <c r="AL217" i="2" s="1"/>
  <c r="AH217" i="2"/>
  <c r="AK351" i="2"/>
  <c r="AL351" i="2" s="1"/>
  <c r="AH351" i="2"/>
  <c r="AK951" i="2"/>
  <c r="AL951" i="2" s="1"/>
  <c r="AH951" i="2"/>
  <c r="AK1129" i="2"/>
  <c r="AL1129" i="2" s="1"/>
  <c r="AH1129" i="2"/>
  <c r="AK832" i="2"/>
  <c r="AL832" i="2" s="1"/>
  <c r="AH832" i="2"/>
  <c r="AK780" i="2"/>
  <c r="AL780" i="2" s="1"/>
  <c r="AH780" i="2"/>
  <c r="AK1185" i="2"/>
  <c r="AL1185" i="2" s="1"/>
  <c r="AH1185" i="2"/>
  <c r="AK990" i="2"/>
  <c r="AL990" i="2" s="1"/>
  <c r="AH990" i="2"/>
  <c r="AK1007" i="2"/>
  <c r="AL1007" i="2" s="1"/>
  <c r="AH1007" i="2"/>
  <c r="AK657" i="2"/>
  <c r="AL657" i="2" s="1"/>
  <c r="AH657" i="2"/>
  <c r="AK494" i="2"/>
  <c r="AL494" i="2" s="1"/>
  <c r="AH494" i="2"/>
  <c r="AK960" i="2"/>
  <c r="AL960" i="2" s="1"/>
  <c r="AH960" i="2"/>
  <c r="AK290" i="2"/>
  <c r="AL290" i="2" s="1"/>
  <c r="AH290" i="2"/>
  <c r="AK1065" i="2"/>
  <c r="AL1065" i="2" s="1"/>
  <c r="AH1065" i="2"/>
  <c r="AK967" i="2"/>
  <c r="AL967" i="2" s="1"/>
  <c r="AH967" i="2"/>
  <c r="AK429" i="2"/>
  <c r="AL429" i="2" s="1"/>
  <c r="AH429" i="2"/>
  <c r="AK617" i="2"/>
  <c r="AL617" i="2" s="1"/>
  <c r="AH617" i="2"/>
  <c r="AK982" i="2"/>
  <c r="AL982" i="2" s="1"/>
  <c r="AH982" i="2"/>
  <c r="AK483" i="2"/>
  <c r="AL483" i="2" s="1"/>
  <c r="AH483" i="2"/>
  <c r="AK232" i="2"/>
  <c r="AL232" i="2" s="1"/>
  <c r="AH232" i="2"/>
  <c r="AK1110" i="2"/>
  <c r="AL1110" i="2" s="1"/>
  <c r="AH1110" i="2"/>
  <c r="AK249" i="2"/>
  <c r="AL249" i="2" s="1"/>
  <c r="AH249" i="2"/>
  <c r="AK480" i="2"/>
  <c r="AL480" i="2" s="1"/>
  <c r="AH480" i="2"/>
  <c r="AK736" i="2"/>
  <c r="AL736" i="2" s="1"/>
  <c r="AH736" i="2"/>
  <c r="AK302" i="2"/>
  <c r="AL302" i="2" s="1"/>
  <c r="AH302" i="2"/>
  <c r="AK226" i="2"/>
  <c r="AL226" i="2" s="1"/>
  <c r="AH226" i="2"/>
  <c r="AK390" i="2"/>
  <c r="AL390" i="2" s="1"/>
  <c r="AH390" i="2"/>
  <c r="AK485" i="2"/>
  <c r="AL485" i="2" s="1"/>
  <c r="AH485" i="2"/>
  <c r="AK286" i="2"/>
  <c r="AL286" i="2" s="1"/>
  <c r="AH286" i="2"/>
  <c r="AK867" i="2"/>
  <c r="AL867" i="2" s="1"/>
  <c r="AH867" i="2"/>
  <c r="AK882" i="2"/>
  <c r="AL882" i="2" s="1"/>
  <c r="AH882" i="2"/>
  <c r="AK552" i="2"/>
  <c r="AL552" i="2" s="1"/>
  <c r="AH552" i="2"/>
  <c r="AK239" i="2"/>
  <c r="AL239" i="2" s="1"/>
  <c r="AH239" i="2"/>
  <c r="AK1097" i="2"/>
  <c r="AL1097" i="2" s="1"/>
  <c r="AH1097" i="2"/>
  <c r="AK1004" i="2"/>
  <c r="AL1004" i="2" s="1"/>
  <c r="AH1004" i="2"/>
  <c r="AK288" i="2"/>
  <c r="AL288" i="2" s="1"/>
  <c r="AH288" i="2"/>
  <c r="AK1201" i="2"/>
  <c r="AL1201" i="2" s="1"/>
  <c r="AH1201" i="2"/>
  <c r="AK1219" i="2"/>
  <c r="AL1219" i="2" s="1"/>
  <c r="AH1219" i="2"/>
  <c r="AK881" i="2"/>
  <c r="AL881" i="2" s="1"/>
  <c r="AH881" i="2"/>
  <c r="AK1194" i="2"/>
  <c r="AL1194" i="2" s="1"/>
  <c r="AH1194" i="2"/>
  <c r="AK909" i="2"/>
  <c r="AL909" i="2" s="1"/>
  <c r="AH909" i="2"/>
  <c r="AK541" i="2"/>
  <c r="AL541" i="2" s="1"/>
  <c r="AH541" i="2"/>
  <c r="AK1093" i="2"/>
  <c r="AL1093" i="2" s="1"/>
  <c r="AH1093" i="2"/>
  <c r="AK775" i="2"/>
  <c r="AL775" i="2" s="1"/>
  <c r="AH775" i="2"/>
  <c r="AK1068" i="2"/>
  <c r="AL1068" i="2" s="1"/>
  <c r="AH1068" i="2"/>
  <c r="AK678" i="2"/>
  <c r="AL678" i="2" s="1"/>
  <c r="AH678" i="2"/>
  <c r="AK1225" i="2"/>
  <c r="AL1225" i="2" s="1"/>
  <c r="AH1225" i="2"/>
  <c r="AK783" i="2"/>
  <c r="AL783" i="2" s="1"/>
  <c r="AH783" i="2"/>
  <c r="AK1046" i="2"/>
  <c r="AL1046" i="2" s="1"/>
  <c r="AH1046" i="2"/>
  <c r="AK594" i="2"/>
  <c r="AL594" i="2" s="1"/>
  <c r="AH594" i="2"/>
  <c r="AK1000" i="2"/>
  <c r="AL1000" i="2" s="1"/>
  <c r="AH1000" i="2"/>
  <c r="AK806" i="2"/>
  <c r="AL806" i="2" s="1"/>
  <c r="AH806" i="2"/>
  <c r="AK918" i="2"/>
  <c r="AL918" i="2" s="1"/>
  <c r="AH918" i="2"/>
  <c r="AK650" i="2"/>
  <c r="AL650" i="2" s="1"/>
  <c r="AH650" i="2"/>
  <c r="AK1173" i="2"/>
  <c r="AL1173" i="2" s="1"/>
  <c r="AH1173" i="2"/>
  <c r="AK367" i="2"/>
  <c r="AL367" i="2" s="1"/>
  <c r="AH367" i="2"/>
  <c r="AK756" i="2"/>
  <c r="AL756" i="2" s="1"/>
  <c r="AH756" i="2"/>
  <c r="AK668" i="2"/>
  <c r="AL668" i="2" s="1"/>
  <c r="AH668" i="2"/>
  <c r="AK673" i="2"/>
  <c r="AL673" i="2" s="1"/>
  <c r="AH673" i="2"/>
  <c r="AK712" i="2"/>
  <c r="AL712" i="2" s="1"/>
  <c r="AH712" i="2"/>
  <c r="AK444" i="2"/>
  <c r="AL444" i="2" s="1"/>
  <c r="AH444" i="2"/>
  <c r="AK743" i="2"/>
  <c r="AL743" i="2" s="1"/>
  <c r="AH743" i="2"/>
  <c r="AK963" i="2"/>
  <c r="AL963" i="2" s="1"/>
  <c r="AH963" i="2"/>
  <c r="AK213" i="2"/>
  <c r="AL213" i="2" s="1"/>
  <c r="AH213" i="2"/>
  <c r="AK1125" i="2"/>
  <c r="AL1125" i="2" s="1"/>
  <c r="AH1125" i="2"/>
  <c r="AK995" i="2"/>
  <c r="AL995" i="2" s="1"/>
  <c r="AH995" i="2"/>
  <c r="AK337" i="2"/>
  <c r="AL337" i="2" s="1"/>
  <c r="AH337" i="2"/>
  <c r="AK538" i="2"/>
  <c r="AL538" i="2" s="1"/>
  <c r="AH538" i="2"/>
  <c r="AK304" i="2"/>
  <c r="AL304" i="2" s="1"/>
  <c r="AH304" i="2"/>
  <c r="AK476" i="2"/>
  <c r="AL476" i="2" s="1"/>
  <c r="AH476" i="2"/>
  <c r="R1232" i="2"/>
  <c r="K2" i="1"/>
  <c r="O2" i="1" l="1"/>
  <c r="O3" i="1" s="1"/>
  <c r="V4" i="2"/>
  <c r="AI4" i="2" s="1"/>
  <c r="AJ4" i="2" s="1"/>
  <c r="V8" i="2"/>
  <c r="AI8" i="2" s="1"/>
  <c r="AJ8" i="2" s="1"/>
  <c r="V12" i="2"/>
  <c r="AI12" i="2" s="1"/>
  <c r="AJ12" i="2" s="1"/>
  <c r="V16" i="2"/>
  <c r="AI16" i="2" s="1"/>
  <c r="AJ16" i="2" s="1"/>
  <c r="V20" i="2"/>
  <c r="AI20" i="2" s="1"/>
  <c r="AJ20" i="2" s="1"/>
  <c r="V24" i="2"/>
  <c r="AI24" i="2" s="1"/>
  <c r="AJ24" i="2" s="1"/>
  <c r="V28" i="2"/>
  <c r="AI28" i="2" s="1"/>
  <c r="AJ28" i="2" s="1"/>
  <c r="V32" i="2"/>
  <c r="AI32" i="2" s="1"/>
  <c r="AJ32" i="2" s="1"/>
  <c r="V36" i="2"/>
  <c r="AI36" i="2" s="1"/>
  <c r="AJ36" i="2" s="1"/>
  <c r="V40" i="2"/>
  <c r="AI40" i="2" s="1"/>
  <c r="AJ40" i="2" s="1"/>
  <c r="V44" i="2"/>
  <c r="AI44" i="2" s="1"/>
  <c r="AJ44" i="2" s="1"/>
  <c r="V48" i="2"/>
  <c r="AI48" i="2" s="1"/>
  <c r="AJ48" i="2" s="1"/>
  <c r="V52" i="2"/>
  <c r="AI52" i="2" s="1"/>
  <c r="AJ52" i="2" s="1"/>
  <c r="V56" i="2"/>
  <c r="AI56" i="2" s="1"/>
  <c r="AJ56" i="2" s="1"/>
  <c r="V60" i="2"/>
  <c r="AI60" i="2" s="1"/>
  <c r="AJ60" i="2" s="1"/>
  <c r="V64" i="2"/>
  <c r="AI64" i="2" s="1"/>
  <c r="AJ64" i="2" s="1"/>
  <c r="V68" i="2"/>
  <c r="AI68" i="2" s="1"/>
  <c r="AJ68" i="2" s="1"/>
  <c r="V72" i="2"/>
  <c r="AI72" i="2" s="1"/>
  <c r="AJ72" i="2" s="1"/>
  <c r="V76" i="2"/>
  <c r="AI76" i="2" s="1"/>
  <c r="AJ76" i="2" s="1"/>
  <c r="V80" i="2"/>
  <c r="AI80" i="2" s="1"/>
  <c r="AJ80" i="2" s="1"/>
  <c r="V84" i="2"/>
  <c r="AI84" i="2" s="1"/>
  <c r="AJ84" i="2" s="1"/>
  <c r="V88" i="2"/>
  <c r="AI88" i="2" s="1"/>
  <c r="AJ88" i="2" s="1"/>
  <c r="V92" i="2"/>
  <c r="AI92" i="2" s="1"/>
  <c r="AJ92" i="2" s="1"/>
  <c r="V96" i="2"/>
  <c r="AI96" i="2" s="1"/>
  <c r="AJ96" i="2" s="1"/>
  <c r="V100" i="2"/>
  <c r="AI100" i="2" s="1"/>
  <c r="AJ100" i="2" s="1"/>
  <c r="V104" i="2"/>
  <c r="AI104" i="2" s="1"/>
  <c r="AJ104" i="2" s="1"/>
  <c r="V108" i="2"/>
  <c r="AI108" i="2" s="1"/>
  <c r="AJ108" i="2" s="1"/>
  <c r="V112" i="2"/>
  <c r="AI112" i="2" s="1"/>
  <c r="AJ112" i="2" s="1"/>
  <c r="V116" i="2"/>
  <c r="AI116" i="2" s="1"/>
  <c r="AJ116" i="2" s="1"/>
  <c r="V120" i="2"/>
  <c r="AI120" i="2" s="1"/>
  <c r="AJ120" i="2" s="1"/>
  <c r="V124" i="2"/>
  <c r="AI124" i="2" s="1"/>
  <c r="AJ124" i="2" s="1"/>
  <c r="V128" i="2"/>
  <c r="AI128" i="2" s="1"/>
  <c r="AJ128" i="2" s="1"/>
  <c r="V132" i="2"/>
  <c r="AI132" i="2" s="1"/>
  <c r="AJ132" i="2" s="1"/>
  <c r="V136" i="2"/>
  <c r="AI136" i="2" s="1"/>
  <c r="AJ136" i="2" s="1"/>
  <c r="V140" i="2"/>
  <c r="AI140" i="2" s="1"/>
  <c r="AJ140" i="2" s="1"/>
  <c r="V144" i="2"/>
  <c r="AI144" i="2" s="1"/>
  <c r="AJ144" i="2" s="1"/>
  <c r="V148" i="2"/>
  <c r="AI148" i="2" s="1"/>
  <c r="AJ148" i="2" s="1"/>
  <c r="V152" i="2"/>
  <c r="AI152" i="2" s="1"/>
  <c r="AJ152" i="2" s="1"/>
  <c r="V156" i="2"/>
  <c r="AI156" i="2" s="1"/>
  <c r="AJ156" i="2" s="1"/>
  <c r="V160" i="2"/>
  <c r="AI160" i="2" s="1"/>
  <c r="AJ160" i="2" s="1"/>
  <c r="V164" i="2"/>
  <c r="AI164" i="2" s="1"/>
  <c r="AJ164" i="2" s="1"/>
  <c r="V168" i="2"/>
  <c r="AI168" i="2" s="1"/>
  <c r="AJ168" i="2" s="1"/>
  <c r="V172" i="2"/>
  <c r="AI172" i="2" s="1"/>
  <c r="AJ172" i="2" s="1"/>
  <c r="V176" i="2"/>
  <c r="AI176" i="2" s="1"/>
  <c r="AJ176" i="2" s="1"/>
  <c r="V180" i="2"/>
  <c r="AI180" i="2" s="1"/>
  <c r="AJ180" i="2" s="1"/>
  <c r="V184" i="2"/>
  <c r="AI184" i="2" s="1"/>
  <c r="AJ184" i="2" s="1"/>
  <c r="V188" i="2"/>
  <c r="AI188" i="2" s="1"/>
  <c r="AJ188" i="2" s="1"/>
  <c r="V192" i="2"/>
  <c r="AI192" i="2" s="1"/>
  <c r="AJ192" i="2" s="1"/>
  <c r="V196" i="2"/>
  <c r="AI196" i="2" s="1"/>
  <c r="AJ196" i="2" s="1"/>
  <c r="V200" i="2"/>
  <c r="AI200" i="2" s="1"/>
  <c r="AJ200" i="2" s="1"/>
  <c r="V204" i="2"/>
  <c r="AI204" i="2" s="1"/>
  <c r="AJ204" i="2" s="1"/>
  <c r="V208" i="2"/>
  <c r="AI208" i="2" s="1"/>
  <c r="AJ208" i="2" s="1"/>
  <c r="V212" i="2"/>
  <c r="AI212" i="2" s="1"/>
  <c r="AJ212" i="2" s="1"/>
  <c r="V216" i="2"/>
  <c r="AI216" i="2" s="1"/>
  <c r="AJ216" i="2" s="1"/>
  <c r="V220" i="2"/>
  <c r="AI220" i="2" s="1"/>
  <c r="AJ220" i="2" s="1"/>
  <c r="V224" i="2"/>
  <c r="AI224" i="2" s="1"/>
  <c r="AJ224" i="2" s="1"/>
  <c r="V228" i="2"/>
  <c r="AI228" i="2" s="1"/>
  <c r="AJ228" i="2" s="1"/>
  <c r="V232" i="2"/>
  <c r="AI232" i="2" s="1"/>
  <c r="AJ232" i="2" s="1"/>
  <c r="V236" i="2"/>
  <c r="AI236" i="2" s="1"/>
  <c r="AJ236" i="2" s="1"/>
  <c r="V240" i="2"/>
  <c r="AI240" i="2" s="1"/>
  <c r="AJ240" i="2" s="1"/>
  <c r="V244" i="2"/>
  <c r="AI244" i="2" s="1"/>
  <c r="AJ244" i="2" s="1"/>
  <c r="V248" i="2"/>
  <c r="AI248" i="2" s="1"/>
  <c r="AJ248" i="2" s="1"/>
  <c r="V252" i="2"/>
  <c r="AI252" i="2" s="1"/>
  <c r="AJ252" i="2" s="1"/>
  <c r="V256" i="2"/>
  <c r="AI256" i="2" s="1"/>
  <c r="AJ256" i="2" s="1"/>
  <c r="V260" i="2"/>
  <c r="AI260" i="2" s="1"/>
  <c r="AJ260" i="2" s="1"/>
  <c r="V264" i="2"/>
  <c r="AI264" i="2" s="1"/>
  <c r="AJ264" i="2" s="1"/>
  <c r="V268" i="2"/>
  <c r="AI268" i="2" s="1"/>
  <c r="AJ268" i="2" s="1"/>
  <c r="V272" i="2"/>
  <c r="AI272" i="2" s="1"/>
  <c r="AJ272" i="2" s="1"/>
  <c r="V276" i="2"/>
  <c r="AI276" i="2" s="1"/>
  <c r="AJ276" i="2" s="1"/>
  <c r="V280" i="2"/>
  <c r="AI280" i="2" s="1"/>
  <c r="AJ280" i="2" s="1"/>
  <c r="V284" i="2"/>
  <c r="AI284" i="2" s="1"/>
  <c r="AJ284" i="2" s="1"/>
  <c r="V288" i="2"/>
  <c r="AI288" i="2" s="1"/>
  <c r="AJ288" i="2" s="1"/>
  <c r="V292" i="2"/>
  <c r="AI292" i="2" s="1"/>
  <c r="AJ292" i="2" s="1"/>
  <c r="V296" i="2"/>
  <c r="AI296" i="2" s="1"/>
  <c r="AJ296" i="2" s="1"/>
  <c r="V300" i="2"/>
  <c r="AI300" i="2" s="1"/>
  <c r="AJ300" i="2" s="1"/>
  <c r="V304" i="2"/>
  <c r="AI304" i="2" s="1"/>
  <c r="AJ304" i="2" s="1"/>
  <c r="V308" i="2"/>
  <c r="AI308" i="2" s="1"/>
  <c r="AJ308" i="2" s="1"/>
  <c r="V312" i="2"/>
  <c r="AI312" i="2" s="1"/>
  <c r="AJ312" i="2" s="1"/>
  <c r="V316" i="2"/>
  <c r="AI316" i="2" s="1"/>
  <c r="AJ316" i="2" s="1"/>
  <c r="V320" i="2"/>
  <c r="AI320" i="2" s="1"/>
  <c r="AJ320" i="2" s="1"/>
  <c r="V324" i="2"/>
  <c r="AI324" i="2" s="1"/>
  <c r="AJ324" i="2" s="1"/>
  <c r="V328" i="2"/>
  <c r="AI328" i="2" s="1"/>
  <c r="AJ328" i="2" s="1"/>
  <c r="V332" i="2"/>
  <c r="AI332" i="2" s="1"/>
  <c r="AJ332" i="2" s="1"/>
  <c r="V336" i="2"/>
  <c r="AI336" i="2" s="1"/>
  <c r="AJ336" i="2" s="1"/>
  <c r="V340" i="2"/>
  <c r="AI340" i="2" s="1"/>
  <c r="AJ340" i="2" s="1"/>
  <c r="V344" i="2"/>
  <c r="AI344" i="2" s="1"/>
  <c r="AJ344" i="2" s="1"/>
  <c r="V348" i="2"/>
  <c r="AI348" i="2" s="1"/>
  <c r="AJ348" i="2" s="1"/>
  <c r="V352" i="2"/>
  <c r="AI352" i="2" s="1"/>
  <c r="AJ352" i="2" s="1"/>
  <c r="V356" i="2"/>
  <c r="AI356" i="2" s="1"/>
  <c r="AJ356" i="2" s="1"/>
  <c r="V360" i="2"/>
  <c r="AI360" i="2" s="1"/>
  <c r="AJ360" i="2" s="1"/>
  <c r="V364" i="2"/>
  <c r="AI364" i="2" s="1"/>
  <c r="AJ364" i="2" s="1"/>
  <c r="V368" i="2"/>
  <c r="AI368" i="2" s="1"/>
  <c r="AJ368" i="2" s="1"/>
  <c r="V372" i="2"/>
  <c r="AI372" i="2" s="1"/>
  <c r="AJ372" i="2" s="1"/>
  <c r="V376" i="2"/>
  <c r="AI376" i="2" s="1"/>
  <c r="AJ376" i="2" s="1"/>
  <c r="V380" i="2"/>
  <c r="AI380" i="2" s="1"/>
  <c r="AJ380" i="2" s="1"/>
  <c r="V384" i="2"/>
  <c r="AI384" i="2" s="1"/>
  <c r="AJ384" i="2" s="1"/>
  <c r="V388" i="2"/>
  <c r="AI388" i="2" s="1"/>
  <c r="AJ388" i="2" s="1"/>
  <c r="V392" i="2"/>
  <c r="AI392" i="2" s="1"/>
  <c r="AJ392" i="2" s="1"/>
  <c r="V396" i="2"/>
  <c r="AI396" i="2" s="1"/>
  <c r="AJ396" i="2" s="1"/>
  <c r="V400" i="2"/>
  <c r="AI400" i="2" s="1"/>
  <c r="AJ400" i="2" s="1"/>
  <c r="V404" i="2"/>
  <c r="AI404" i="2" s="1"/>
  <c r="AJ404" i="2" s="1"/>
  <c r="V408" i="2"/>
  <c r="AI408" i="2" s="1"/>
  <c r="AJ408" i="2" s="1"/>
  <c r="V412" i="2"/>
  <c r="AI412" i="2" s="1"/>
  <c r="AJ412" i="2" s="1"/>
  <c r="V416" i="2"/>
  <c r="AI416" i="2" s="1"/>
  <c r="AJ416" i="2" s="1"/>
  <c r="V420" i="2"/>
  <c r="AI420" i="2" s="1"/>
  <c r="AJ420" i="2" s="1"/>
  <c r="V424" i="2"/>
  <c r="AI424" i="2" s="1"/>
  <c r="AJ424" i="2" s="1"/>
  <c r="V428" i="2"/>
  <c r="AI428" i="2" s="1"/>
  <c r="AJ428" i="2" s="1"/>
  <c r="V432" i="2"/>
  <c r="AI432" i="2" s="1"/>
  <c r="AJ432" i="2" s="1"/>
  <c r="V436" i="2"/>
  <c r="AI436" i="2" s="1"/>
  <c r="AJ436" i="2" s="1"/>
  <c r="V440" i="2"/>
  <c r="AI440" i="2" s="1"/>
  <c r="AJ440" i="2" s="1"/>
  <c r="V444" i="2"/>
  <c r="AI444" i="2" s="1"/>
  <c r="AJ444" i="2" s="1"/>
  <c r="V448" i="2"/>
  <c r="AI448" i="2" s="1"/>
  <c r="AJ448" i="2" s="1"/>
  <c r="V452" i="2"/>
  <c r="AI452" i="2" s="1"/>
  <c r="AJ452" i="2" s="1"/>
  <c r="V456" i="2"/>
  <c r="AI456" i="2" s="1"/>
  <c r="AJ456" i="2" s="1"/>
  <c r="V460" i="2"/>
  <c r="AI460" i="2" s="1"/>
  <c r="AJ460" i="2" s="1"/>
  <c r="V464" i="2"/>
  <c r="AI464" i="2" s="1"/>
  <c r="AJ464" i="2" s="1"/>
  <c r="V468" i="2"/>
  <c r="AI468" i="2" s="1"/>
  <c r="AJ468" i="2" s="1"/>
  <c r="V472" i="2"/>
  <c r="AI472" i="2" s="1"/>
  <c r="AJ472" i="2" s="1"/>
  <c r="V476" i="2"/>
  <c r="AI476" i="2" s="1"/>
  <c r="AJ476" i="2" s="1"/>
  <c r="V480" i="2"/>
  <c r="AI480" i="2" s="1"/>
  <c r="AJ480" i="2" s="1"/>
  <c r="V484" i="2"/>
  <c r="AI484" i="2" s="1"/>
  <c r="AJ484" i="2" s="1"/>
  <c r="V488" i="2"/>
  <c r="AI488" i="2" s="1"/>
  <c r="AJ488" i="2" s="1"/>
  <c r="V492" i="2"/>
  <c r="AI492" i="2" s="1"/>
  <c r="AJ492" i="2" s="1"/>
  <c r="V496" i="2"/>
  <c r="AI496" i="2" s="1"/>
  <c r="AJ496" i="2" s="1"/>
  <c r="V500" i="2"/>
  <c r="AI500" i="2" s="1"/>
  <c r="AJ500" i="2" s="1"/>
  <c r="V504" i="2"/>
  <c r="AI504" i="2" s="1"/>
  <c r="AJ504" i="2" s="1"/>
  <c r="V508" i="2"/>
  <c r="AI508" i="2" s="1"/>
  <c r="AJ508" i="2" s="1"/>
  <c r="V512" i="2"/>
  <c r="AI512" i="2" s="1"/>
  <c r="AJ512" i="2" s="1"/>
  <c r="V516" i="2"/>
  <c r="AI516" i="2" s="1"/>
  <c r="AJ516" i="2" s="1"/>
  <c r="V520" i="2"/>
  <c r="AI520" i="2" s="1"/>
  <c r="AJ520" i="2" s="1"/>
  <c r="V524" i="2"/>
  <c r="AI524" i="2" s="1"/>
  <c r="AJ524" i="2" s="1"/>
  <c r="V528" i="2"/>
  <c r="AI528" i="2" s="1"/>
  <c r="AJ528" i="2" s="1"/>
  <c r="V532" i="2"/>
  <c r="AI532" i="2" s="1"/>
  <c r="AJ532" i="2" s="1"/>
  <c r="V536" i="2"/>
  <c r="AI536" i="2" s="1"/>
  <c r="AJ536" i="2" s="1"/>
  <c r="V540" i="2"/>
  <c r="AI540" i="2" s="1"/>
  <c r="AJ540" i="2" s="1"/>
  <c r="V544" i="2"/>
  <c r="AI544" i="2" s="1"/>
  <c r="AJ544" i="2" s="1"/>
  <c r="V548" i="2"/>
  <c r="AI548" i="2" s="1"/>
  <c r="AJ548" i="2" s="1"/>
  <c r="V552" i="2"/>
  <c r="AI552" i="2" s="1"/>
  <c r="AJ552" i="2" s="1"/>
  <c r="V556" i="2"/>
  <c r="AI556" i="2" s="1"/>
  <c r="AJ556" i="2" s="1"/>
  <c r="V560" i="2"/>
  <c r="AI560" i="2" s="1"/>
  <c r="AJ560" i="2" s="1"/>
  <c r="V564" i="2"/>
  <c r="AI564" i="2" s="1"/>
  <c r="AJ564" i="2" s="1"/>
  <c r="V568" i="2"/>
  <c r="AI568" i="2" s="1"/>
  <c r="AJ568" i="2" s="1"/>
  <c r="V572" i="2"/>
  <c r="AI572" i="2" s="1"/>
  <c r="AJ572" i="2" s="1"/>
  <c r="V576" i="2"/>
  <c r="AI576" i="2" s="1"/>
  <c r="AJ576" i="2" s="1"/>
  <c r="V580" i="2"/>
  <c r="AI580" i="2" s="1"/>
  <c r="AJ580" i="2" s="1"/>
  <c r="V584" i="2"/>
  <c r="AI584" i="2" s="1"/>
  <c r="AJ584" i="2" s="1"/>
  <c r="V588" i="2"/>
  <c r="AI588" i="2" s="1"/>
  <c r="AJ588" i="2" s="1"/>
  <c r="V592" i="2"/>
  <c r="AI592" i="2" s="1"/>
  <c r="AJ592" i="2" s="1"/>
  <c r="V596" i="2"/>
  <c r="AI596" i="2" s="1"/>
  <c r="AJ596" i="2" s="1"/>
  <c r="V600" i="2"/>
  <c r="AI600" i="2" s="1"/>
  <c r="AJ600" i="2" s="1"/>
  <c r="V604" i="2"/>
  <c r="AI604" i="2" s="1"/>
  <c r="AJ604" i="2" s="1"/>
  <c r="V608" i="2"/>
  <c r="AI608" i="2" s="1"/>
  <c r="AJ608" i="2" s="1"/>
  <c r="V612" i="2"/>
  <c r="AI612" i="2" s="1"/>
  <c r="AJ612" i="2" s="1"/>
  <c r="V616" i="2"/>
  <c r="AI616" i="2" s="1"/>
  <c r="AJ616" i="2" s="1"/>
  <c r="V620" i="2"/>
  <c r="AI620" i="2" s="1"/>
  <c r="AJ620" i="2" s="1"/>
  <c r="V624" i="2"/>
  <c r="AI624" i="2" s="1"/>
  <c r="AJ624" i="2" s="1"/>
  <c r="V628" i="2"/>
  <c r="AI628" i="2" s="1"/>
  <c r="AJ628" i="2" s="1"/>
  <c r="V632" i="2"/>
  <c r="AI632" i="2" s="1"/>
  <c r="AJ632" i="2" s="1"/>
  <c r="V636" i="2"/>
  <c r="AI636" i="2" s="1"/>
  <c r="AJ636" i="2" s="1"/>
  <c r="V640" i="2"/>
  <c r="AI640" i="2" s="1"/>
  <c r="AJ640" i="2" s="1"/>
  <c r="V644" i="2"/>
  <c r="AI644" i="2" s="1"/>
  <c r="AJ644" i="2" s="1"/>
  <c r="V648" i="2"/>
  <c r="AI648" i="2" s="1"/>
  <c r="AJ648" i="2" s="1"/>
  <c r="V652" i="2"/>
  <c r="AI652" i="2" s="1"/>
  <c r="AJ652" i="2" s="1"/>
  <c r="V656" i="2"/>
  <c r="AI656" i="2" s="1"/>
  <c r="AJ656" i="2" s="1"/>
  <c r="V660" i="2"/>
  <c r="AI660" i="2" s="1"/>
  <c r="AJ660" i="2" s="1"/>
  <c r="V664" i="2"/>
  <c r="AI664" i="2" s="1"/>
  <c r="AJ664" i="2" s="1"/>
  <c r="V668" i="2"/>
  <c r="AI668" i="2" s="1"/>
  <c r="AJ668" i="2" s="1"/>
  <c r="V672" i="2"/>
  <c r="AI672" i="2" s="1"/>
  <c r="AJ672" i="2" s="1"/>
  <c r="V676" i="2"/>
  <c r="AI676" i="2" s="1"/>
  <c r="AJ676" i="2" s="1"/>
  <c r="V680" i="2"/>
  <c r="AI680" i="2" s="1"/>
  <c r="AJ680" i="2" s="1"/>
  <c r="V684" i="2"/>
  <c r="AI684" i="2" s="1"/>
  <c r="AJ684" i="2" s="1"/>
  <c r="V688" i="2"/>
  <c r="AI688" i="2" s="1"/>
  <c r="AJ688" i="2" s="1"/>
  <c r="V692" i="2"/>
  <c r="AI692" i="2" s="1"/>
  <c r="AJ692" i="2" s="1"/>
  <c r="V696" i="2"/>
  <c r="AI696" i="2" s="1"/>
  <c r="AJ696" i="2" s="1"/>
  <c r="V700" i="2"/>
  <c r="AI700" i="2" s="1"/>
  <c r="AJ700" i="2" s="1"/>
  <c r="V704" i="2"/>
  <c r="AI704" i="2" s="1"/>
  <c r="AJ704" i="2" s="1"/>
  <c r="V708" i="2"/>
  <c r="AI708" i="2" s="1"/>
  <c r="AJ708" i="2" s="1"/>
  <c r="V712" i="2"/>
  <c r="AI712" i="2" s="1"/>
  <c r="AJ712" i="2" s="1"/>
  <c r="V716" i="2"/>
  <c r="AI716" i="2" s="1"/>
  <c r="AJ716" i="2" s="1"/>
  <c r="V720" i="2"/>
  <c r="AI720" i="2" s="1"/>
  <c r="AJ720" i="2" s="1"/>
  <c r="V724" i="2"/>
  <c r="AI724" i="2" s="1"/>
  <c r="AJ724" i="2" s="1"/>
  <c r="V728" i="2"/>
  <c r="AI728" i="2" s="1"/>
  <c r="AJ728" i="2" s="1"/>
  <c r="V732" i="2"/>
  <c r="AI732" i="2" s="1"/>
  <c r="AJ732" i="2" s="1"/>
  <c r="V736" i="2"/>
  <c r="AI736" i="2" s="1"/>
  <c r="AJ736" i="2" s="1"/>
  <c r="V740" i="2"/>
  <c r="AI740" i="2" s="1"/>
  <c r="AJ740" i="2" s="1"/>
  <c r="V744" i="2"/>
  <c r="AI744" i="2" s="1"/>
  <c r="AJ744" i="2" s="1"/>
  <c r="V748" i="2"/>
  <c r="AI748" i="2" s="1"/>
  <c r="AJ748" i="2" s="1"/>
  <c r="V752" i="2"/>
  <c r="AI752" i="2" s="1"/>
  <c r="AJ752" i="2" s="1"/>
  <c r="V756" i="2"/>
  <c r="AI756" i="2" s="1"/>
  <c r="AJ756" i="2" s="1"/>
  <c r="V760" i="2"/>
  <c r="AI760" i="2" s="1"/>
  <c r="AJ760" i="2" s="1"/>
  <c r="V764" i="2"/>
  <c r="AI764" i="2" s="1"/>
  <c r="AJ764" i="2" s="1"/>
  <c r="V768" i="2"/>
  <c r="AI768" i="2" s="1"/>
  <c r="AJ768" i="2" s="1"/>
  <c r="V772" i="2"/>
  <c r="AI772" i="2" s="1"/>
  <c r="AJ772" i="2" s="1"/>
  <c r="V776" i="2"/>
  <c r="AI776" i="2" s="1"/>
  <c r="AJ776" i="2" s="1"/>
  <c r="V780" i="2"/>
  <c r="AI780" i="2" s="1"/>
  <c r="AJ780" i="2" s="1"/>
  <c r="V784" i="2"/>
  <c r="AI784" i="2" s="1"/>
  <c r="AJ784" i="2" s="1"/>
  <c r="V788" i="2"/>
  <c r="AI788" i="2" s="1"/>
  <c r="AJ788" i="2" s="1"/>
  <c r="V792" i="2"/>
  <c r="AI792" i="2" s="1"/>
  <c r="AJ792" i="2" s="1"/>
  <c r="V796" i="2"/>
  <c r="AI796" i="2" s="1"/>
  <c r="AJ796" i="2" s="1"/>
  <c r="V800" i="2"/>
  <c r="AI800" i="2" s="1"/>
  <c r="AJ800" i="2" s="1"/>
  <c r="V804" i="2"/>
  <c r="AI804" i="2" s="1"/>
  <c r="AJ804" i="2" s="1"/>
  <c r="V808" i="2"/>
  <c r="AI808" i="2" s="1"/>
  <c r="AJ808" i="2" s="1"/>
  <c r="V812" i="2"/>
  <c r="AI812" i="2" s="1"/>
  <c r="AJ812" i="2" s="1"/>
  <c r="V816" i="2"/>
  <c r="AI816" i="2" s="1"/>
  <c r="AJ816" i="2" s="1"/>
  <c r="V820" i="2"/>
  <c r="AI820" i="2" s="1"/>
  <c r="AJ820" i="2" s="1"/>
  <c r="V824" i="2"/>
  <c r="AI824" i="2" s="1"/>
  <c r="AJ824" i="2" s="1"/>
  <c r="V828" i="2"/>
  <c r="AI828" i="2" s="1"/>
  <c r="AJ828" i="2" s="1"/>
  <c r="V832" i="2"/>
  <c r="AI832" i="2" s="1"/>
  <c r="AJ832" i="2" s="1"/>
  <c r="V836" i="2"/>
  <c r="AI836" i="2" s="1"/>
  <c r="AJ836" i="2" s="1"/>
  <c r="V840" i="2"/>
  <c r="AI840" i="2" s="1"/>
  <c r="AJ840" i="2" s="1"/>
  <c r="V844" i="2"/>
  <c r="AI844" i="2" s="1"/>
  <c r="AJ844" i="2" s="1"/>
  <c r="V848" i="2"/>
  <c r="AI848" i="2" s="1"/>
  <c r="AJ848" i="2" s="1"/>
  <c r="V852" i="2"/>
  <c r="AI852" i="2" s="1"/>
  <c r="AJ852" i="2" s="1"/>
  <c r="V856" i="2"/>
  <c r="AI856" i="2" s="1"/>
  <c r="AJ856" i="2" s="1"/>
  <c r="V860" i="2"/>
  <c r="AI860" i="2" s="1"/>
  <c r="AJ860" i="2" s="1"/>
  <c r="V864" i="2"/>
  <c r="AI864" i="2" s="1"/>
  <c r="AJ864" i="2" s="1"/>
  <c r="V868" i="2"/>
  <c r="AI868" i="2" s="1"/>
  <c r="AJ868" i="2" s="1"/>
  <c r="V872" i="2"/>
  <c r="AI872" i="2" s="1"/>
  <c r="AJ872" i="2" s="1"/>
  <c r="V876" i="2"/>
  <c r="AI876" i="2" s="1"/>
  <c r="AJ876" i="2" s="1"/>
  <c r="V880" i="2"/>
  <c r="AI880" i="2" s="1"/>
  <c r="AJ880" i="2" s="1"/>
  <c r="V884" i="2"/>
  <c r="AI884" i="2" s="1"/>
  <c r="AJ884" i="2" s="1"/>
  <c r="V888" i="2"/>
  <c r="AI888" i="2" s="1"/>
  <c r="AJ888" i="2" s="1"/>
  <c r="V892" i="2"/>
  <c r="AI892" i="2" s="1"/>
  <c r="AJ892" i="2" s="1"/>
  <c r="V896" i="2"/>
  <c r="AI896" i="2" s="1"/>
  <c r="AJ896" i="2" s="1"/>
  <c r="V900" i="2"/>
  <c r="AI900" i="2" s="1"/>
  <c r="AJ900" i="2" s="1"/>
  <c r="V904" i="2"/>
  <c r="AI904" i="2" s="1"/>
  <c r="AJ904" i="2" s="1"/>
  <c r="V908" i="2"/>
  <c r="AI908" i="2" s="1"/>
  <c r="AJ908" i="2" s="1"/>
  <c r="V912" i="2"/>
  <c r="AI912" i="2" s="1"/>
  <c r="AJ912" i="2" s="1"/>
  <c r="V916" i="2"/>
  <c r="AI916" i="2" s="1"/>
  <c r="AJ916" i="2" s="1"/>
  <c r="V920" i="2"/>
  <c r="AI920" i="2" s="1"/>
  <c r="AJ920" i="2" s="1"/>
  <c r="V924" i="2"/>
  <c r="AI924" i="2" s="1"/>
  <c r="AJ924" i="2" s="1"/>
  <c r="V928" i="2"/>
  <c r="AI928" i="2" s="1"/>
  <c r="AJ928" i="2" s="1"/>
  <c r="V932" i="2"/>
  <c r="AI932" i="2" s="1"/>
  <c r="AJ932" i="2" s="1"/>
  <c r="V936" i="2"/>
  <c r="AI936" i="2" s="1"/>
  <c r="AJ936" i="2" s="1"/>
  <c r="V940" i="2"/>
  <c r="AI940" i="2" s="1"/>
  <c r="AJ940" i="2" s="1"/>
  <c r="V944" i="2"/>
  <c r="AI944" i="2" s="1"/>
  <c r="AJ944" i="2" s="1"/>
  <c r="V948" i="2"/>
  <c r="AI948" i="2" s="1"/>
  <c r="AJ948" i="2" s="1"/>
  <c r="V952" i="2"/>
  <c r="AI952" i="2" s="1"/>
  <c r="AJ952" i="2" s="1"/>
  <c r="V956" i="2"/>
  <c r="AI956" i="2" s="1"/>
  <c r="AJ956" i="2" s="1"/>
  <c r="V960" i="2"/>
  <c r="AI960" i="2" s="1"/>
  <c r="AJ960" i="2" s="1"/>
  <c r="V964" i="2"/>
  <c r="AI964" i="2" s="1"/>
  <c r="AJ964" i="2" s="1"/>
  <c r="V968" i="2"/>
  <c r="AI968" i="2" s="1"/>
  <c r="AJ968" i="2" s="1"/>
  <c r="V972" i="2"/>
  <c r="AI972" i="2" s="1"/>
  <c r="AJ972" i="2" s="1"/>
  <c r="V976" i="2"/>
  <c r="AI976" i="2" s="1"/>
  <c r="AJ976" i="2" s="1"/>
  <c r="V980" i="2"/>
  <c r="AI980" i="2" s="1"/>
  <c r="AJ980" i="2" s="1"/>
  <c r="V984" i="2"/>
  <c r="AI984" i="2" s="1"/>
  <c r="AJ984" i="2" s="1"/>
  <c r="V988" i="2"/>
  <c r="AI988" i="2" s="1"/>
  <c r="AJ988" i="2" s="1"/>
  <c r="V992" i="2"/>
  <c r="AI992" i="2" s="1"/>
  <c r="AJ992" i="2" s="1"/>
  <c r="V996" i="2"/>
  <c r="AI996" i="2" s="1"/>
  <c r="AJ996" i="2" s="1"/>
  <c r="V1000" i="2"/>
  <c r="AI1000" i="2" s="1"/>
  <c r="AJ1000" i="2" s="1"/>
  <c r="V1004" i="2"/>
  <c r="AI1004" i="2" s="1"/>
  <c r="AJ1004" i="2" s="1"/>
  <c r="V1008" i="2"/>
  <c r="AI1008" i="2" s="1"/>
  <c r="AJ1008" i="2" s="1"/>
  <c r="V1012" i="2"/>
  <c r="AI1012" i="2" s="1"/>
  <c r="AJ1012" i="2" s="1"/>
  <c r="V1016" i="2"/>
  <c r="AI1016" i="2" s="1"/>
  <c r="AJ1016" i="2" s="1"/>
  <c r="V1020" i="2"/>
  <c r="AI1020" i="2" s="1"/>
  <c r="AJ1020" i="2" s="1"/>
  <c r="V1024" i="2"/>
  <c r="AI1024" i="2" s="1"/>
  <c r="AJ1024" i="2" s="1"/>
  <c r="V1028" i="2"/>
  <c r="AI1028" i="2" s="1"/>
  <c r="AJ1028" i="2" s="1"/>
  <c r="V1032" i="2"/>
  <c r="AI1032" i="2" s="1"/>
  <c r="AJ1032" i="2" s="1"/>
  <c r="V1036" i="2"/>
  <c r="AI1036" i="2" s="1"/>
  <c r="AJ1036" i="2" s="1"/>
  <c r="V1040" i="2"/>
  <c r="AI1040" i="2" s="1"/>
  <c r="AJ1040" i="2" s="1"/>
  <c r="V1044" i="2"/>
  <c r="AI1044" i="2" s="1"/>
  <c r="AJ1044" i="2" s="1"/>
  <c r="V1048" i="2"/>
  <c r="AI1048" i="2" s="1"/>
  <c r="AJ1048" i="2" s="1"/>
  <c r="V1052" i="2"/>
  <c r="AI1052" i="2" s="1"/>
  <c r="AJ1052" i="2" s="1"/>
  <c r="V1056" i="2"/>
  <c r="AI1056" i="2" s="1"/>
  <c r="AJ1056" i="2" s="1"/>
  <c r="V1060" i="2"/>
  <c r="AI1060" i="2" s="1"/>
  <c r="AJ1060" i="2" s="1"/>
  <c r="V1064" i="2"/>
  <c r="AI1064" i="2" s="1"/>
  <c r="AJ1064" i="2" s="1"/>
  <c r="V1068" i="2"/>
  <c r="AI1068" i="2" s="1"/>
  <c r="AJ1068" i="2" s="1"/>
  <c r="V1072" i="2"/>
  <c r="AI1072" i="2" s="1"/>
  <c r="AJ1072" i="2" s="1"/>
  <c r="V1076" i="2"/>
  <c r="AI1076" i="2" s="1"/>
  <c r="AJ1076" i="2" s="1"/>
  <c r="V1080" i="2"/>
  <c r="AI1080" i="2" s="1"/>
  <c r="AJ1080" i="2" s="1"/>
  <c r="V1084" i="2"/>
  <c r="AI1084" i="2" s="1"/>
  <c r="AJ1084" i="2" s="1"/>
  <c r="V1088" i="2"/>
  <c r="AI1088" i="2" s="1"/>
  <c r="AJ1088" i="2" s="1"/>
  <c r="V1092" i="2"/>
  <c r="AI1092" i="2" s="1"/>
  <c r="AJ1092" i="2" s="1"/>
  <c r="V1096" i="2"/>
  <c r="AI1096" i="2" s="1"/>
  <c r="AJ1096" i="2" s="1"/>
  <c r="V1100" i="2"/>
  <c r="AI1100" i="2" s="1"/>
  <c r="AJ1100" i="2" s="1"/>
  <c r="V1104" i="2"/>
  <c r="AI1104" i="2" s="1"/>
  <c r="AJ1104" i="2" s="1"/>
  <c r="V1108" i="2"/>
  <c r="AI1108" i="2" s="1"/>
  <c r="AJ1108" i="2" s="1"/>
  <c r="V1112" i="2"/>
  <c r="AI1112" i="2" s="1"/>
  <c r="AJ1112" i="2" s="1"/>
  <c r="V1116" i="2"/>
  <c r="AI1116" i="2" s="1"/>
  <c r="AJ1116" i="2" s="1"/>
  <c r="V1120" i="2"/>
  <c r="AI1120" i="2" s="1"/>
  <c r="AJ1120" i="2" s="1"/>
  <c r="V1124" i="2"/>
  <c r="AI1124" i="2" s="1"/>
  <c r="AJ1124" i="2" s="1"/>
  <c r="V1128" i="2"/>
  <c r="AI1128" i="2" s="1"/>
  <c r="AJ1128" i="2" s="1"/>
  <c r="V1132" i="2"/>
  <c r="AI1132" i="2" s="1"/>
  <c r="AJ1132" i="2" s="1"/>
  <c r="V1136" i="2"/>
  <c r="AI1136" i="2" s="1"/>
  <c r="AJ1136" i="2" s="1"/>
  <c r="V1140" i="2"/>
  <c r="AI1140" i="2" s="1"/>
  <c r="AJ1140" i="2" s="1"/>
  <c r="V1144" i="2"/>
  <c r="AI1144" i="2" s="1"/>
  <c r="AJ1144" i="2" s="1"/>
  <c r="V1148" i="2"/>
  <c r="AI1148" i="2" s="1"/>
  <c r="AJ1148" i="2" s="1"/>
  <c r="V1152" i="2"/>
  <c r="AI1152" i="2" s="1"/>
  <c r="AJ1152" i="2" s="1"/>
  <c r="V1156" i="2"/>
  <c r="AI1156" i="2" s="1"/>
  <c r="AJ1156" i="2" s="1"/>
  <c r="V1160" i="2"/>
  <c r="AI1160" i="2" s="1"/>
  <c r="AJ1160" i="2" s="1"/>
  <c r="V1164" i="2"/>
  <c r="AI1164" i="2" s="1"/>
  <c r="AJ1164" i="2" s="1"/>
  <c r="V1168" i="2"/>
  <c r="AI1168" i="2" s="1"/>
  <c r="AJ1168" i="2" s="1"/>
  <c r="V1172" i="2"/>
  <c r="AI1172" i="2" s="1"/>
  <c r="AJ1172" i="2" s="1"/>
  <c r="V1176" i="2"/>
  <c r="AI1176" i="2" s="1"/>
  <c r="AJ1176" i="2" s="1"/>
  <c r="V1180" i="2"/>
  <c r="AI1180" i="2" s="1"/>
  <c r="AJ1180" i="2" s="1"/>
  <c r="V1184" i="2"/>
  <c r="AI1184" i="2" s="1"/>
  <c r="AJ1184" i="2" s="1"/>
  <c r="V1188" i="2"/>
  <c r="AI1188" i="2" s="1"/>
  <c r="AJ1188" i="2" s="1"/>
  <c r="V1192" i="2"/>
  <c r="AI1192" i="2" s="1"/>
  <c r="AJ1192" i="2" s="1"/>
  <c r="V1196" i="2"/>
  <c r="AI1196" i="2" s="1"/>
  <c r="AJ1196" i="2" s="1"/>
  <c r="V1200" i="2"/>
  <c r="AI1200" i="2" s="1"/>
  <c r="AJ1200" i="2" s="1"/>
  <c r="V1204" i="2"/>
  <c r="AI1204" i="2" s="1"/>
  <c r="AJ1204" i="2" s="1"/>
  <c r="V1208" i="2"/>
  <c r="AI1208" i="2" s="1"/>
  <c r="AJ1208" i="2" s="1"/>
  <c r="V1212" i="2"/>
  <c r="AI1212" i="2" s="1"/>
  <c r="AJ1212" i="2" s="1"/>
  <c r="V1216" i="2"/>
  <c r="AI1216" i="2" s="1"/>
  <c r="AJ1216" i="2" s="1"/>
  <c r="V1220" i="2"/>
  <c r="AI1220" i="2" s="1"/>
  <c r="AJ1220" i="2" s="1"/>
  <c r="V1224" i="2"/>
  <c r="AI1224" i="2" s="1"/>
  <c r="AJ1224" i="2" s="1"/>
  <c r="V1228" i="2"/>
  <c r="AI1228" i="2" s="1"/>
  <c r="AJ1228" i="2" s="1"/>
  <c r="V5" i="2"/>
  <c r="AI5" i="2" s="1"/>
  <c r="AJ5" i="2" s="1"/>
  <c r="V9" i="2"/>
  <c r="AI9" i="2" s="1"/>
  <c r="AJ9" i="2" s="1"/>
  <c r="V13" i="2"/>
  <c r="AI13" i="2" s="1"/>
  <c r="AJ13" i="2" s="1"/>
  <c r="V17" i="2"/>
  <c r="AI17" i="2" s="1"/>
  <c r="AJ17" i="2" s="1"/>
  <c r="V21" i="2"/>
  <c r="AI21" i="2" s="1"/>
  <c r="AJ21" i="2" s="1"/>
  <c r="V25" i="2"/>
  <c r="AI25" i="2" s="1"/>
  <c r="AJ25" i="2" s="1"/>
  <c r="V29" i="2"/>
  <c r="AI29" i="2" s="1"/>
  <c r="AJ29" i="2" s="1"/>
  <c r="V33" i="2"/>
  <c r="AI33" i="2" s="1"/>
  <c r="AJ33" i="2" s="1"/>
  <c r="V37" i="2"/>
  <c r="AI37" i="2" s="1"/>
  <c r="AJ37" i="2" s="1"/>
  <c r="V41" i="2"/>
  <c r="AI41" i="2" s="1"/>
  <c r="AJ41" i="2" s="1"/>
  <c r="V45" i="2"/>
  <c r="AI45" i="2" s="1"/>
  <c r="AJ45" i="2" s="1"/>
  <c r="V49" i="2"/>
  <c r="AI49" i="2" s="1"/>
  <c r="AJ49" i="2" s="1"/>
  <c r="V53" i="2"/>
  <c r="AI53" i="2" s="1"/>
  <c r="AJ53" i="2" s="1"/>
  <c r="V57" i="2"/>
  <c r="AI57" i="2" s="1"/>
  <c r="AJ57" i="2" s="1"/>
  <c r="V61" i="2"/>
  <c r="AI61" i="2" s="1"/>
  <c r="AJ61" i="2" s="1"/>
  <c r="V65" i="2"/>
  <c r="AI65" i="2" s="1"/>
  <c r="AJ65" i="2" s="1"/>
  <c r="V69" i="2"/>
  <c r="AI69" i="2" s="1"/>
  <c r="AJ69" i="2" s="1"/>
  <c r="V73" i="2"/>
  <c r="AI73" i="2" s="1"/>
  <c r="AJ73" i="2" s="1"/>
  <c r="V77" i="2"/>
  <c r="AI77" i="2" s="1"/>
  <c r="AJ77" i="2" s="1"/>
  <c r="V81" i="2"/>
  <c r="AI81" i="2" s="1"/>
  <c r="AJ81" i="2" s="1"/>
  <c r="V85" i="2"/>
  <c r="AI85" i="2" s="1"/>
  <c r="AJ85" i="2" s="1"/>
  <c r="V89" i="2"/>
  <c r="AI89" i="2" s="1"/>
  <c r="AJ89" i="2" s="1"/>
  <c r="V93" i="2"/>
  <c r="AI93" i="2" s="1"/>
  <c r="AJ93" i="2" s="1"/>
  <c r="V97" i="2"/>
  <c r="AI97" i="2" s="1"/>
  <c r="AJ97" i="2" s="1"/>
  <c r="V101" i="2"/>
  <c r="AI101" i="2" s="1"/>
  <c r="AJ101" i="2" s="1"/>
  <c r="V105" i="2"/>
  <c r="AI105" i="2" s="1"/>
  <c r="AJ105" i="2" s="1"/>
  <c r="V109" i="2"/>
  <c r="AI109" i="2" s="1"/>
  <c r="AJ109" i="2" s="1"/>
  <c r="V113" i="2"/>
  <c r="AI113" i="2" s="1"/>
  <c r="AJ113" i="2" s="1"/>
  <c r="V117" i="2"/>
  <c r="AI117" i="2" s="1"/>
  <c r="AJ117" i="2" s="1"/>
  <c r="V121" i="2"/>
  <c r="AI121" i="2" s="1"/>
  <c r="AJ121" i="2" s="1"/>
  <c r="V125" i="2"/>
  <c r="AI125" i="2" s="1"/>
  <c r="AJ125" i="2" s="1"/>
  <c r="V129" i="2"/>
  <c r="AI129" i="2" s="1"/>
  <c r="AJ129" i="2" s="1"/>
  <c r="V133" i="2"/>
  <c r="AI133" i="2" s="1"/>
  <c r="AJ133" i="2" s="1"/>
  <c r="V137" i="2"/>
  <c r="AI137" i="2" s="1"/>
  <c r="AJ137" i="2" s="1"/>
  <c r="V141" i="2"/>
  <c r="AI141" i="2" s="1"/>
  <c r="AJ141" i="2" s="1"/>
  <c r="V145" i="2"/>
  <c r="AI145" i="2" s="1"/>
  <c r="AJ145" i="2" s="1"/>
  <c r="V149" i="2"/>
  <c r="AI149" i="2" s="1"/>
  <c r="AJ149" i="2" s="1"/>
  <c r="V153" i="2"/>
  <c r="AI153" i="2" s="1"/>
  <c r="AJ153" i="2" s="1"/>
  <c r="V157" i="2"/>
  <c r="AI157" i="2" s="1"/>
  <c r="AJ157" i="2" s="1"/>
  <c r="V161" i="2"/>
  <c r="AI161" i="2" s="1"/>
  <c r="AJ161" i="2" s="1"/>
  <c r="V165" i="2"/>
  <c r="AI165" i="2" s="1"/>
  <c r="AJ165" i="2" s="1"/>
  <c r="V169" i="2"/>
  <c r="AI169" i="2" s="1"/>
  <c r="AJ169" i="2" s="1"/>
  <c r="V173" i="2"/>
  <c r="AI173" i="2" s="1"/>
  <c r="AJ173" i="2" s="1"/>
  <c r="V177" i="2"/>
  <c r="AI177" i="2" s="1"/>
  <c r="AJ177" i="2" s="1"/>
  <c r="V181" i="2"/>
  <c r="AI181" i="2" s="1"/>
  <c r="AJ181" i="2" s="1"/>
  <c r="V185" i="2"/>
  <c r="AI185" i="2" s="1"/>
  <c r="AJ185" i="2" s="1"/>
  <c r="V189" i="2"/>
  <c r="AI189" i="2" s="1"/>
  <c r="AJ189" i="2" s="1"/>
  <c r="V193" i="2"/>
  <c r="AI193" i="2" s="1"/>
  <c r="AJ193" i="2" s="1"/>
  <c r="V197" i="2"/>
  <c r="AI197" i="2" s="1"/>
  <c r="AJ197" i="2" s="1"/>
  <c r="V201" i="2"/>
  <c r="AI201" i="2" s="1"/>
  <c r="AJ201" i="2" s="1"/>
  <c r="V205" i="2"/>
  <c r="AI205" i="2" s="1"/>
  <c r="AJ205" i="2" s="1"/>
  <c r="V209" i="2"/>
  <c r="AI209" i="2" s="1"/>
  <c r="AJ209" i="2" s="1"/>
  <c r="V213" i="2"/>
  <c r="AI213" i="2" s="1"/>
  <c r="AJ213" i="2" s="1"/>
  <c r="V217" i="2"/>
  <c r="AI217" i="2" s="1"/>
  <c r="AJ217" i="2" s="1"/>
  <c r="V221" i="2"/>
  <c r="AI221" i="2" s="1"/>
  <c r="AJ221" i="2" s="1"/>
  <c r="V225" i="2"/>
  <c r="AI225" i="2" s="1"/>
  <c r="AJ225" i="2" s="1"/>
  <c r="V229" i="2"/>
  <c r="AI229" i="2" s="1"/>
  <c r="AJ229" i="2" s="1"/>
  <c r="V233" i="2"/>
  <c r="AI233" i="2" s="1"/>
  <c r="AJ233" i="2" s="1"/>
  <c r="V237" i="2"/>
  <c r="AI237" i="2" s="1"/>
  <c r="AJ237" i="2" s="1"/>
  <c r="V241" i="2"/>
  <c r="AI241" i="2" s="1"/>
  <c r="AJ241" i="2" s="1"/>
  <c r="V245" i="2"/>
  <c r="AI245" i="2" s="1"/>
  <c r="AJ245" i="2" s="1"/>
  <c r="V249" i="2"/>
  <c r="AI249" i="2" s="1"/>
  <c r="AJ249" i="2" s="1"/>
  <c r="V253" i="2"/>
  <c r="AI253" i="2" s="1"/>
  <c r="AJ253" i="2" s="1"/>
  <c r="V257" i="2"/>
  <c r="AI257" i="2" s="1"/>
  <c r="AJ257" i="2" s="1"/>
  <c r="V261" i="2"/>
  <c r="AI261" i="2" s="1"/>
  <c r="AJ261" i="2" s="1"/>
  <c r="V265" i="2"/>
  <c r="AI265" i="2" s="1"/>
  <c r="AJ265" i="2" s="1"/>
  <c r="V269" i="2"/>
  <c r="AI269" i="2" s="1"/>
  <c r="AJ269" i="2" s="1"/>
  <c r="V273" i="2"/>
  <c r="AI273" i="2" s="1"/>
  <c r="AJ273" i="2" s="1"/>
  <c r="V277" i="2"/>
  <c r="AI277" i="2" s="1"/>
  <c r="AJ277" i="2" s="1"/>
  <c r="V281" i="2"/>
  <c r="AI281" i="2" s="1"/>
  <c r="AJ281" i="2" s="1"/>
  <c r="V285" i="2"/>
  <c r="AI285" i="2" s="1"/>
  <c r="AJ285" i="2" s="1"/>
  <c r="V289" i="2"/>
  <c r="AI289" i="2" s="1"/>
  <c r="AJ289" i="2" s="1"/>
  <c r="V293" i="2"/>
  <c r="AI293" i="2" s="1"/>
  <c r="AJ293" i="2" s="1"/>
  <c r="V297" i="2"/>
  <c r="AI297" i="2" s="1"/>
  <c r="AJ297" i="2" s="1"/>
  <c r="V301" i="2"/>
  <c r="AI301" i="2" s="1"/>
  <c r="AJ301" i="2" s="1"/>
  <c r="V305" i="2"/>
  <c r="AI305" i="2" s="1"/>
  <c r="AJ305" i="2" s="1"/>
  <c r="V309" i="2"/>
  <c r="AI309" i="2" s="1"/>
  <c r="AJ309" i="2" s="1"/>
  <c r="V313" i="2"/>
  <c r="AI313" i="2" s="1"/>
  <c r="AJ313" i="2" s="1"/>
  <c r="V317" i="2"/>
  <c r="AI317" i="2" s="1"/>
  <c r="AJ317" i="2" s="1"/>
  <c r="V321" i="2"/>
  <c r="AI321" i="2" s="1"/>
  <c r="AJ321" i="2" s="1"/>
  <c r="V325" i="2"/>
  <c r="AI325" i="2" s="1"/>
  <c r="AJ325" i="2" s="1"/>
  <c r="V329" i="2"/>
  <c r="AI329" i="2" s="1"/>
  <c r="AJ329" i="2" s="1"/>
  <c r="V333" i="2"/>
  <c r="AI333" i="2" s="1"/>
  <c r="AJ333" i="2" s="1"/>
  <c r="V337" i="2"/>
  <c r="AI337" i="2" s="1"/>
  <c r="AJ337" i="2" s="1"/>
  <c r="V341" i="2"/>
  <c r="AI341" i="2" s="1"/>
  <c r="AJ341" i="2" s="1"/>
  <c r="V345" i="2"/>
  <c r="AI345" i="2" s="1"/>
  <c r="AJ345" i="2" s="1"/>
  <c r="V349" i="2"/>
  <c r="AI349" i="2" s="1"/>
  <c r="AJ349" i="2" s="1"/>
  <c r="V353" i="2"/>
  <c r="AI353" i="2" s="1"/>
  <c r="AJ353" i="2" s="1"/>
  <c r="V357" i="2"/>
  <c r="AI357" i="2" s="1"/>
  <c r="AJ357" i="2" s="1"/>
  <c r="V361" i="2"/>
  <c r="AI361" i="2" s="1"/>
  <c r="AJ361" i="2" s="1"/>
  <c r="V365" i="2"/>
  <c r="AI365" i="2" s="1"/>
  <c r="AJ365" i="2" s="1"/>
  <c r="V369" i="2"/>
  <c r="AI369" i="2" s="1"/>
  <c r="AJ369" i="2" s="1"/>
  <c r="V373" i="2"/>
  <c r="AI373" i="2" s="1"/>
  <c r="AJ373" i="2" s="1"/>
  <c r="V377" i="2"/>
  <c r="AI377" i="2" s="1"/>
  <c r="AJ377" i="2" s="1"/>
  <c r="V381" i="2"/>
  <c r="AI381" i="2" s="1"/>
  <c r="AJ381" i="2" s="1"/>
  <c r="V385" i="2"/>
  <c r="AI385" i="2" s="1"/>
  <c r="AJ385" i="2" s="1"/>
  <c r="V389" i="2"/>
  <c r="AI389" i="2" s="1"/>
  <c r="AJ389" i="2" s="1"/>
  <c r="V393" i="2"/>
  <c r="AI393" i="2" s="1"/>
  <c r="AJ393" i="2" s="1"/>
  <c r="V397" i="2"/>
  <c r="AI397" i="2" s="1"/>
  <c r="AJ397" i="2" s="1"/>
  <c r="V401" i="2"/>
  <c r="AI401" i="2" s="1"/>
  <c r="AJ401" i="2" s="1"/>
  <c r="V405" i="2"/>
  <c r="AI405" i="2" s="1"/>
  <c r="AJ405" i="2" s="1"/>
  <c r="V409" i="2"/>
  <c r="AI409" i="2" s="1"/>
  <c r="AJ409" i="2" s="1"/>
  <c r="V413" i="2"/>
  <c r="AI413" i="2" s="1"/>
  <c r="AJ413" i="2" s="1"/>
  <c r="V417" i="2"/>
  <c r="AI417" i="2" s="1"/>
  <c r="AJ417" i="2" s="1"/>
  <c r="V421" i="2"/>
  <c r="AI421" i="2" s="1"/>
  <c r="AJ421" i="2" s="1"/>
  <c r="V425" i="2"/>
  <c r="AI425" i="2" s="1"/>
  <c r="AJ425" i="2" s="1"/>
  <c r="V429" i="2"/>
  <c r="AI429" i="2" s="1"/>
  <c r="AJ429" i="2" s="1"/>
  <c r="V433" i="2"/>
  <c r="AI433" i="2" s="1"/>
  <c r="AJ433" i="2" s="1"/>
  <c r="V437" i="2"/>
  <c r="AI437" i="2" s="1"/>
  <c r="AJ437" i="2" s="1"/>
  <c r="V441" i="2"/>
  <c r="AI441" i="2" s="1"/>
  <c r="AJ441" i="2" s="1"/>
  <c r="V445" i="2"/>
  <c r="AI445" i="2" s="1"/>
  <c r="AJ445" i="2" s="1"/>
  <c r="V449" i="2"/>
  <c r="AI449" i="2" s="1"/>
  <c r="AJ449" i="2" s="1"/>
  <c r="V453" i="2"/>
  <c r="AI453" i="2" s="1"/>
  <c r="AJ453" i="2" s="1"/>
  <c r="V457" i="2"/>
  <c r="AI457" i="2" s="1"/>
  <c r="AJ457" i="2" s="1"/>
  <c r="V461" i="2"/>
  <c r="AI461" i="2" s="1"/>
  <c r="AJ461" i="2" s="1"/>
  <c r="V465" i="2"/>
  <c r="AI465" i="2" s="1"/>
  <c r="AJ465" i="2" s="1"/>
  <c r="V469" i="2"/>
  <c r="AI469" i="2" s="1"/>
  <c r="AJ469" i="2" s="1"/>
  <c r="V473" i="2"/>
  <c r="AI473" i="2" s="1"/>
  <c r="AJ473" i="2" s="1"/>
  <c r="V477" i="2"/>
  <c r="AI477" i="2" s="1"/>
  <c r="AJ477" i="2" s="1"/>
  <c r="V481" i="2"/>
  <c r="AI481" i="2" s="1"/>
  <c r="AJ481" i="2" s="1"/>
  <c r="V485" i="2"/>
  <c r="AI485" i="2" s="1"/>
  <c r="AJ485" i="2" s="1"/>
  <c r="V489" i="2"/>
  <c r="AI489" i="2" s="1"/>
  <c r="AJ489" i="2" s="1"/>
  <c r="V493" i="2"/>
  <c r="AI493" i="2" s="1"/>
  <c r="AJ493" i="2" s="1"/>
  <c r="V497" i="2"/>
  <c r="AI497" i="2" s="1"/>
  <c r="AJ497" i="2" s="1"/>
  <c r="V501" i="2"/>
  <c r="AI501" i="2" s="1"/>
  <c r="AJ501" i="2" s="1"/>
  <c r="V505" i="2"/>
  <c r="AI505" i="2" s="1"/>
  <c r="AJ505" i="2" s="1"/>
  <c r="V509" i="2"/>
  <c r="AI509" i="2" s="1"/>
  <c r="AJ509" i="2" s="1"/>
  <c r="V513" i="2"/>
  <c r="AI513" i="2" s="1"/>
  <c r="AJ513" i="2" s="1"/>
  <c r="V517" i="2"/>
  <c r="AI517" i="2" s="1"/>
  <c r="AJ517" i="2" s="1"/>
  <c r="V521" i="2"/>
  <c r="AI521" i="2" s="1"/>
  <c r="AJ521" i="2" s="1"/>
  <c r="V525" i="2"/>
  <c r="AI525" i="2" s="1"/>
  <c r="AJ525" i="2" s="1"/>
  <c r="V529" i="2"/>
  <c r="AI529" i="2" s="1"/>
  <c r="AJ529" i="2" s="1"/>
  <c r="V533" i="2"/>
  <c r="AI533" i="2" s="1"/>
  <c r="AJ533" i="2" s="1"/>
  <c r="V537" i="2"/>
  <c r="AI537" i="2" s="1"/>
  <c r="AJ537" i="2" s="1"/>
  <c r="V541" i="2"/>
  <c r="AI541" i="2" s="1"/>
  <c r="AJ541" i="2" s="1"/>
  <c r="V545" i="2"/>
  <c r="AI545" i="2" s="1"/>
  <c r="AJ545" i="2" s="1"/>
  <c r="V549" i="2"/>
  <c r="AI549" i="2" s="1"/>
  <c r="AJ549" i="2" s="1"/>
  <c r="V553" i="2"/>
  <c r="AI553" i="2" s="1"/>
  <c r="AJ553" i="2" s="1"/>
  <c r="V557" i="2"/>
  <c r="AI557" i="2" s="1"/>
  <c r="AJ557" i="2" s="1"/>
  <c r="V561" i="2"/>
  <c r="AI561" i="2" s="1"/>
  <c r="AJ561" i="2" s="1"/>
  <c r="V565" i="2"/>
  <c r="AI565" i="2" s="1"/>
  <c r="AJ565" i="2" s="1"/>
  <c r="V569" i="2"/>
  <c r="AI569" i="2" s="1"/>
  <c r="AJ569" i="2" s="1"/>
  <c r="V573" i="2"/>
  <c r="AI573" i="2" s="1"/>
  <c r="AJ573" i="2" s="1"/>
  <c r="V577" i="2"/>
  <c r="AI577" i="2" s="1"/>
  <c r="AJ577" i="2" s="1"/>
  <c r="V581" i="2"/>
  <c r="AI581" i="2" s="1"/>
  <c r="AJ581" i="2" s="1"/>
  <c r="V585" i="2"/>
  <c r="AI585" i="2" s="1"/>
  <c r="AJ585" i="2" s="1"/>
  <c r="V589" i="2"/>
  <c r="AI589" i="2" s="1"/>
  <c r="AJ589" i="2" s="1"/>
  <c r="V593" i="2"/>
  <c r="AI593" i="2" s="1"/>
  <c r="AJ593" i="2" s="1"/>
  <c r="V597" i="2"/>
  <c r="AI597" i="2" s="1"/>
  <c r="AJ597" i="2" s="1"/>
  <c r="V601" i="2"/>
  <c r="AI601" i="2" s="1"/>
  <c r="AJ601" i="2" s="1"/>
  <c r="V605" i="2"/>
  <c r="AI605" i="2" s="1"/>
  <c r="AJ605" i="2" s="1"/>
  <c r="V609" i="2"/>
  <c r="AI609" i="2" s="1"/>
  <c r="AJ609" i="2" s="1"/>
  <c r="V613" i="2"/>
  <c r="AI613" i="2" s="1"/>
  <c r="AJ613" i="2" s="1"/>
  <c r="V617" i="2"/>
  <c r="AI617" i="2" s="1"/>
  <c r="AJ617" i="2" s="1"/>
  <c r="V621" i="2"/>
  <c r="AI621" i="2" s="1"/>
  <c r="AJ621" i="2" s="1"/>
  <c r="V625" i="2"/>
  <c r="AI625" i="2" s="1"/>
  <c r="AJ625" i="2" s="1"/>
  <c r="V629" i="2"/>
  <c r="AI629" i="2" s="1"/>
  <c r="AJ629" i="2" s="1"/>
  <c r="V633" i="2"/>
  <c r="AI633" i="2" s="1"/>
  <c r="AJ633" i="2" s="1"/>
  <c r="V637" i="2"/>
  <c r="AI637" i="2" s="1"/>
  <c r="AJ637" i="2" s="1"/>
  <c r="V641" i="2"/>
  <c r="AI641" i="2" s="1"/>
  <c r="AJ641" i="2" s="1"/>
  <c r="V645" i="2"/>
  <c r="AI645" i="2" s="1"/>
  <c r="AJ645" i="2" s="1"/>
  <c r="V649" i="2"/>
  <c r="AI649" i="2" s="1"/>
  <c r="AJ649" i="2" s="1"/>
  <c r="V653" i="2"/>
  <c r="AI653" i="2" s="1"/>
  <c r="AJ653" i="2" s="1"/>
  <c r="V657" i="2"/>
  <c r="AI657" i="2" s="1"/>
  <c r="AJ657" i="2" s="1"/>
  <c r="V661" i="2"/>
  <c r="AI661" i="2" s="1"/>
  <c r="AJ661" i="2" s="1"/>
  <c r="V665" i="2"/>
  <c r="AI665" i="2" s="1"/>
  <c r="AJ665" i="2" s="1"/>
  <c r="V669" i="2"/>
  <c r="AI669" i="2" s="1"/>
  <c r="AJ669" i="2" s="1"/>
  <c r="V673" i="2"/>
  <c r="AI673" i="2" s="1"/>
  <c r="AJ673" i="2" s="1"/>
  <c r="V677" i="2"/>
  <c r="AI677" i="2" s="1"/>
  <c r="AJ677" i="2" s="1"/>
  <c r="V681" i="2"/>
  <c r="AI681" i="2" s="1"/>
  <c r="AJ681" i="2" s="1"/>
  <c r="V685" i="2"/>
  <c r="AI685" i="2" s="1"/>
  <c r="AJ685" i="2" s="1"/>
  <c r="V689" i="2"/>
  <c r="AI689" i="2" s="1"/>
  <c r="AJ689" i="2" s="1"/>
  <c r="V693" i="2"/>
  <c r="AI693" i="2" s="1"/>
  <c r="AJ693" i="2" s="1"/>
  <c r="V697" i="2"/>
  <c r="AI697" i="2" s="1"/>
  <c r="AJ697" i="2" s="1"/>
  <c r="V701" i="2"/>
  <c r="AI701" i="2" s="1"/>
  <c r="AJ701" i="2" s="1"/>
  <c r="V705" i="2"/>
  <c r="AI705" i="2" s="1"/>
  <c r="AJ705" i="2" s="1"/>
  <c r="V709" i="2"/>
  <c r="AI709" i="2" s="1"/>
  <c r="AJ709" i="2" s="1"/>
  <c r="V713" i="2"/>
  <c r="AI713" i="2" s="1"/>
  <c r="AJ713" i="2" s="1"/>
  <c r="V717" i="2"/>
  <c r="AI717" i="2" s="1"/>
  <c r="AJ717" i="2" s="1"/>
  <c r="V721" i="2"/>
  <c r="AI721" i="2" s="1"/>
  <c r="AJ721" i="2" s="1"/>
  <c r="V725" i="2"/>
  <c r="AI725" i="2" s="1"/>
  <c r="AJ725" i="2" s="1"/>
  <c r="V729" i="2"/>
  <c r="AI729" i="2" s="1"/>
  <c r="AJ729" i="2" s="1"/>
  <c r="V733" i="2"/>
  <c r="AI733" i="2" s="1"/>
  <c r="AJ733" i="2" s="1"/>
  <c r="V737" i="2"/>
  <c r="AI737" i="2" s="1"/>
  <c r="AJ737" i="2" s="1"/>
  <c r="V741" i="2"/>
  <c r="AI741" i="2" s="1"/>
  <c r="AJ741" i="2" s="1"/>
  <c r="V745" i="2"/>
  <c r="AI745" i="2" s="1"/>
  <c r="AJ745" i="2" s="1"/>
  <c r="V749" i="2"/>
  <c r="AI749" i="2" s="1"/>
  <c r="AJ749" i="2" s="1"/>
  <c r="V753" i="2"/>
  <c r="AI753" i="2" s="1"/>
  <c r="AJ753" i="2" s="1"/>
  <c r="V757" i="2"/>
  <c r="AI757" i="2" s="1"/>
  <c r="AJ757" i="2" s="1"/>
  <c r="V761" i="2"/>
  <c r="AI761" i="2" s="1"/>
  <c r="AJ761" i="2" s="1"/>
  <c r="V765" i="2"/>
  <c r="AI765" i="2" s="1"/>
  <c r="AJ765" i="2" s="1"/>
  <c r="V769" i="2"/>
  <c r="AI769" i="2" s="1"/>
  <c r="AJ769" i="2" s="1"/>
  <c r="V773" i="2"/>
  <c r="AI773" i="2" s="1"/>
  <c r="AJ773" i="2" s="1"/>
  <c r="V777" i="2"/>
  <c r="AI777" i="2" s="1"/>
  <c r="AJ777" i="2" s="1"/>
  <c r="V781" i="2"/>
  <c r="AI781" i="2" s="1"/>
  <c r="AJ781" i="2" s="1"/>
  <c r="V785" i="2"/>
  <c r="AI785" i="2" s="1"/>
  <c r="AJ785" i="2" s="1"/>
  <c r="V789" i="2"/>
  <c r="AI789" i="2" s="1"/>
  <c r="AJ789" i="2" s="1"/>
  <c r="V793" i="2"/>
  <c r="AI793" i="2" s="1"/>
  <c r="AJ793" i="2" s="1"/>
  <c r="V797" i="2"/>
  <c r="AI797" i="2" s="1"/>
  <c r="AJ797" i="2" s="1"/>
  <c r="V801" i="2"/>
  <c r="AI801" i="2" s="1"/>
  <c r="AJ801" i="2" s="1"/>
  <c r="V805" i="2"/>
  <c r="AI805" i="2" s="1"/>
  <c r="AJ805" i="2" s="1"/>
  <c r="V809" i="2"/>
  <c r="AI809" i="2" s="1"/>
  <c r="AJ809" i="2" s="1"/>
  <c r="V813" i="2"/>
  <c r="AI813" i="2" s="1"/>
  <c r="AJ813" i="2" s="1"/>
  <c r="V817" i="2"/>
  <c r="AI817" i="2" s="1"/>
  <c r="AJ817" i="2" s="1"/>
  <c r="V821" i="2"/>
  <c r="AI821" i="2" s="1"/>
  <c r="AJ821" i="2" s="1"/>
  <c r="V825" i="2"/>
  <c r="AI825" i="2" s="1"/>
  <c r="AJ825" i="2" s="1"/>
  <c r="V829" i="2"/>
  <c r="AI829" i="2" s="1"/>
  <c r="AJ829" i="2" s="1"/>
  <c r="V833" i="2"/>
  <c r="AI833" i="2" s="1"/>
  <c r="AJ833" i="2" s="1"/>
  <c r="V837" i="2"/>
  <c r="AI837" i="2" s="1"/>
  <c r="AJ837" i="2" s="1"/>
  <c r="V841" i="2"/>
  <c r="AI841" i="2" s="1"/>
  <c r="AJ841" i="2" s="1"/>
  <c r="V845" i="2"/>
  <c r="AI845" i="2" s="1"/>
  <c r="AJ845" i="2" s="1"/>
  <c r="V849" i="2"/>
  <c r="AI849" i="2" s="1"/>
  <c r="AJ849" i="2" s="1"/>
  <c r="V853" i="2"/>
  <c r="AI853" i="2" s="1"/>
  <c r="AJ853" i="2" s="1"/>
  <c r="V857" i="2"/>
  <c r="AI857" i="2" s="1"/>
  <c r="AJ857" i="2" s="1"/>
  <c r="V861" i="2"/>
  <c r="AI861" i="2" s="1"/>
  <c r="AJ861" i="2" s="1"/>
  <c r="V865" i="2"/>
  <c r="AI865" i="2" s="1"/>
  <c r="AJ865" i="2" s="1"/>
  <c r="V869" i="2"/>
  <c r="AI869" i="2" s="1"/>
  <c r="AJ869" i="2" s="1"/>
  <c r="V873" i="2"/>
  <c r="AI873" i="2" s="1"/>
  <c r="AJ873" i="2" s="1"/>
  <c r="V877" i="2"/>
  <c r="AI877" i="2" s="1"/>
  <c r="AJ877" i="2" s="1"/>
  <c r="V881" i="2"/>
  <c r="AI881" i="2" s="1"/>
  <c r="AJ881" i="2" s="1"/>
  <c r="V885" i="2"/>
  <c r="AI885" i="2" s="1"/>
  <c r="AJ885" i="2" s="1"/>
  <c r="V889" i="2"/>
  <c r="AI889" i="2" s="1"/>
  <c r="AJ889" i="2" s="1"/>
  <c r="V893" i="2"/>
  <c r="AI893" i="2" s="1"/>
  <c r="AJ893" i="2" s="1"/>
  <c r="V897" i="2"/>
  <c r="AI897" i="2" s="1"/>
  <c r="AJ897" i="2" s="1"/>
  <c r="V901" i="2"/>
  <c r="AI901" i="2" s="1"/>
  <c r="AJ901" i="2" s="1"/>
  <c r="V905" i="2"/>
  <c r="AI905" i="2" s="1"/>
  <c r="AJ905" i="2" s="1"/>
  <c r="V909" i="2"/>
  <c r="AI909" i="2" s="1"/>
  <c r="AJ909" i="2" s="1"/>
  <c r="V913" i="2"/>
  <c r="AI913" i="2" s="1"/>
  <c r="AJ913" i="2" s="1"/>
  <c r="V917" i="2"/>
  <c r="AI917" i="2" s="1"/>
  <c r="AJ917" i="2" s="1"/>
  <c r="V921" i="2"/>
  <c r="AI921" i="2" s="1"/>
  <c r="AJ921" i="2" s="1"/>
  <c r="V925" i="2"/>
  <c r="AI925" i="2" s="1"/>
  <c r="AJ925" i="2" s="1"/>
  <c r="V929" i="2"/>
  <c r="AI929" i="2" s="1"/>
  <c r="AJ929" i="2" s="1"/>
  <c r="V933" i="2"/>
  <c r="AI933" i="2" s="1"/>
  <c r="AJ933" i="2" s="1"/>
  <c r="V937" i="2"/>
  <c r="AI937" i="2" s="1"/>
  <c r="AJ937" i="2" s="1"/>
  <c r="V941" i="2"/>
  <c r="AI941" i="2" s="1"/>
  <c r="AJ941" i="2" s="1"/>
  <c r="V945" i="2"/>
  <c r="AI945" i="2" s="1"/>
  <c r="AJ945" i="2" s="1"/>
  <c r="V949" i="2"/>
  <c r="AI949" i="2" s="1"/>
  <c r="AJ949" i="2" s="1"/>
  <c r="V953" i="2"/>
  <c r="AI953" i="2" s="1"/>
  <c r="AJ953" i="2" s="1"/>
  <c r="V957" i="2"/>
  <c r="AI957" i="2" s="1"/>
  <c r="AJ957" i="2" s="1"/>
  <c r="V961" i="2"/>
  <c r="AI961" i="2" s="1"/>
  <c r="AJ961" i="2" s="1"/>
  <c r="V965" i="2"/>
  <c r="AI965" i="2" s="1"/>
  <c r="AJ965" i="2" s="1"/>
  <c r="V969" i="2"/>
  <c r="AI969" i="2" s="1"/>
  <c r="AJ969" i="2" s="1"/>
  <c r="V973" i="2"/>
  <c r="AI973" i="2" s="1"/>
  <c r="AJ973" i="2" s="1"/>
  <c r="V977" i="2"/>
  <c r="AI977" i="2" s="1"/>
  <c r="AJ977" i="2" s="1"/>
  <c r="V981" i="2"/>
  <c r="AI981" i="2" s="1"/>
  <c r="AJ981" i="2" s="1"/>
  <c r="V985" i="2"/>
  <c r="AI985" i="2" s="1"/>
  <c r="AJ985" i="2" s="1"/>
  <c r="V989" i="2"/>
  <c r="AI989" i="2" s="1"/>
  <c r="AJ989" i="2" s="1"/>
  <c r="V993" i="2"/>
  <c r="AI993" i="2" s="1"/>
  <c r="AJ993" i="2" s="1"/>
  <c r="V997" i="2"/>
  <c r="AI997" i="2" s="1"/>
  <c r="AJ997" i="2" s="1"/>
  <c r="V1001" i="2"/>
  <c r="AI1001" i="2" s="1"/>
  <c r="AJ1001" i="2" s="1"/>
  <c r="V1005" i="2"/>
  <c r="AI1005" i="2" s="1"/>
  <c r="AJ1005" i="2" s="1"/>
  <c r="V1009" i="2"/>
  <c r="AI1009" i="2" s="1"/>
  <c r="AJ1009" i="2" s="1"/>
  <c r="V1013" i="2"/>
  <c r="AI1013" i="2" s="1"/>
  <c r="AJ1013" i="2" s="1"/>
  <c r="V1017" i="2"/>
  <c r="AI1017" i="2" s="1"/>
  <c r="AJ1017" i="2" s="1"/>
  <c r="V1021" i="2"/>
  <c r="AI1021" i="2" s="1"/>
  <c r="AJ1021" i="2" s="1"/>
  <c r="V1025" i="2"/>
  <c r="AI1025" i="2" s="1"/>
  <c r="AJ1025" i="2" s="1"/>
  <c r="V1029" i="2"/>
  <c r="AI1029" i="2" s="1"/>
  <c r="AJ1029" i="2" s="1"/>
  <c r="V1033" i="2"/>
  <c r="AI1033" i="2" s="1"/>
  <c r="AJ1033" i="2" s="1"/>
  <c r="V1037" i="2"/>
  <c r="AI1037" i="2" s="1"/>
  <c r="AJ1037" i="2" s="1"/>
  <c r="V1041" i="2"/>
  <c r="AI1041" i="2" s="1"/>
  <c r="AJ1041" i="2" s="1"/>
  <c r="V1045" i="2"/>
  <c r="AI1045" i="2" s="1"/>
  <c r="AJ1045" i="2" s="1"/>
  <c r="V1049" i="2"/>
  <c r="AI1049" i="2" s="1"/>
  <c r="AJ1049" i="2" s="1"/>
  <c r="V1053" i="2"/>
  <c r="AI1053" i="2" s="1"/>
  <c r="AJ1053" i="2" s="1"/>
  <c r="V1057" i="2"/>
  <c r="AI1057" i="2" s="1"/>
  <c r="AJ1057" i="2" s="1"/>
  <c r="V1061" i="2"/>
  <c r="AI1061" i="2" s="1"/>
  <c r="AJ1061" i="2" s="1"/>
  <c r="V1065" i="2"/>
  <c r="AI1065" i="2" s="1"/>
  <c r="AJ1065" i="2" s="1"/>
  <c r="V1069" i="2"/>
  <c r="AI1069" i="2" s="1"/>
  <c r="AJ1069" i="2" s="1"/>
  <c r="V1073" i="2"/>
  <c r="AI1073" i="2" s="1"/>
  <c r="AJ1073" i="2" s="1"/>
  <c r="V1077" i="2"/>
  <c r="AI1077" i="2" s="1"/>
  <c r="AJ1077" i="2" s="1"/>
  <c r="V1081" i="2"/>
  <c r="AI1081" i="2" s="1"/>
  <c r="AJ1081" i="2" s="1"/>
  <c r="V1085" i="2"/>
  <c r="AI1085" i="2" s="1"/>
  <c r="AJ1085" i="2" s="1"/>
  <c r="V1089" i="2"/>
  <c r="AI1089" i="2" s="1"/>
  <c r="AJ1089" i="2" s="1"/>
  <c r="V1093" i="2"/>
  <c r="AI1093" i="2" s="1"/>
  <c r="AJ1093" i="2" s="1"/>
  <c r="V1097" i="2"/>
  <c r="AI1097" i="2" s="1"/>
  <c r="AJ1097" i="2" s="1"/>
  <c r="V1101" i="2"/>
  <c r="AI1101" i="2" s="1"/>
  <c r="AJ1101" i="2" s="1"/>
  <c r="V1105" i="2"/>
  <c r="AI1105" i="2" s="1"/>
  <c r="AJ1105" i="2" s="1"/>
  <c r="V1109" i="2"/>
  <c r="AI1109" i="2" s="1"/>
  <c r="AJ1109" i="2" s="1"/>
  <c r="V1113" i="2"/>
  <c r="AI1113" i="2" s="1"/>
  <c r="AJ1113" i="2" s="1"/>
  <c r="V1117" i="2"/>
  <c r="AI1117" i="2" s="1"/>
  <c r="AJ1117" i="2" s="1"/>
  <c r="V1121" i="2"/>
  <c r="AI1121" i="2" s="1"/>
  <c r="AJ1121" i="2" s="1"/>
  <c r="V1125" i="2"/>
  <c r="AI1125" i="2" s="1"/>
  <c r="AJ1125" i="2" s="1"/>
  <c r="V1129" i="2"/>
  <c r="AI1129" i="2" s="1"/>
  <c r="AJ1129" i="2" s="1"/>
  <c r="V1133" i="2"/>
  <c r="AI1133" i="2" s="1"/>
  <c r="AJ1133" i="2" s="1"/>
  <c r="V1137" i="2"/>
  <c r="AI1137" i="2" s="1"/>
  <c r="AJ1137" i="2" s="1"/>
  <c r="V1141" i="2"/>
  <c r="AI1141" i="2" s="1"/>
  <c r="AJ1141" i="2" s="1"/>
  <c r="V1145" i="2"/>
  <c r="AI1145" i="2" s="1"/>
  <c r="AJ1145" i="2" s="1"/>
  <c r="V1149" i="2"/>
  <c r="AI1149" i="2" s="1"/>
  <c r="AJ1149" i="2" s="1"/>
  <c r="V1153" i="2"/>
  <c r="AI1153" i="2" s="1"/>
  <c r="AJ1153" i="2" s="1"/>
  <c r="V1157" i="2"/>
  <c r="AI1157" i="2" s="1"/>
  <c r="AJ1157" i="2" s="1"/>
  <c r="V1161" i="2"/>
  <c r="AI1161" i="2" s="1"/>
  <c r="AJ1161" i="2" s="1"/>
  <c r="V1165" i="2"/>
  <c r="AI1165" i="2" s="1"/>
  <c r="AJ1165" i="2" s="1"/>
  <c r="V1169" i="2"/>
  <c r="AI1169" i="2" s="1"/>
  <c r="AJ1169" i="2" s="1"/>
  <c r="V1173" i="2"/>
  <c r="AI1173" i="2" s="1"/>
  <c r="AJ1173" i="2" s="1"/>
  <c r="V1177" i="2"/>
  <c r="AI1177" i="2" s="1"/>
  <c r="AJ1177" i="2" s="1"/>
  <c r="V1181" i="2"/>
  <c r="AI1181" i="2" s="1"/>
  <c r="AJ1181" i="2" s="1"/>
  <c r="V1185" i="2"/>
  <c r="AI1185" i="2" s="1"/>
  <c r="AJ1185" i="2" s="1"/>
  <c r="V1189" i="2"/>
  <c r="AI1189" i="2" s="1"/>
  <c r="AJ1189" i="2" s="1"/>
  <c r="V1193" i="2"/>
  <c r="AI1193" i="2" s="1"/>
  <c r="AJ1193" i="2" s="1"/>
  <c r="V1197" i="2"/>
  <c r="AI1197" i="2" s="1"/>
  <c r="AJ1197" i="2" s="1"/>
  <c r="V1201" i="2"/>
  <c r="AI1201" i="2" s="1"/>
  <c r="AJ1201" i="2" s="1"/>
  <c r="V1205" i="2"/>
  <c r="AI1205" i="2" s="1"/>
  <c r="AJ1205" i="2" s="1"/>
  <c r="V1209" i="2"/>
  <c r="AI1209" i="2" s="1"/>
  <c r="AJ1209" i="2" s="1"/>
  <c r="V1213" i="2"/>
  <c r="AI1213" i="2" s="1"/>
  <c r="AJ1213" i="2" s="1"/>
  <c r="V1217" i="2"/>
  <c r="AI1217" i="2" s="1"/>
  <c r="AJ1217" i="2" s="1"/>
  <c r="V1221" i="2"/>
  <c r="AI1221" i="2" s="1"/>
  <c r="AJ1221" i="2" s="1"/>
  <c r="V1225" i="2"/>
  <c r="AI1225" i="2" s="1"/>
  <c r="AJ1225" i="2" s="1"/>
  <c r="V1229" i="2"/>
  <c r="AI1229" i="2" s="1"/>
  <c r="AJ1229" i="2" s="1"/>
  <c r="V6" i="2"/>
  <c r="AI6" i="2" s="1"/>
  <c r="AJ6" i="2" s="1"/>
  <c r="V14" i="2"/>
  <c r="AI14" i="2" s="1"/>
  <c r="AJ14" i="2" s="1"/>
  <c r="V22" i="2"/>
  <c r="AI22" i="2" s="1"/>
  <c r="AJ22" i="2" s="1"/>
  <c r="V30" i="2"/>
  <c r="AI30" i="2" s="1"/>
  <c r="AJ30" i="2" s="1"/>
  <c r="V38" i="2"/>
  <c r="AI38" i="2" s="1"/>
  <c r="AJ38" i="2" s="1"/>
  <c r="V46" i="2"/>
  <c r="AI46" i="2" s="1"/>
  <c r="AJ46" i="2" s="1"/>
  <c r="V54" i="2"/>
  <c r="AI54" i="2" s="1"/>
  <c r="AJ54" i="2" s="1"/>
  <c r="V62" i="2"/>
  <c r="AI62" i="2" s="1"/>
  <c r="AJ62" i="2" s="1"/>
  <c r="V70" i="2"/>
  <c r="AI70" i="2" s="1"/>
  <c r="AJ70" i="2" s="1"/>
  <c r="V78" i="2"/>
  <c r="AI78" i="2" s="1"/>
  <c r="AJ78" i="2" s="1"/>
  <c r="V86" i="2"/>
  <c r="AI86" i="2" s="1"/>
  <c r="AJ86" i="2" s="1"/>
  <c r="V94" i="2"/>
  <c r="AI94" i="2" s="1"/>
  <c r="AJ94" i="2" s="1"/>
  <c r="V102" i="2"/>
  <c r="AI102" i="2" s="1"/>
  <c r="AJ102" i="2" s="1"/>
  <c r="V110" i="2"/>
  <c r="AI110" i="2" s="1"/>
  <c r="AJ110" i="2" s="1"/>
  <c r="V118" i="2"/>
  <c r="AI118" i="2" s="1"/>
  <c r="AJ118" i="2" s="1"/>
  <c r="V126" i="2"/>
  <c r="AI126" i="2" s="1"/>
  <c r="AJ126" i="2" s="1"/>
  <c r="V134" i="2"/>
  <c r="AI134" i="2" s="1"/>
  <c r="AJ134" i="2" s="1"/>
  <c r="V142" i="2"/>
  <c r="AI142" i="2" s="1"/>
  <c r="AJ142" i="2" s="1"/>
  <c r="V150" i="2"/>
  <c r="AI150" i="2" s="1"/>
  <c r="AJ150" i="2" s="1"/>
  <c r="V158" i="2"/>
  <c r="AI158" i="2" s="1"/>
  <c r="AJ158" i="2" s="1"/>
  <c r="V166" i="2"/>
  <c r="AI166" i="2" s="1"/>
  <c r="AJ166" i="2" s="1"/>
  <c r="V174" i="2"/>
  <c r="AI174" i="2" s="1"/>
  <c r="AJ174" i="2" s="1"/>
  <c r="V182" i="2"/>
  <c r="AI182" i="2" s="1"/>
  <c r="AJ182" i="2" s="1"/>
  <c r="V190" i="2"/>
  <c r="AI190" i="2" s="1"/>
  <c r="AJ190" i="2" s="1"/>
  <c r="V198" i="2"/>
  <c r="AI198" i="2" s="1"/>
  <c r="AJ198" i="2" s="1"/>
  <c r="V206" i="2"/>
  <c r="AI206" i="2" s="1"/>
  <c r="AJ206" i="2" s="1"/>
  <c r="V214" i="2"/>
  <c r="AI214" i="2" s="1"/>
  <c r="AJ214" i="2" s="1"/>
  <c r="V222" i="2"/>
  <c r="AI222" i="2" s="1"/>
  <c r="AJ222" i="2" s="1"/>
  <c r="V230" i="2"/>
  <c r="AI230" i="2" s="1"/>
  <c r="AJ230" i="2" s="1"/>
  <c r="V238" i="2"/>
  <c r="AI238" i="2" s="1"/>
  <c r="AJ238" i="2" s="1"/>
  <c r="V246" i="2"/>
  <c r="AI246" i="2" s="1"/>
  <c r="AJ246" i="2" s="1"/>
  <c r="V254" i="2"/>
  <c r="AI254" i="2" s="1"/>
  <c r="AJ254" i="2" s="1"/>
  <c r="V262" i="2"/>
  <c r="AI262" i="2" s="1"/>
  <c r="AJ262" i="2" s="1"/>
  <c r="V270" i="2"/>
  <c r="AI270" i="2" s="1"/>
  <c r="AJ270" i="2" s="1"/>
  <c r="V278" i="2"/>
  <c r="AI278" i="2" s="1"/>
  <c r="AJ278" i="2" s="1"/>
  <c r="V286" i="2"/>
  <c r="AI286" i="2" s="1"/>
  <c r="AJ286" i="2" s="1"/>
  <c r="V294" i="2"/>
  <c r="AI294" i="2" s="1"/>
  <c r="AJ294" i="2" s="1"/>
  <c r="V302" i="2"/>
  <c r="AI302" i="2" s="1"/>
  <c r="AJ302" i="2" s="1"/>
  <c r="V310" i="2"/>
  <c r="AI310" i="2" s="1"/>
  <c r="AJ310" i="2" s="1"/>
  <c r="V318" i="2"/>
  <c r="AI318" i="2" s="1"/>
  <c r="AJ318" i="2" s="1"/>
  <c r="V326" i="2"/>
  <c r="AI326" i="2" s="1"/>
  <c r="AJ326" i="2" s="1"/>
  <c r="V334" i="2"/>
  <c r="AI334" i="2" s="1"/>
  <c r="AJ334" i="2" s="1"/>
  <c r="V342" i="2"/>
  <c r="AI342" i="2" s="1"/>
  <c r="AJ342" i="2" s="1"/>
  <c r="V350" i="2"/>
  <c r="AI350" i="2" s="1"/>
  <c r="AJ350" i="2" s="1"/>
  <c r="V358" i="2"/>
  <c r="AI358" i="2" s="1"/>
  <c r="AJ358" i="2" s="1"/>
  <c r="V366" i="2"/>
  <c r="AI366" i="2" s="1"/>
  <c r="AJ366" i="2" s="1"/>
  <c r="V374" i="2"/>
  <c r="AI374" i="2" s="1"/>
  <c r="AJ374" i="2" s="1"/>
  <c r="V382" i="2"/>
  <c r="AI382" i="2" s="1"/>
  <c r="AJ382" i="2" s="1"/>
  <c r="V390" i="2"/>
  <c r="AI390" i="2" s="1"/>
  <c r="AJ390" i="2" s="1"/>
  <c r="V398" i="2"/>
  <c r="AI398" i="2" s="1"/>
  <c r="AJ398" i="2" s="1"/>
  <c r="V406" i="2"/>
  <c r="AI406" i="2" s="1"/>
  <c r="AJ406" i="2" s="1"/>
  <c r="V414" i="2"/>
  <c r="AI414" i="2" s="1"/>
  <c r="AJ414" i="2" s="1"/>
  <c r="V422" i="2"/>
  <c r="AI422" i="2" s="1"/>
  <c r="AJ422" i="2" s="1"/>
  <c r="V430" i="2"/>
  <c r="AI430" i="2" s="1"/>
  <c r="AJ430" i="2" s="1"/>
  <c r="V438" i="2"/>
  <c r="AI438" i="2" s="1"/>
  <c r="AJ438" i="2" s="1"/>
  <c r="V446" i="2"/>
  <c r="AI446" i="2" s="1"/>
  <c r="AJ446" i="2" s="1"/>
  <c r="V454" i="2"/>
  <c r="AI454" i="2" s="1"/>
  <c r="AJ454" i="2" s="1"/>
  <c r="V462" i="2"/>
  <c r="AI462" i="2" s="1"/>
  <c r="AJ462" i="2" s="1"/>
  <c r="V470" i="2"/>
  <c r="AI470" i="2" s="1"/>
  <c r="AJ470" i="2" s="1"/>
  <c r="V478" i="2"/>
  <c r="AI478" i="2" s="1"/>
  <c r="AJ478" i="2" s="1"/>
  <c r="V486" i="2"/>
  <c r="AI486" i="2" s="1"/>
  <c r="AJ486" i="2" s="1"/>
  <c r="V494" i="2"/>
  <c r="AI494" i="2" s="1"/>
  <c r="AJ494" i="2" s="1"/>
  <c r="V502" i="2"/>
  <c r="AI502" i="2" s="1"/>
  <c r="AJ502" i="2" s="1"/>
  <c r="V510" i="2"/>
  <c r="AI510" i="2" s="1"/>
  <c r="AJ510" i="2" s="1"/>
  <c r="V518" i="2"/>
  <c r="AI518" i="2" s="1"/>
  <c r="AJ518" i="2" s="1"/>
  <c r="V526" i="2"/>
  <c r="AI526" i="2" s="1"/>
  <c r="AJ526" i="2" s="1"/>
  <c r="V534" i="2"/>
  <c r="AI534" i="2" s="1"/>
  <c r="AJ534" i="2" s="1"/>
  <c r="V542" i="2"/>
  <c r="AI542" i="2" s="1"/>
  <c r="AJ542" i="2" s="1"/>
  <c r="V550" i="2"/>
  <c r="AI550" i="2" s="1"/>
  <c r="AJ550" i="2" s="1"/>
  <c r="V558" i="2"/>
  <c r="AI558" i="2" s="1"/>
  <c r="AJ558" i="2" s="1"/>
  <c r="V566" i="2"/>
  <c r="AI566" i="2" s="1"/>
  <c r="AJ566" i="2" s="1"/>
  <c r="V574" i="2"/>
  <c r="AI574" i="2" s="1"/>
  <c r="AJ574" i="2" s="1"/>
  <c r="V582" i="2"/>
  <c r="AI582" i="2" s="1"/>
  <c r="AJ582" i="2" s="1"/>
  <c r="V590" i="2"/>
  <c r="AI590" i="2" s="1"/>
  <c r="AJ590" i="2" s="1"/>
  <c r="V598" i="2"/>
  <c r="AI598" i="2" s="1"/>
  <c r="AJ598" i="2" s="1"/>
  <c r="V606" i="2"/>
  <c r="AI606" i="2" s="1"/>
  <c r="AJ606" i="2" s="1"/>
  <c r="V614" i="2"/>
  <c r="AI614" i="2" s="1"/>
  <c r="AJ614" i="2" s="1"/>
  <c r="V622" i="2"/>
  <c r="AI622" i="2" s="1"/>
  <c r="AJ622" i="2" s="1"/>
  <c r="V630" i="2"/>
  <c r="AI630" i="2" s="1"/>
  <c r="AJ630" i="2" s="1"/>
  <c r="V638" i="2"/>
  <c r="AI638" i="2" s="1"/>
  <c r="AJ638" i="2" s="1"/>
  <c r="V646" i="2"/>
  <c r="AI646" i="2" s="1"/>
  <c r="AJ646" i="2" s="1"/>
  <c r="V654" i="2"/>
  <c r="AI654" i="2" s="1"/>
  <c r="AJ654" i="2" s="1"/>
  <c r="V662" i="2"/>
  <c r="AI662" i="2" s="1"/>
  <c r="AJ662" i="2" s="1"/>
  <c r="V670" i="2"/>
  <c r="AI670" i="2" s="1"/>
  <c r="AJ670" i="2" s="1"/>
  <c r="V678" i="2"/>
  <c r="AI678" i="2" s="1"/>
  <c r="AJ678" i="2" s="1"/>
  <c r="V686" i="2"/>
  <c r="AI686" i="2" s="1"/>
  <c r="AJ686" i="2" s="1"/>
  <c r="V694" i="2"/>
  <c r="AI694" i="2" s="1"/>
  <c r="AJ694" i="2" s="1"/>
  <c r="V702" i="2"/>
  <c r="AI702" i="2" s="1"/>
  <c r="AJ702" i="2" s="1"/>
  <c r="V710" i="2"/>
  <c r="AI710" i="2" s="1"/>
  <c r="AJ710" i="2" s="1"/>
  <c r="V718" i="2"/>
  <c r="AI718" i="2" s="1"/>
  <c r="AJ718" i="2" s="1"/>
  <c r="V726" i="2"/>
  <c r="AI726" i="2" s="1"/>
  <c r="AJ726" i="2" s="1"/>
  <c r="V734" i="2"/>
  <c r="AI734" i="2" s="1"/>
  <c r="AJ734" i="2" s="1"/>
  <c r="V742" i="2"/>
  <c r="AI742" i="2" s="1"/>
  <c r="AJ742" i="2" s="1"/>
  <c r="V750" i="2"/>
  <c r="AI750" i="2" s="1"/>
  <c r="AJ750" i="2" s="1"/>
  <c r="V758" i="2"/>
  <c r="AI758" i="2" s="1"/>
  <c r="AJ758" i="2" s="1"/>
  <c r="V766" i="2"/>
  <c r="AI766" i="2" s="1"/>
  <c r="AJ766" i="2" s="1"/>
  <c r="V774" i="2"/>
  <c r="AI774" i="2" s="1"/>
  <c r="AJ774" i="2" s="1"/>
  <c r="V782" i="2"/>
  <c r="AI782" i="2" s="1"/>
  <c r="AJ782" i="2" s="1"/>
  <c r="V790" i="2"/>
  <c r="AI790" i="2" s="1"/>
  <c r="AJ790" i="2" s="1"/>
  <c r="V798" i="2"/>
  <c r="AI798" i="2" s="1"/>
  <c r="AJ798" i="2" s="1"/>
  <c r="V806" i="2"/>
  <c r="AI806" i="2" s="1"/>
  <c r="AJ806" i="2" s="1"/>
  <c r="V814" i="2"/>
  <c r="AI814" i="2" s="1"/>
  <c r="AJ814" i="2" s="1"/>
  <c r="V822" i="2"/>
  <c r="AI822" i="2" s="1"/>
  <c r="AJ822" i="2" s="1"/>
  <c r="V830" i="2"/>
  <c r="AI830" i="2" s="1"/>
  <c r="AJ830" i="2" s="1"/>
  <c r="V838" i="2"/>
  <c r="AI838" i="2" s="1"/>
  <c r="AJ838" i="2" s="1"/>
  <c r="V846" i="2"/>
  <c r="AI846" i="2" s="1"/>
  <c r="AJ846" i="2" s="1"/>
  <c r="V854" i="2"/>
  <c r="AI854" i="2" s="1"/>
  <c r="AJ854" i="2" s="1"/>
  <c r="V862" i="2"/>
  <c r="AI862" i="2" s="1"/>
  <c r="AJ862" i="2" s="1"/>
  <c r="V870" i="2"/>
  <c r="AI870" i="2" s="1"/>
  <c r="AJ870" i="2" s="1"/>
  <c r="V878" i="2"/>
  <c r="AI878" i="2" s="1"/>
  <c r="AJ878" i="2" s="1"/>
  <c r="V886" i="2"/>
  <c r="AI886" i="2" s="1"/>
  <c r="AJ886" i="2" s="1"/>
  <c r="V894" i="2"/>
  <c r="AI894" i="2" s="1"/>
  <c r="AJ894" i="2" s="1"/>
  <c r="V902" i="2"/>
  <c r="AI902" i="2" s="1"/>
  <c r="AJ902" i="2" s="1"/>
  <c r="V910" i="2"/>
  <c r="AI910" i="2" s="1"/>
  <c r="AJ910" i="2" s="1"/>
  <c r="V918" i="2"/>
  <c r="AI918" i="2" s="1"/>
  <c r="AJ918" i="2" s="1"/>
  <c r="V926" i="2"/>
  <c r="AI926" i="2" s="1"/>
  <c r="AJ926" i="2" s="1"/>
  <c r="V934" i="2"/>
  <c r="AI934" i="2" s="1"/>
  <c r="AJ934" i="2" s="1"/>
  <c r="V942" i="2"/>
  <c r="AI942" i="2" s="1"/>
  <c r="AJ942" i="2" s="1"/>
  <c r="V950" i="2"/>
  <c r="AI950" i="2" s="1"/>
  <c r="AJ950" i="2" s="1"/>
  <c r="V958" i="2"/>
  <c r="AI958" i="2" s="1"/>
  <c r="AJ958" i="2" s="1"/>
  <c r="V966" i="2"/>
  <c r="AI966" i="2" s="1"/>
  <c r="AJ966" i="2" s="1"/>
  <c r="V974" i="2"/>
  <c r="AI974" i="2" s="1"/>
  <c r="AJ974" i="2" s="1"/>
  <c r="V982" i="2"/>
  <c r="AI982" i="2" s="1"/>
  <c r="AJ982" i="2" s="1"/>
  <c r="V990" i="2"/>
  <c r="AI990" i="2" s="1"/>
  <c r="AJ990" i="2" s="1"/>
  <c r="V998" i="2"/>
  <c r="AI998" i="2" s="1"/>
  <c r="AJ998" i="2" s="1"/>
  <c r="V1006" i="2"/>
  <c r="AI1006" i="2" s="1"/>
  <c r="AJ1006" i="2" s="1"/>
  <c r="V1014" i="2"/>
  <c r="AI1014" i="2" s="1"/>
  <c r="AJ1014" i="2" s="1"/>
  <c r="V1022" i="2"/>
  <c r="AI1022" i="2" s="1"/>
  <c r="AJ1022" i="2" s="1"/>
  <c r="V1030" i="2"/>
  <c r="AI1030" i="2" s="1"/>
  <c r="AJ1030" i="2" s="1"/>
  <c r="V1038" i="2"/>
  <c r="AI1038" i="2" s="1"/>
  <c r="AJ1038" i="2" s="1"/>
  <c r="V1046" i="2"/>
  <c r="AI1046" i="2" s="1"/>
  <c r="AJ1046" i="2" s="1"/>
  <c r="V1054" i="2"/>
  <c r="AI1054" i="2" s="1"/>
  <c r="AJ1054" i="2" s="1"/>
  <c r="V1062" i="2"/>
  <c r="AI1062" i="2" s="1"/>
  <c r="AJ1062" i="2" s="1"/>
  <c r="V1070" i="2"/>
  <c r="AI1070" i="2" s="1"/>
  <c r="AJ1070" i="2" s="1"/>
  <c r="V1078" i="2"/>
  <c r="AI1078" i="2" s="1"/>
  <c r="AJ1078" i="2" s="1"/>
  <c r="V1086" i="2"/>
  <c r="AI1086" i="2" s="1"/>
  <c r="AJ1086" i="2" s="1"/>
  <c r="V1094" i="2"/>
  <c r="AI1094" i="2" s="1"/>
  <c r="AJ1094" i="2" s="1"/>
  <c r="V1102" i="2"/>
  <c r="AI1102" i="2" s="1"/>
  <c r="AJ1102" i="2" s="1"/>
  <c r="V1110" i="2"/>
  <c r="AI1110" i="2" s="1"/>
  <c r="AJ1110" i="2" s="1"/>
  <c r="V1118" i="2"/>
  <c r="AI1118" i="2" s="1"/>
  <c r="AJ1118" i="2" s="1"/>
  <c r="V1126" i="2"/>
  <c r="AI1126" i="2" s="1"/>
  <c r="AJ1126" i="2" s="1"/>
  <c r="V1134" i="2"/>
  <c r="AI1134" i="2" s="1"/>
  <c r="AJ1134" i="2" s="1"/>
  <c r="V1142" i="2"/>
  <c r="AI1142" i="2" s="1"/>
  <c r="AJ1142" i="2" s="1"/>
  <c r="V1150" i="2"/>
  <c r="AI1150" i="2" s="1"/>
  <c r="AJ1150" i="2" s="1"/>
  <c r="V1158" i="2"/>
  <c r="AI1158" i="2" s="1"/>
  <c r="AJ1158" i="2" s="1"/>
  <c r="V1166" i="2"/>
  <c r="AI1166" i="2" s="1"/>
  <c r="AJ1166" i="2" s="1"/>
  <c r="V1174" i="2"/>
  <c r="AI1174" i="2" s="1"/>
  <c r="AJ1174" i="2" s="1"/>
  <c r="V1182" i="2"/>
  <c r="AI1182" i="2" s="1"/>
  <c r="AJ1182" i="2" s="1"/>
  <c r="V1190" i="2"/>
  <c r="AI1190" i="2" s="1"/>
  <c r="AJ1190" i="2" s="1"/>
  <c r="V1198" i="2"/>
  <c r="AI1198" i="2" s="1"/>
  <c r="AJ1198" i="2" s="1"/>
  <c r="V1206" i="2"/>
  <c r="AI1206" i="2" s="1"/>
  <c r="AJ1206" i="2" s="1"/>
  <c r="V1214" i="2"/>
  <c r="AI1214" i="2" s="1"/>
  <c r="AJ1214" i="2" s="1"/>
  <c r="V1222" i="2"/>
  <c r="AI1222" i="2" s="1"/>
  <c r="AJ1222" i="2" s="1"/>
  <c r="V1230" i="2"/>
  <c r="AI1230" i="2" s="1"/>
  <c r="AJ1230" i="2" s="1"/>
  <c r="V1218" i="2"/>
  <c r="AI1218" i="2" s="1"/>
  <c r="AJ1218" i="2" s="1"/>
  <c r="V7" i="2"/>
  <c r="AI7" i="2" s="1"/>
  <c r="AJ7" i="2" s="1"/>
  <c r="V15" i="2"/>
  <c r="AI15" i="2" s="1"/>
  <c r="AJ15" i="2" s="1"/>
  <c r="V23" i="2"/>
  <c r="AI23" i="2" s="1"/>
  <c r="AJ23" i="2" s="1"/>
  <c r="V31" i="2"/>
  <c r="AI31" i="2" s="1"/>
  <c r="AJ31" i="2" s="1"/>
  <c r="V39" i="2"/>
  <c r="AI39" i="2" s="1"/>
  <c r="AJ39" i="2" s="1"/>
  <c r="V47" i="2"/>
  <c r="AI47" i="2" s="1"/>
  <c r="AJ47" i="2" s="1"/>
  <c r="V55" i="2"/>
  <c r="AI55" i="2" s="1"/>
  <c r="AJ55" i="2" s="1"/>
  <c r="V63" i="2"/>
  <c r="AI63" i="2" s="1"/>
  <c r="AJ63" i="2" s="1"/>
  <c r="V71" i="2"/>
  <c r="AI71" i="2" s="1"/>
  <c r="AJ71" i="2" s="1"/>
  <c r="V79" i="2"/>
  <c r="AI79" i="2" s="1"/>
  <c r="AJ79" i="2" s="1"/>
  <c r="V87" i="2"/>
  <c r="AI87" i="2" s="1"/>
  <c r="AJ87" i="2" s="1"/>
  <c r="V95" i="2"/>
  <c r="AI95" i="2" s="1"/>
  <c r="AJ95" i="2" s="1"/>
  <c r="V103" i="2"/>
  <c r="AI103" i="2" s="1"/>
  <c r="AJ103" i="2" s="1"/>
  <c r="V111" i="2"/>
  <c r="AI111" i="2" s="1"/>
  <c r="AJ111" i="2" s="1"/>
  <c r="V119" i="2"/>
  <c r="AI119" i="2" s="1"/>
  <c r="AJ119" i="2" s="1"/>
  <c r="V127" i="2"/>
  <c r="AI127" i="2" s="1"/>
  <c r="AJ127" i="2" s="1"/>
  <c r="V135" i="2"/>
  <c r="AI135" i="2" s="1"/>
  <c r="AJ135" i="2" s="1"/>
  <c r="V143" i="2"/>
  <c r="AI143" i="2" s="1"/>
  <c r="AJ143" i="2" s="1"/>
  <c r="V151" i="2"/>
  <c r="AI151" i="2" s="1"/>
  <c r="AJ151" i="2" s="1"/>
  <c r="V159" i="2"/>
  <c r="AI159" i="2" s="1"/>
  <c r="AJ159" i="2" s="1"/>
  <c r="V167" i="2"/>
  <c r="AI167" i="2" s="1"/>
  <c r="AJ167" i="2" s="1"/>
  <c r="V175" i="2"/>
  <c r="AI175" i="2" s="1"/>
  <c r="AJ175" i="2" s="1"/>
  <c r="V183" i="2"/>
  <c r="AI183" i="2" s="1"/>
  <c r="AJ183" i="2" s="1"/>
  <c r="V191" i="2"/>
  <c r="AI191" i="2" s="1"/>
  <c r="AJ191" i="2" s="1"/>
  <c r="V199" i="2"/>
  <c r="AI199" i="2" s="1"/>
  <c r="AJ199" i="2" s="1"/>
  <c r="V207" i="2"/>
  <c r="AI207" i="2" s="1"/>
  <c r="AJ207" i="2" s="1"/>
  <c r="V215" i="2"/>
  <c r="AI215" i="2" s="1"/>
  <c r="AJ215" i="2" s="1"/>
  <c r="V223" i="2"/>
  <c r="AI223" i="2" s="1"/>
  <c r="AJ223" i="2" s="1"/>
  <c r="V231" i="2"/>
  <c r="AI231" i="2" s="1"/>
  <c r="AJ231" i="2" s="1"/>
  <c r="V239" i="2"/>
  <c r="AI239" i="2" s="1"/>
  <c r="AJ239" i="2" s="1"/>
  <c r="V247" i="2"/>
  <c r="AI247" i="2" s="1"/>
  <c r="AJ247" i="2" s="1"/>
  <c r="V255" i="2"/>
  <c r="AI255" i="2" s="1"/>
  <c r="AJ255" i="2" s="1"/>
  <c r="V263" i="2"/>
  <c r="AI263" i="2" s="1"/>
  <c r="AJ263" i="2" s="1"/>
  <c r="V271" i="2"/>
  <c r="AI271" i="2" s="1"/>
  <c r="AJ271" i="2" s="1"/>
  <c r="V279" i="2"/>
  <c r="AI279" i="2" s="1"/>
  <c r="AJ279" i="2" s="1"/>
  <c r="V287" i="2"/>
  <c r="AI287" i="2" s="1"/>
  <c r="AJ287" i="2" s="1"/>
  <c r="V295" i="2"/>
  <c r="AI295" i="2" s="1"/>
  <c r="AJ295" i="2" s="1"/>
  <c r="V303" i="2"/>
  <c r="AI303" i="2" s="1"/>
  <c r="AJ303" i="2" s="1"/>
  <c r="V311" i="2"/>
  <c r="AI311" i="2" s="1"/>
  <c r="AJ311" i="2" s="1"/>
  <c r="V319" i="2"/>
  <c r="AI319" i="2" s="1"/>
  <c r="AJ319" i="2" s="1"/>
  <c r="V327" i="2"/>
  <c r="AI327" i="2" s="1"/>
  <c r="AJ327" i="2" s="1"/>
  <c r="V335" i="2"/>
  <c r="AI335" i="2" s="1"/>
  <c r="AJ335" i="2" s="1"/>
  <c r="V343" i="2"/>
  <c r="AI343" i="2" s="1"/>
  <c r="AJ343" i="2" s="1"/>
  <c r="V351" i="2"/>
  <c r="AI351" i="2" s="1"/>
  <c r="AJ351" i="2" s="1"/>
  <c r="V359" i="2"/>
  <c r="AI359" i="2" s="1"/>
  <c r="AJ359" i="2" s="1"/>
  <c r="V367" i="2"/>
  <c r="AI367" i="2" s="1"/>
  <c r="AJ367" i="2" s="1"/>
  <c r="V375" i="2"/>
  <c r="AI375" i="2" s="1"/>
  <c r="AJ375" i="2" s="1"/>
  <c r="V383" i="2"/>
  <c r="AI383" i="2" s="1"/>
  <c r="AJ383" i="2" s="1"/>
  <c r="V391" i="2"/>
  <c r="AI391" i="2" s="1"/>
  <c r="AJ391" i="2" s="1"/>
  <c r="V399" i="2"/>
  <c r="AI399" i="2" s="1"/>
  <c r="AJ399" i="2" s="1"/>
  <c r="V407" i="2"/>
  <c r="AI407" i="2" s="1"/>
  <c r="AJ407" i="2" s="1"/>
  <c r="V415" i="2"/>
  <c r="AI415" i="2" s="1"/>
  <c r="AJ415" i="2" s="1"/>
  <c r="V423" i="2"/>
  <c r="AI423" i="2" s="1"/>
  <c r="AJ423" i="2" s="1"/>
  <c r="V431" i="2"/>
  <c r="AI431" i="2" s="1"/>
  <c r="AJ431" i="2" s="1"/>
  <c r="V439" i="2"/>
  <c r="AI439" i="2" s="1"/>
  <c r="AJ439" i="2" s="1"/>
  <c r="V447" i="2"/>
  <c r="AI447" i="2" s="1"/>
  <c r="AJ447" i="2" s="1"/>
  <c r="V455" i="2"/>
  <c r="AI455" i="2" s="1"/>
  <c r="AJ455" i="2" s="1"/>
  <c r="V463" i="2"/>
  <c r="AI463" i="2" s="1"/>
  <c r="AJ463" i="2" s="1"/>
  <c r="V471" i="2"/>
  <c r="AI471" i="2" s="1"/>
  <c r="AJ471" i="2" s="1"/>
  <c r="V479" i="2"/>
  <c r="AI479" i="2" s="1"/>
  <c r="AJ479" i="2" s="1"/>
  <c r="V487" i="2"/>
  <c r="AI487" i="2" s="1"/>
  <c r="AJ487" i="2" s="1"/>
  <c r="V495" i="2"/>
  <c r="AI495" i="2" s="1"/>
  <c r="AJ495" i="2" s="1"/>
  <c r="V503" i="2"/>
  <c r="AI503" i="2" s="1"/>
  <c r="AJ503" i="2" s="1"/>
  <c r="V511" i="2"/>
  <c r="AI511" i="2" s="1"/>
  <c r="AJ511" i="2" s="1"/>
  <c r="V519" i="2"/>
  <c r="AI519" i="2" s="1"/>
  <c r="AJ519" i="2" s="1"/>
  <c r="V527" i="2"/>
  <c r="AI527" i="2" s="1"/>
  <c r="AJ527" i="2" s="1"/>
  <c r="V535" i="2"/>
  <c r="AI535" i="2" s="1"/>
  <c r="AJ535" i="2" s="1"/>
  <c r="V543" i="2"/>
  <c r="AI543" i="2" s="1"/>
  <c r="AJ543" i="2" s="1"/>
  <c r="V551" i="2"/>
  <c r="AI551" i="2" s="1"/>
  <c r="AJ551" i="2" s="1"/>
  <c r="V559" i="2"/>
  <c r="AI559" i="2" s="1"/>
  <c r="AJ559" i="2" s="1"/>
  <c r="V567" i="2"/>
  <c r="AI567" i="2" s="1"/>
  <c r="AJ567" i="2" s="1"/>
  <c r="V575" i="2"/>
  <c r="AI575" i="2" s="1"/>
  <c r="AJ575" i="2" s="1"/>
  <c r="V583" i="2"/>
  <c r="AI583" i="2" s="1"/>
  <c r="AJ583" i="2" s="1"/>
  <c r="V591" i="2"/>
  <c r="AI591" i="2" s="1"/>
  <c r="AJ591" i="2" s="1"/>
  <c r="V599" i="2"/>
  <c r="AI599" i="2" s="1"/>
  <c r="AJ599" i="2" s="1"/>
  <c r="V607" i="2"/>
  <c r="AI607" i="2" s="1"/>
  <c r="AJ607" i="2" s="1"/>
  <c r="V615" i="2"/>
  <c r="AI615" i="2" s="1"/>
  <c r="AJ615" i="2" s="1"/>
  <c r="V623" i="2"/>
  <c r="AI623" i="2" s="1"/>
  <c r="AJ623" i="2" s="1"/>
  <c r="V631" i="2"/>
  <c r="AI631" i="2" s="1"/>
  <c r="AJ631" i="2" s="1"/>
  <c r="V639" i="2"/>
  <c r="AI639" i="2" s="1"/>
  <c r="AJ639" i="2" s="1"/>
  <c r="V647" i="2"/>
  <c r="AI647" i="2" s="1"/>
  <c r="AJ647" i="2" s="1"/>
  <c r="V655" i="2"/>
  <c r="AI655" i="2" s="1"/>
  <c r="AJ655" i="2" s="1"/>
  <c r="V663" i="2"/>
  <c r="AI663" i="2" s="1"/>
  <c r="AJ663" i="2" s="1"/>
  <c r="V671" i="2"/>
  <c r="AI671" i="2" s="1"/>
  <c r="AJ671" i="2" s="1"/>
  <c r="V679" i="2"/>
  <c r="AI679" i="2" s="1"/>
  <c r="AJ679" i="2" s="1"/>
  <c r="V687" i="2"/>
  <c r="AI687" i="2" s="1"/>
  <c r="AJ687" i="2" s="1"/>
  <c r="V695" i="2"/>
  <c r="AI695" i="2" s="1"/>
  <c r="AJ695" i="2" s="1"/>
  <c r="V703" i="2"/>
  <c r="AI703" i="2" s="1"/>
  <c r="AJ703" i="2" s="1"/>
  <c r="V711" i="2"/>
  <c r="AI711" i="2" s="1"/>
  <c r="AJ711" i="2" s="1"/>
  <c r="V719" i="2"/>
  <c r="AI719" i="2" s="1"/>
  <c r="AJ719" i="2" s="1"/>
  <c r="V727" i="2"/>
  <c r="AI727" i="2" s="1"/>
  <c r="AJ727" i="2" s="1"/>
  <c r="V735" i="2"/>
  <c r="AI735" i="2" s="1"/>
  <c r="AJ735" i="2" s="1"/>
  <c r="V743" i="2"/>
  <c r="AI743" i="2" s="1"/>
  <c r="AJ743" i="2" s="1"/>
  <c r="V751" i="2"/>
  <c r="AI751" i="2" s="1"/>
  <c r="AJ751" i="2" s="1"/>
  <c r="V759" i="2"/>
  <c r="AI759" i="2" s="1"/>
  <c r="AJ759" i="2" s="1"/>
  <c r="V767" i="2"/>
  <c r="AI767" i="2" s="1"/>
  <c r="AJ767" i="2" s="1"/>
  <c r="V775" i="2"/>
  <c r="AI775" i="2" s="1"/>
  <c r="AJ775" i="2" s="1"/>
  <c r="V783" i="2"/>
  <c r="AI783" i="2" s="1"/>
  <c r="AJ783" i="2" s="1"/>
  <c r="V791" i="2"/>
  <c r="AI791" i="2" s="1"/>
  <c r="AJ791" i="2" s="1"/>
  <c r="V799" i="2"/>
  <c r="AI799" i="2" s="1"/>
  <c r="AJ799" i="2" s="1"/>
  <c r="V807" i="2"/>
  <c r="AI807" i="2" s="1"/>
  <c r="AJ807" i="2" s="1"/>
  <c r="V815" i="2"/>
  <c r="AI815" i="2" s="1"/>
  <c r="AJ815" i="2" s="1"/>
  <c r="V823" i="2"/>
  <c r="AI823" i="2" s="1"/>
  <c r="AJ823" i="2" s="1"/>
  <c r="V831" i="2"/>
  <c r="AI831" i="2" s="1"/>
  <c r="AJ831" i="2" s="1"/>
  <c r="V839" i="2"/>
  <c r="AI839" i="2" s="1"/>
  <c r="AJ839" i="2" s="1"/>
  <c r="V847" i="2"/>
  <c r="AI847" i="2" s="1"/>
  <c r="AJ847" i="2" s="1"/>
  <c r="V855" i="2"/>
  <c r="AI855" i="2" s="1"/>
  <c r="AJ855" i="2" s="1"/>
  <c r="V863" i="2"/>
  <c r="AI863" i="2" s="1"/>
  <c r="AJ863" i="2" s="1"/>
  <c r="V871" i="2"/>
  <c r="AI871" i="2" s="1"/>
  <c r="AJ871" i="2" s="1"/>
  <c r="V879" i="2"/>
  <c r="AI879" i="2" s="1"/>
  <c r="AJ879" i="2" s="1"/>
  <c r="V887" i="2"/>
  <c r="AI887" i="2" s="1"/>
  <c r="AJ887" i="2" s="1"/>
  <c r="V895" i="2"/>
  <c r="AI895" i="2" s="1"/>
  <c r="AJ895" i="2" s="1"/>
  <c r="V903" i="2"/>
  <c r="AI903" i="2" s="1"/>
  <c r="AJ903" i="2" s="1"/>
  <c r="V911" i="2"/>
  <c r="AI911" i="2" s="1"/>
  <c r="AJ911" i="2" s="1"/>
  <c r="V919" i="2"/>
  <c r="AI919" i="2" s="1"/>
  <c r="AJ919" i="2" s="1"/>
  <c r="V927" i="2"/>
  <c r="AI927" i="2" s="1"/>
  <c r="AJ927" i="2" s="1"/>
  <c r="V935" i="2"/>
  <c r="AI935" i="2" s="1"/>
  <c r="AJ935" i="2" s="1"/>
  <c r="V943" i="2"/>
  <c r="AI943" i="2" s="1"/>
  <c r="AJ943" i="2" s="1"/>
  <c r="V951" i="2"/>
  <c r="AI951" i="2" s="1"/>
  <c r="AJ951" i="2" s="1"/>
  <c r="V959" i="2"/>
  <c r="AI959" i="2" s="1"/>
  <c r="AJ959" i="2" s="1"/>
  <c r="V967" i="2"/>
  <c r="AI967" i="2" s="1"/>
  <c r="AJ967" i="2" s="1"/>
  <c r="V975" i="2"/>
  <c r="AI975" i="2" s="1"/>
  <c r="AJ975" i="2" s="1"/>
  <c r="V983" i="2"/>
  <c r="AI983" i="2" s="1"/>
  <c r="AJ983" i="2" s="1"/>
  <c r="V991" i="2"/>
  <c r="AI991" i="2" s="1"/>
  <c r="AJ991" i="2" s="1"/>
  <c r="V999" i="2"/>
  <c r="AI999" i="2" s="1"/>
  <c r="AJ999" i="2" s="1"/>
  <c r="V1007" i="2"/>
  <c r="AI1007" i="2" s="1"/>
  <c r="AJ1007" i="2" s="1"/>
  <c r="V1015" i="2"/>
  <c r="AI1015" i="2" s="1"/>
  <c r="AJ1015" i="2" s="1"/>
  <c r="V1023" i="2"/>
  <c r="AI1023" i="2" s="1"/>
  <c r="AJ1023" i="2" s="1"/>
  <c r="V1031" i="2"/>
  <c r="AI1031" i="2" s="1"/>
  <c r="AJ1031" i="2" s="1"/>
  <c r="V1039" i="2"/>
  <c r="AI1039" i="2" s="1"/>
  <c r="AJ1039" i="2" s="1"/>
  <c r="V1047" i="2"/>
  <c r="AI1047" i="2" s="1"/>
  <c r="AJ1047" i="2" s="1"/>
  <c r="V1055" i="2"/>
  <c r="AI1055" i="2" s="1"/>
  <c r="AJ1055" i="2" s="1"/>
  <c r="V1063" i="2"/>
  <c r="AI1063" i="2" s="1"/>
  <c r="AJ1063" i="2" s="1"/>
  <c r="V1071" i="2"/>
  <c r="AI1071" i="2" s="1"/>
  <c r="AJ1071" i="2" s="1"/>
  <c r="V1079" i="2"/>
  <c r="AI1079" i="2" s="1"/>
  <c r="AJ1079" i="2" s="1"/>
  <c r="V1087" i="2"/>
  <c r="AI1087" i="2" s="1"/>
  <c r="AJ1087" i="2" s="1"/>
  <c r="V1095" i="2"/>
  <c r="AI1095" i="2" s="1"/>
  <c r="AJ1095" i="2" s="1"/>
  <c r="V1103" i="2"/>
  <c r="AI1103" i="2" s="1"/>
  <c r="AJ1103" i="2" s="1"/>
  <c r="V1111" i="2"/>
  <c r="AI1111" i="2" s="1"/>
  <c r="AJ1111" i="2" s="1"/>
  <c r="V1119" i="2"/>
  <c r="AI1119" i="2" s="1"/>
  <c r="AJ1119" i="2" s="1"/>
  <c r="V1127" i="2"/>
  <c r="AI1127" i="2" s="1"/>
  <c r="AJ1127" i="2" s="1"/>
  <c r="V1135" i="2"/>
  <c r="AI1135" i="2" s="1"/>
  <c r="AJ1135" i="2" s="1"/>
  <c r="V1143" i="2"/>
  <c r="AI1143" i="2" s="1"/>
  <c r="AJ1143" i="2" s="1"/>
  <c r="V1151" i="2"/>
  <c r="AI1151" i="2" s="1"/>
  <c r="AJ1151" i="2" s="1"/>
  <c r="V1159" i="2"/>
  <c r="AI1159" i="2" s="1"/>
  <c r="AJ1159" i="2" s="1"/>
  <c r="V1167" i="2"/>
  <c r="AI1167" i="2" s="1"/>
  <c r="AJ1167" i="2" s="1"/>
  <c r="V1175" i="2"/>
  <c r="AI1175" i="2" s="1"/>
  <c r="AJ1175" i="2" s="1"/>
  <c r="V1183" i="2"/>
  <c r="AI1183" i="2" s="1"/>
  <c r="AJ1183" i="2" s="1"/>
  <c r="V1191" i="2"/>
  <c r="AI1191" i="2" s="1"/>
  <c r="AJ1191" i="2" s="1"/>
  <c r="V1199" i="2"/>
  <c r="AI1199" i="2" s="1"/>
  <c r="AJ1199" i="2" s="1"/>
  <c r="V1207" i="2"/>
  <c r="AI1207" i="2" s="1"/>
  <c r="AJ1207" i="2" s="1"/>
  <c r="V1215" i="2"/>
  <c r="AI1215" i="2" s="1"/>
  <c r="AJ1215" i="2" s="1"/>
  <c r="V1223" i="2"/>
  <c r="AI1223" i="2" s="1"/>
  <c r="AJ1223" i="2" s="1"/>
  <c r="V1231" i="2"/>
  <c r="AI1231" i="2" s="1"/>
  <c r="AJ1231" i="2" s="1"/>
  <c r="V2" i="2"/>
  <c r="V10" i="2"/>
  <c r="AI10" i="2" s="1"/>
  <c r="AJ10" i="2" s="1"/>
  <c r="V18" i="2"/>
  <c r="AI18" i="2" s="1"/>
  <c r="AJ18" i="2" s="1"/>
  <c r="V26" i="2"/>
  <c r="AI26" i="2" s="1"/>
  <c r="AJ26" i="2" s="1"/>
  <c r="V34" i="2"/>
  <c r="AI34" i="2" s="1"/>
  <c r="AJ34" i="2" s="1"/>
  <c r="V42" i="2"/>
  <c r="AI42" i="2" s="1"/>
  <c r="AJ42" i="2" s="1"/>
  <c r="V50" i="2"/>
  <c r="AI50" i="2" s="1"/>
  <c r="AJ50" i="2" s="1"/>
  <c r="V58" i="2"/>
  <c r="AI58" i="2" s="1"/>
  <c r="AJ58" i="2" s="1"/>
  <c r="V66" i="2"/>
  <c r="AI66" i="2" s="1"/>
  <c r="AJ66" i="2" s="1"/>
  <c r="V74" i="2"/>
  <c r="AI74" i="2" s="1"/>
  <c r="AJ74" i="2" s="1"/>
  <c r="V82" i="2"/>
  <c r="AI82" i="2" s="1"/>
  <c r="AJ82" i="2" s="1"/>
  <c r="V90" i="2"/>
  <c r="AI90" i="2" s="1"/>
  <c r="AJ90" i="2" s="1"/>
  <c r="V98" i="2"/>
  <c r="AI98" i="2" s="1"/>
  <c r="AJ98" i="2" s="1"/>
  <c r="V106" i="2"/>
  <c r="AI106" i="2" s="1"/>
  <c r="AJ106" i="2" s="1"/>
  <c r="V114" i="2"/>
  <c r="AI114" i="2" s="1"/>
  <c r="AJ114" i="2" s="1"/>
  <c r="V122" i="2"/>
  <c r="AI122" i="2" s="1"/>
  <c r="AJ122" i="2" s="1"/>
  <c r="V130" i="2"/>
  <c r="AI130" i="2" s="1"/>
  <c r="AJ130" i="2" s="1"/>
  <c r="V138" i="2"/>
  <c r="AI138" i="2" s="1"/>
  <c r="AJ138" i="2" s="1"/>
  <c r="V146" i="2"/>
  <c r="AI146" i="2" s="1"/>
  <c r="AJ146" i="2" s="1"/>
  <c r="V154" i="2"/>
  <c r="AI154" i="2" s="1"/>
  <c r="AJ154" i="2" s="1"/>
  <c r="V162" i="2"/>
  <c r="AI162" i="2" s="1"/>
  <c r="AJ162" i="2" s="1"/>
  <c r="V170" i="2"/>
  <c r="AI170" i="2" s="1"/>
  <c r="AJ170" i="2" s="1"/>
  <c r="V178" i="2"/>
  <c r="AI178" i="2" s="1"/>
  <c r="AJ178" i="2" s="1"/>
  <c r="V186" i="2"/>
  <c r="AI186" i="2" s="1"/>
  <c r="AJ186" i="2" s="1"/>
  <c r="V194" i="2"/>
  <c r="AI194" i="2" s="1"/>
  <c r="AJ194" i="2" s="1"/>
  <c r="V202" i="2"/>
  <c r="AI202" i="2" s="1"/>
  <c r="AJ202" i="2" s="1"/>
  <c r="V210" i="2"/>
  <c r="AI210" i="2" s="1"/>
  <c r="AJ210" i="2" s="1"/>
  <c r="V218" i="2"/>
  <c r="AI218" i="2" s="1"/>
  <c r="AJ218" i="2" s="1"/>
  <c r="V226" i="2"/>
  <c r="AI226" i="2" s="1"/>
  <c r="AJ226" i="2" s="1"/>
  <c r="V234" i="2"/>
  <c r="AI234" i="2" s="1"/>
  <c r="AJ234" i="2" s="1"/>
  <c r="V242" i="2"/>
  <c r="AI242" i="2" s="1"/>
  <c r="AJ242" i="2" s="1"/>
  <c r="V250" i="2"/>
  <c r="AI250" i="2" s="1"/>
  <c r="AJ250" i="2" s="1"/>
  <c r="V258" i="2"/>
  <c r="AI258" i="2" s="1"/>
  <c r="AJ258" i="2" s="1"/>
  <c r="V266" i="2"/>
  <c r="AI266" i="2" s="1"/>
  <c r="AJ266" i="2" s="1"/>
  <c r="V274" i="2"/>
  <c r="AI274" i="2" s="1"/>
  <c r="AJ274" i="2" s="1"/>
  <c r="V282" i="2"/>
  <c r="AI282" i="2" s="1"/>
  <c r="AJ282" i="2" s="1"/>
  <c r="V290" i="2"/>
  <c r="AI290" i="2" s="1"/>
  <c r="AJ290" i="2" s="1"/>
  <c r="V298" i="2"/>
  <c r="AI298" i="2" s="1"/>
  <c r="AJ298" i="2" s="1"/>
  <c r="V306" i="2"/>
  <c r="AI306" i="2" s="1"/>
  <c r="AJ306" i="2" s="1"/>
  <c r="V314" i="2"/>
  <c r="AI314" i="2" s="1"/>
  <c r="AJ314" i="2" s="1"/>
  <c r="V322" i="2"/>
  <c r="AI322" i="2" s="1"/>
  <c r="AJ322" i="2" s="1"/>
  <c r="V330" i="2"/>
  <c r="AI330" i="2" s="1"/>
  <c r="AJ330" i="2" s="1"/>
  <c r="V338" i="2"/>
  <c r="AI338" i="2" s="1"/>
  <c r="AJ338" i="2" s="1"/>
  <c r="V346" i="2"/>
  <c r="AI346" i="2" s="1"/>
  <c r="AJ346" i="2" s="1"/>
  <c r="V354" i="2"/>
  <c r="AI354" i="2" s="1"/>
  <c r="AJ354" i="2" s="1"/>
  <c r="V362" i="2"/>
  <c r="AI362" i="2" s="1"/>
  <c r="AJ362" i="2" s="1"/>
  <c r="V370" i="2"/>
  <c r="AI370" i="2" s="1"/>
  <c r="AJ370" i="2" s="1"/>
  <c r="V378" i="2"/>
  <c r="AI378" i="2" s="1"/>
  <c r="AJ378" i="2" s="1"/>
  <c r="V386" i="2"/>
  <c r="AI386" i="2" s="1"/>
  <c r="AJ386" i="2" s="1"/>
  <c r="V394" i="2"/>
  <c r="AI394" i="2" s="1"/>
  <c r="AJ394" i="2" s="1"/>
  <c r="V402" i="2"/>
  <c r="AI402" i="2" s="1"/>
  <c r="AJ402" i="2" s="1"/>
  <c r="V410" i="2"/>
  <c r="AI410" i="2" s="1"/>
  <c r="AJ410" i="2" s="1"/>
  <c r="V418" i="2"/>
  <c r="AI418" i="2" s="1"/>
  <c r="AJ418" i="2" s="1"/>
  <c r="V426" i="2"/>
  <c r="AI426" i="2" s="1"/>
  <c r="AJ426" i="2" s="1"/>
  <c r="V434" i="2"/>
  <c r="AI434" i="2" s="1"/>
  <c r="AJ434" i="2" s="1"/>
  <c r="V442" i="2"/>
  <c r="AI442" i="2" s="1"/>
  <c r="AJ442" i="2" s="1"/>
  <c r="V450" i="2"/>
  <c r="AI450" i="2" s="1"/>
  <c r="AJ450" i="2" s="1"/>
  <c r="V458" i="2"/>
  <c r="AI458" i="2" s="1"/>
  <c r="AJ458" i="2" s="1"/>
  <c r="V466" i="2"/>
  <c r="AI466" i="2" s="1"/>
  <c r="AJ466" i="2" s="1"/>
  <c r="V474" i="2"/>
  <c r="AI474" i="2" s="1"/>
  <c r="AJ474" i="2" s="1"/>
  <c r="V482" i="2"/>
  <c r="AI482" i="2" s="1"/>
  <c r="AJ482" i="2" s="1"/>
  <c r="V490" i="2"/>
  <c r="AI490" i="2" s="1"/>
  <c r="AJ490" i="2" s="1"/>
  <c r="V498" i="2"/>
  <c r="AI498" i="2" s="1"/>
  <c r="AJ498" i="2" s="1"/>
  <c r="V506" i="2"/>
  <c r="AI506" i="2" s="1"/>
  <c r="AJ506" i="2" s="1"/>
  <c r="V514" i="2"/>
  <c r="AI514" i="2" s="1"/>
  <c r="AJ514" i="2" s="1"/>
  <c r="V522" i="2"/>
  <c r="AI522" i="2" s="1"/>
  <c r="AJ522" i="2" s="1"/>
  <c r="V530" i="2"/>
  <c r="AI530" i="2" s="1"/>
  <c r="AJ530" i="2" s="1"/>
  <c r="V538" i="2"/>
  <c r="AI538" i="2" s="1"/>
  <c r="AJ538" i="2" s="1"/>
  <c r="V546" i="2"/>
  <c r="AI546" i="2" s="1"/>
  <c r="AJ546" i="2" s="1"/>
  <c r="V554" i="2"/>
  <c r="AI554" i="2" s="1"/>
  <c r="AJ554" i="2" s="1"/>
  <c r="V562" i="2"/>
  <c r="AI562" i="2" s="1"/>
  <c r="AJ562" i="2" s="1"/>
  <c r="V570" i="2"/>
  <c r="AI570" i="2" s="1"/>
  <c r="AJ570" i="2" s="1"/>
  <c r="V578" i="2"/>
  <c r="AI578" i="2" s="1"/>
  <c r="AJ578" i="2" s="1"/>
  <c r="V586" i="2"/>
  <c r="AI586" i="2" s="1"/>
  <c r="AJ586" i="2" s="1"/>
  <c r="V594" i="2"/>
  <c r="AI594" i="2" s="1"/>
  <c r="AJ594" i="2" s="1"/>
  <c r="V602" i="2"/>
  <c r="AI602" i="2" s="1"/>
  <c r="AJ602" i="2" s="1"/>
  <c r="V610" i="2"/>
  <c r="AI610" i="2" s="1"/>
  <c r="AJ610" i="2" s="1"/>
  <c r="V618" i="2"/>
  <c r="AI618" i="2" s="1"/>
  <c r="AJ618" i="2" s="1"/>
  <c r="V626" i="2"/>
  <c r="AI626" i="2" s="1"/>
  <c r="AJ626" i="2" s="1"/>
  <c r="V634" i="2"/>
  <c r="AI634" i="2" s="1"/>
  <c r="AJ634" i="2" s="1"/>
  <c r="V642" i="2"/>
  <c r="AI642" i="2" s="1"/>
  <c r="AJ642" i="2" s="1"/>
  <c r="V650" i="2"/>
  <c r="AI650" i="2" s="1"/>
  <c r="AJ650" i="2" s="1"/>
  <c r="V658" i="2"/>
  <c r="AI658" i="2" s="1"/>
  <c r="AJ658" i="2" s="1"/>
  <c r="V666" i="2"/>
  <c r="AI666" i="2" s="1"/>
  <c r="AJ666" i="2" s="1"/>
  <c r="V674" i="2"/>
  <c r="AI674" i="2" s="1"/>
  <c r="AJ674" i="2" s="1"/>
  <c r="V682" i="2"/>
  <c r="AI682" i="2" s="1"/>
  <c r="AJ682" i="2" s="1"/>
  <c r="V690" i="2"/>
  <c r="AI690" i="2" s="1"/>
  <c r="AJ690" i="2" s="1"/>
  <c r="V698" i="2"/>
  <c r="AI698" i="2" s="1"/>
  <c r="AJ698" i="2" s="1"/>
  <c r="V706" i="2"/>
  <c r="AI706" i="2" s="1"/>
  <c r="AJ706" i="2" s="1"/>
  <c r="V714" i="2"/>
  <c r="AI714" i="2" s="1"/>
  <c r="AJ714" i="2" s="1"/>
  <c r="V722" i="2"/>
  <c r="AI722" i="2" s="1"/>
  <c r="AJ722" i="2" s="1"/>
  <c r="V730" i="2"/>
  <c r="AI730" i="2" s="1"/>
  <c r="AJ730" i="2" s="1"/>
  <c r="V738" i="2"/>
  <c r="AI738" i="2" s="1"/>
  <c r="AJ738" i="2" s="1"/>
  <c r="V746" i="2"/>
  <c r="AI746" i="2" s="1"/>
  <c r="AJ746" i="2" s="1"/>
  <c r="V754" i="2"/>
  <c r="AI754" i="2" s="1"/>
  <c r="AJ754" i="2" s="1"/>
  <c r="V762" i="2"/>
  <c r="AI762" i="2" s="1"/>
  <c r="AJ762" i="2" s="1"/>
  <c r="V770" i="2"/>
  <c r="AI770" i="2" s="1"/>
  <c r="AJ770" i="2" s="1"/>
  <c r="V778" i="2"/>
  <c r="AI778" i="2" s="1"/>
  <c r="AJ778" i="2" s="1"/>
  <c r="V786" i="2"/>
  <c r="AI786" i="2" s="1"/>
  <c r="AJ786" i="2" s="1"/>
  <c r="V794" i="2"/>
  <c r="AI794" i="2" s="1"/>
  <c r="AJ794" i="2" s="1"/>
  <c r="V802" i="2"/>
  <c r="AI802" i="2" s="1"/>
  <c r="AJ802" i="2" s="1"/>
  <c r="V810" i="2"/>
  <c r="AI810" i="2" s="1"/>
  <c r="AJ810" i="2" s="1"/>
  <c r="V818" i="2"/>
  <c r="AI818" i="2" s="1"/>
  <c r="AJ818" i="2" s="1"/>
  <c r="V826" i="2"/>
  <c r="AI826" i="2" s="1"/>
  <c r="AJ826" i="2" s="1"/>
  <c r="V834" i="2"/>
  <c r="AI834" i="2" s="1"/>
  <c r="AJ834" i="2" s="1"/>
  <c r="V842" i="2"/>
  <c r="AI842" i="2" s="1"/>
  <c r="AJ842" i="2" s="1"/>
  <c r="V850" i="2"/>
  <c r="AI850" i="2" s="1"/>
  <c r="AJ850" i="2" s="1"/>
  <c r="V858" i="2"/>
  <c r="AI858" i="2" s="1"/>
  <c r="AJ858" i="2" s="1"/>
  <c r="V866" i="2"/>
  <c r="AI866" i="2" s="1"/>
  <c r="AJ866" i="2" s="1"/>
  <c r="V874" i="2"/>
  <c r="AI874" i="2" s="1"/>
  <c r="AJ874" i="2" s="1"/>
  <c r="V882" i="2"/>
  <c r="AI882" i="2" s="1"/>
  <c r="AJ882" i="2" s="1"/>
  <c r="V890" i="2"/>
  <c r="AI890" i="2" s="1"/>
  <c r="AJ890" i="2" s="1"/>
  <c r="V898" i="2"/>
  <c r="AI898" i="2" s="1"/>
  <c r="AJ898" i="2" s="1"/>
  <c r="V906" i="2"/>
  <c r="AI906" i="2" s="1"/>
  <c r="AJ906" i="2" s="1"/>
  <c r="V914" i="2"/>
  <c r="AI914" i="2" s="1"/>
  <c r="AJ914" i="2" s="1"/>
  <c r="V922" i="2"/>
  <c r="AI922" i="2" s="1"/>
  <c r="AJ922" i="2" s="1"/>
  <c r="V930" i="2"/>
  <c r="AI930" i="2" s="1"/>
  <c r="AJ930" i="2" s="1"/>
  <c r="V938" i="2"/>
  <c r="AI938" i="2" s="1"/>
  <c r="AJ938" i="2" s="1"/>
  <c r="V946" i="2"/>
  <c r="AI946" i="2" s="1"/>
  <c r="AJ946" i="2" s="1"/>
  <c r="V954" i="2"/>
  <c r="AI954" i="2" s="1"/>
  <c r="AJ954" i="2" s="1"/>
  <c r="V962" i="2"/>
  <c r="AI962" i="2" s="1"/>
  <c r="AJ962" i="2" s="1"/>
  <c r="V970" i="2"/>
  <c r="AI970" i="2" s="1"/>
  <c r="AJ970" i="2" s="1"/>
  <c r="V978" i="2"/>
  <c r="AI978" i="2" s="1"/>
  <c r="AJ978" i="2" s="1"/>
  <c r="V986" i="2"/>
  <c r="AI986" i="2" s="1"/>
  <c r="AJ986" i="2" s="1"/>
  <c r="V994" i="2"/>
  <c r="AI994" i="2" s="1"/>
  <c r="AJ994" i="2" s="1"/>
  <c r="V1002" i="2"/>
  <c r="AI1002" i="2" s="1"/>
  <c r="AJ1002" i="2" s="1"/>
  <c r="V1010" i="2"/>
  <c r="AI1010" i="2" s="1"/>
  <c r="AJ1010" i="2" s="1"/>
  <c r="V1018" i="2"/>
  <c r="AI1018" i="2" s="1"/>
  <c r="AJ1018" i="2" s="1"/>
  <c r="V1026" i="2"/>
  <c r="AI1026" i="2" s="1"/>
  <c r="AJ1026" i="2" s="1"/>
  <c r="V1034" i="2"/>
  <c r="AI1034" i="2" s="1"/>
  <c r="AJ1034" i="2" s="1"/>
  <c r="V1042" i="2"/>
  <c r="AI1042" i="2" s="1"/>
  <c r="AJ1042" i="2" s="1"/>
  <c r="V1050" i="2"/>
  <c r="AI1050" i="2" s="1"/>
  <c r="AJ1050" i="2" s="1"/>
  <c r="V1058" i="2"/>
  <c r="AI1058" i="2" s="1"/>
  <c r="AJ1058" i="2" s="1"/>
  <c r="V1066" i="2"/>
  <c r="AI1066" i="2" s="1"/>
  <c r="AJ1066" i="2" s="1"/>
  <c r="V1074" i="2"/>
  <c r="AI1074" i="2" s="1"/>
  <c r="AJ1074" i="2" s="1"/>
  <c r="V1082" i="2"/>
  <c r="AI1082" i="2" s="1"/>
  <c r="AJ1082" i="2" s="1"/>
  <c r="V1090" i="2"/>
  <c r="AI1090" i="2" s="1"/>
  <c r="AJ1090" i="2" s="1"/>
  <c r="V1098" i="2"/>
  <c r="AI1098" i="2" s="1"/>
  <c r="AJ1098" i="2" s="1"/>
  <c r="V1106" i="2"/>
  <c r="AI1106" i="2" s="1"/>
  <c r="AJ1106" i="2" s="1"/>
  <c r="V1114" i="2"/>
  <c r="AI1114" i="2" s="1"/>
  <c r="AJ1114" i="2" s="1"/>
  <c r="V1122" i="2"/>
  <c r="AI1122" i="2" s="1"/>
  <c r="AJ1122" i="2" s="1"/>
  <c r="V1130" i="2"/>
  <c r="AI1130" i="2" s="1"/>
  <c r="AJ1130" i="2" s="1"/>
  <c r="V1138" i="2"/>
  <c r="AI1138" i="2" s="1"/>
  <c r="AJ1138" i="2" s="1"/>
  <c r="V1146" i="2"/>
  <c r="AI1146" i="2" s="1"/>
  <c r="AJ1146" i="2" s="1"/>
  <c r="V1154" i="2"/>
  <c r="AI1154" i="2" s="1"/>
  <c r="AJ1154" i="2" s="1"/>
  <c r="V1162" i="2"/>
  <c r="AI1162" i="2" s="1"/>
  <c r="AJ1162" i="2" s="1"/>
  <c r="V1170" i="2"/>
  <c r="AI1170" i="2" s="1"/>
  <c r="AJ1170" i="2" s="1"/>
  <c r="V1178" i="2"/>
  <c r="AI1178" i="2" s="1"/>
  <c r="AJ1178" i="2" s="1"/>
  <c r="V1186" i="2"/>
  <c r="AI1186" i="2" s="1"/>
  <c r="AJ1186" i="2" s="1"/>
  <c r="V1194" i="2"/>
  <c r="AI1194" i="2" s="1"/>
  <c r="AJ1194" i="2" s="1"/>
  <c r="V1202" i="2"/>
  <c r="AI1202" i="2" s="1"/>
  <c r="AJ1202" i="2" s="1"/>
  <c r="V1210" i="2"/>
  <c r="AI1210" i="2" s="1"/>
  <c r="AJ1210" i="2" s="1"/>
  <c r="V1226" i="2"/>
  <c r="AI1226" i="2" s="1"/>
  <c r="AJ1226" i="2" s="1"/>
  <c r="V19" i="2"/>
  <c r="AI19" i="2" s="1"/>
  <c r="AJ19" i="2" s="1"/>
  <c r="V51" i="2"/>
  <c r="AI51" i="2" s="1"/>
  <c r="AJ51" i="2" s="1"/>
  <c r="V83" i="2"/>
  <c r="AI83" i="2" s="1"/>
  <c r="AJ83" i="2" s="1"/>
  <c r="V115" i="2"/>
  <c r="AI115" i="2" s="1"/>
  <c r="AJ115" i="2" s="1"/>
  <c r="V147" i="2"/>
  <c r="AI147" i="2" s="1"/>
  <c r="AJ147" i="2" s="1"/>
  <c r="V179" i="2"/>
  <c r="AI179" i="2" s="1"/>
  <c r="AJ179" i="2" s="1"/>
  <c r="V211" i="2"/>
  <c r="AI211" i="2" s="1"/>
  <c r="AJ211" i="2" s="1"/>
  <c r="V243" i="2"/>
  <c r="AI243" i="2" s="1"/>
  <c r="AJ243" i="2" s="1"/>
  <c r="V275" i="2"/>
  <c r="AI275" i="2" s="1"/>
  <c r="AJ275" i="2" s="1"/>
  <c r="V307" i="2"/>
  <c r="AI307" i="2" s="1"/>
  <c r="AJ307" i="2" s="1"/>
  <c r="V339" i="2"/>
  <c r="AI339" i="2" s="1"/>
  <c r="AJ339" i="2" s="1"/>
  <c r="V371" i="2"/>
  <c r="AI371" i="2" s="1"/>
  <c r="AJ371" i="2" s="1"/>
  <c r="V403" i="2"/>
  <c r="AI403" i="2" s="1"/>
  <c r="AJ403" i="2" s="1"/>
  <c r="V435" i="2"/>
  <c r="AI435" i="2" s="1"/>
  <c r="AJ435" i="2" s="1"/>
  <c r="V467" i="2"/>
  <c r="AI467" i="2" s="1"/>
  <c r="AJ467" i="2" s="1"/>
  <c r="V499" i="2"/>
  <c r="AI499" i="2" s="1"/>
  <c r="AJ499" i="2" s="1"/>
  <c r="V531" i="2"/>
  <c r="AI531" i="2" s="1"/>
  <c r="AJ531" i="2" s="1"/>
  <c r="V563" i="2"/>
  <c r="AI563" i="2" s="1"/>
  <c r="AJ563" i="2" s="1"/>
  <c r="V595" i="2"/>
  <c r="AI595" i="2" s="1"/>
  <c r="AJ595" i="2" s="1"/>
  <c r="V627" i="2"/>
  <c r="AI627" i="2" s="1"/>
  <c r="AJ627" i="2" s="1"/>
  <c r="V659" i="2"/>
  <c r="AI659" i="2" s="1"/>
  <c r="AJ659" i="2" s="1"/>
  <c r="V691" i="2"/>
  <c r="AI691" i="2" s="1"/>
  <c r="AJ691" i="2" s="1"/>
  <c r="V723" i="2"/>
  <c r="AI723" i="2" s="1"/>
  <c r="AJ723" i="2" s="1"/>
  <c r="V755" i="2"/>
  <c r="AI755" i="2" s="1"/>
  <c r="AJ755" i="2" s="1"/>
  <c r="V787" i="2"/>
  <c r="AI787" i="2" s="1"/>
  <c r="AJ787" i="2" s="1"/>
  <c r="V819" i="2"/>
  <c r="AI819" i="2" s="1"/>
  <c r="AJ819" i="2" s="1"/>
  <c r="V851" i="2"/>
  <c r="AI851" i="2" s="1"/>
  <c r="AJ851" i="2" s="1"/>
  <c r="V883" i="2"/>
  <c r="AI883" i="2" s="1"/>
  <c r="AJ883" i="2" s="1"/>
  <c r="V915" i="2"/>
  <c r="AI915" i="2" s="1"/>
  <c r="AJ915" i="2" s="1"/>
  <c r="V947" i="2"/>
  <c r="AI947" i="2" s="1"/>
  <c r="AJ947" i="2" s="1"/>
  <c r="V979" i="2"/>
  <c r="AI979" i="2" s="1"/>
  <c r="AJ979" i="2" s="1"/>
  <c r="V1011" i="2"/>
  <c r="AI1011" i="2" s="1"/>
  <c r="AJ1011" i="2" s="1"/>
  <c r="V1043" i="2"/>
  <c r="AI1043" i="2" s="1"/>
  <c r="AJ1043" i="2" s="1"/>
  <c r="V1075" i="2"/>
  <c r="AI1075" i="2" s="1"/>
  <c r="AJ1075" i="2" s="1"/>
  <c r="V1107" i="2"/>
  <c r="AI1107" i="2" s="1"/>
  <c r="AJ1107" i="2" s="1"/>
  <c r="V1139" i="2"/>
  <c r="AI1139" i="2" s="1"/>
  <c r="AJ1139" i="2" s="1"/>
  <c r="V1171" i="2"/>
  <c r="AI1171" i="2" s="1"/>
  <c r="AJ1171" i="2" s="1"/>
  <c r="V1203" i="2"/>
  <c r="AI1203" i="2" s="1"/>
  <c r="AJ1203" i="2" s="1"/>
  <c r="V35" i="2"/>
  <c r="AI35" i="2" s="1"/>
  <c r="AJ35" i="2" s="1"/>
  <c r="V99" i="2"/>
  <c r="AI99" i="2" s="1"/>
  <c r="AJ99" i="2" s="1"/>
  <c r="V163" i="2"/>
  <c r="AI163" i="2" s="1"/>
  <c r="AJ163" i="2" s="1"/>
  <c r="V227" i="2"/>
  <c r="AI227" i="2" s="1"/>
  <c r="AJ227" i="2" s="1"/>
  <c r="V291" i="2"/>
  <c r="AI291" i="2" s="1"/>
  <c r="AJ291" i="2" s="1"/>
  <c r="V323" i="2"/>
  <c r="AI323" i="2" s="1"/>
  <c r="AJ323" i="2" s="1"/>
  <c r="V419" i="2"/>
  <c r="AI419" i="2" s="1"/>
  <c r="AJ419" i="2" s="1"/>
  <c r="V451" i="2"/>
  <c r="AI451" i="2" s="1"/>
  <c r="AJ451" i="2" s="1"/>
  <c r="V515" i="2"/>
  <c r="AI515" i="2" s="1"/>
  <c r="AJ515" i="2" s="1"/>
  <c r="V579" i="2"/>
  <c r="AI579" i="2" s="1"/>
  <c r="AJ579" i="2" s="1"/>
  <c r="V643" i="2"/>
  <c r="AI643" i="2" s="1"/>
  <c r="AJ643" i="2" s="1"/>
  <c r="V707" i="2"/>
  <c r="AI707" i="2" s="1"/>
  <c r="AJ707" i="2" s="1"/>
  <c r="V771" i="2"/>
  <c r="AI771" i="2" s="1"/>
  <c r="AJ771" i="2" s="1"/>
  <c r="V803" i="2"/>
  <c r="AI803" i="2" s="1"/>
  <c r="AJ803" i="2" s="1"/>
  <c r="V867" i="2"/>
  <c r="AI867" i="2" s="1"/>
  <c r="AJ867" i="2" s="1"/>
  <c r="V931" i="2"/>
  <c r="AI931" i="2" s="1"/>
  <c r="AJ931" i="2" s="1"/>
  <c r="V995" i="2"/>
  <c r="AI995" i="2" s="1"/>
  <c r="AJ995" i="2" s="1"/>
  <c r="V1059" i="2"/>
  <c r="AI1059" i="2" s="1"/>
  <c r="AJ1059" i="2" s="1"/>
  <c r="V1123" i="2"/>
  <c r="AI1123" i="2" s="1"/>
  <c r="AJ1123" i="2" s="1"/>
  <c r="V1155" i="2"/>
  <c r="AI1155" i="2" s="1"/>
  <c r="AJ1155" i="2" s="1"/>
  <c r="V1187" i="2"/>
  <c r="AI1187" i="2" s="1"/>
  <c r="AJ1187" i="2" s="1"/>
  <c r="V27" i="2"/>
  <c r="AI27" i="2" s="1"/>
  <c r="AJ27" i="2" s="1"/>
  <c r="V59" i="2"/>
  <c r="AI59" i="2" s="1"/>
  <c r="AJ59" i="2" s="1"/>
  <c r="V91" i="2"/>
  <c r="AI91" i="2" s="1"/>
  <c r="AJ91" i="2" s="1"/>
  <c r="V123" i="2"/>
  <c r="AI123" i="2" s="1"/>
  <c r="AJ123" i="2" s="1"/>
  <c r="V155" i="2"/>
  <c r="AI155" i="2" s="1"/>
  <c r="AJ155" i="2" s="1"/>
  <c r="V187" i="2"/>
  <c r="AI187" i="2" s="1"/>
  <c r="AJ187" i="2" s="1"/>
  <c r="V219" i="2"/>
  <c r="AI219" i="2" s="1"/>
  <c r="AJ219" i="2" s="1"/>
  <c r="V251" i="2"/>
  <c r="AI251" i="2" s="1"/>
  <c r="AJ251" i="2" s="1"/>
  <c r="V283" i="2"/>
  <c r="AI283" i="2" s="1"/>
  <c r="AJ283" i="2" s="1"/>
  <c r="V315" i="2"/>
  <c r="AI315" i="2" s="1"/>
  <c r="AJ315" i="2" s="1"/>
  <c r="V347" i="2"/>
  <c r="AI347" i="2" s="1"/>
  <c r="AJ347" i="2" s="1"/>
  <c r="V379" i="2"/>
  <c r="AI379" i="2" s="1"/>
  <c r="AJ379" i="2" s="1"/>
  <c r="V411" i="2"/>
  <c r="AI411" i="2" s="1"/>
  <c r="AJ411" i="2" s="1"/>
  <c r="V443" i="2"/>
  <c r="AI443" i="2" s="1"/>
  <c r="AJ443" i="2" s="1"/>
  <c r="V475" i="2"/>
  <c r="AI475" i="2" s="1"/>
  <c r="AJ475" i="2" s="1"/>
  <c r="V507" i="2"/>
  <c r="AI507" i="2" s="1"/>
  <c r="AJ507" i="2" s="1"/>
  <c r="V539" i="2"/>
  <c r="AI539" i="2" s="1"/>
  <c r="AJ539" i="2" s="1"/>
  <c r="V571" i="2"/>
  <c r="AI571" i="2" s="1"/>
  <c r="AJ571" i="2" s="1"/>
  <c r="V603" i="2"/>
  <c r="AI603" i="2" s="1"/>
  <c r="AJ603" i="2" s="1"/>
  <c r="V635" i="2"/>
  <c r="AI635" i="2" s="1"/>
  <c r="AJ635" i="2" s="1"/>
  <c r="V667" i="2"/>
  <c r="AI667" i="2" s="1"/>
  <c r="AJ667" i="2" s="1"/>
  <c r="V699" i="2"/>
  <c r="AI699" i="2" s="1"/>
  <c r="AJ699" i="2" s="1"/>
  <c r="V731" i="2"/>
  <c r="AI731" i="2" s="1"/>
  <c r="AJ731" i="2" s="1"/>
  <c r="V763" i="2"/>
  <c r="AI763" i="2" s="1"/>
  <c r="AJ763" i="2" s="1"/>
  <c r="V795" i="2"/>
  <c r="AI795" i="2" s="1"/>
  <c r="AJ795" i="2" s="1"/>
  <c r="V827" i="2"/>
  <c r="AI827" i="2" s="1"/>
  <c r="AJ827" i="2" s="1"/>
  <c r="V859" i="2"/>
  <c r="AI859" i="2" s="1"/>
  <c r="AJ859" i="2" s="1"/>
  <c r="V891" i="2"/>
  <c r="AI891" i="2" s="1"/>
  <c r="AJ891" i="2" s="1"/>
  <c r="V923" i="2"/>
  <c r="AI923" i="2" s="1"/>
  <c r="AJ923" i="2" s="1"/>
  <c r="V955" i="2"/>
  <c r="AI955" i="2" s="1"/>
  <c r="AJ955" i="2" s="1"/>
  <c r="V987" i="2"/>
  <c r="AI987" i="2" s="1"/>
  <c r="AJ987" i="2" s="1"/>
  <c r="V1019" i="2"/>
  <c r="AI1019" i="2" s="1"/>
  <c r="AJ1019" i="2" s="1"/>
  <c r="V1051" i="2"/>
  <c r="AI1051" i="2" s="1"/>
  <c r="AJ1051" i="2" s="1"/>
  <c r="V1083" i="2"/>
  <c r="AI1083" i="2" s="1"/>
  <c r="AJ1083" i="2" s="1"/>
  <c r="V1115" i="2"/>
  <c r="AI1115" i="2" s="1"/>
  <c r="AJ1115" i="2" s="1"/>
  <c r="V1147" i="2"/>
  <c r="AI1147" i="2" s="1"/>
  <c r="AJ1147" i="2" s="1"/>
  <c r="V1179" i="2"/>
  <c r="AI1179" i="2" s="1"/>
  <c r="AJ1179" i="2" s="1"/>
  <c r="V1211" i="2"/>
  <c r="AI1211" i="2" s="1"/>
  <c r="AJ1211" i="2" s="1"/>
  <c r="V3" i="2"/>
  <c r="AI3" i="2" s="1"/>
  <c r="AJ3" i="2" s="1"/>
  <c r="V67" i="2"/>
  <c r="AI67" i="2" s="1"/>
  <c r="AJ67" i="2" s="1"/>
  <c r="V131" i="2"/>
  <c r="AI131" i="2" s="1"/>
  <c r="AJ131" i="2" s="1"/>
  <c r="V195" i="2"/>
  <c r="AI195" i="2" s="1"/>
  <c r="AJ195" i="2" s="1"/>
  <c r="V259" i="2"/>
  <c r="AI259" i="2" s="1"/>
  <c r="AJ259" i="2" s="1"/>
  <c r="V355" i="2"/>
  <c r="AI355" i="2" s="1"/>
  <c r="AJ355" i="2" s="1"/>
  <c r="V387" i="2"/>
  <c r="AI387" i="2" s="1"/>
  <c r="AJ387" i="2" s="1"/>
  <c r="V483" i="2"/>
  <c r="AI483" i="2" s="1"/>
  <c r="AJ483" i="2" s="1"/>
  <c r="V547" i="2"/>
  <c r="AI547" i="2" s="1"/>
  <c r="AJ547" i="2" s="1"/>
  <c r="V611" i="2"/>
  <c r="AI611" i="2" s="1"/>
  <c r="AJ611" i="2" s="1"/>
  <c r="V675" i="2"/>
  <c r="AI675" i="2" s="1"/>
  <c r="AJ675" i="2" s="1"/>
  <c r="V739" i="2"/>
  <c r="AI739" i="2" s="1"/>
  <c r="AJ739" i="2" s="1"/>
  <c r="V835" i="2"/>
  <c r="AI835" i="2" s="1"/>
  <c r="AJ835" i="2" s="1"/>
  <c r="V899" i="2"/>
  <c r="AI899" i="2" s="1"/>
  <c r="AJ899" i="2" s="1"/>
  <c r="V963" i="2"/>
  <c r="AI963" i="2" s="1"/>
  <c r="AJ963" i="2" s="1"/>
  <c r="V1027" i="2"/>
  <c r="AI1027" i="2" s="1"/>
  <c r="AJ1027" i="2" s="1"/>
  <c r="V1091" i="2"/>
  <c r="AI1091" i="2" s="1"/>
  <c r="AJ1091" i="2" s="1"/>
  <c r="V1219" i="2"/>
  <c r="AI1219" i="2" s="1"/>
  <c r="AJ1219" i="2" s="1"/>
  <c r="V11" i="2"/>
  <c r="AI11" i="2" s="1"/>
  <c r="AJ11" i="2" s="1"/>
  <c r="V43" i="2"/>
  <c r="AI43" i="2" s="1"/>
  <c r="AJ43" i="2" s="1"/>
  <c r="V75" i="2"/>
  <c r="AI75" i="2" s="1"/>
  <c r="AJ75" i="2" s="1"/>
  <c r="V107" i="2"/>
  <c r="AI107" i="2" s="1"/>
  <c r="AJ107" i="2" s="1"/>
  <c r="V139" i="2"/>
  <c r="AI139" i="2" s="1"/>
  <c r="AJ139" i="2" s="1"/>
  <c r="V171" i="2"/>
  <c r="AI171" i="2" s="1"/>
  <c r="AJ171" i="2" s="1"/>
  <c r="V203" i="2"/>
  <c r="AI203" i="2" s="1"/>
  <c r="AJ203" i="2" s="1"/>
  <c r="V235" i="2"/>
  <c r="AI235" i="2" s="1"/>
  <c r="AJ235" i="2" s="1"/>
  <c r="V267" i="2"/>
  <c r="AI267" i="2" s="1"/>
  <c r="AJ267" i="2" s="1"/>
  <c r="V299" i="2"/>
  <c r="AI299" i="2" s="1"/>
  <c r="AJ299" i="2" s="1"/>
  <c r="V331" i="2"/>
  <c r="AI331" i="2" s="1"/>
  <c r="AJ331" i="2" s="1"/>
  <c r="V363" i="2"/>
  <c r="AI363" i="2" s="1"/>
  <c r="AJ363" i="2" s="1"/>
  <c r="V395" i="2"/>
  <c r="AI395" i="2" s="1"/>
  <c r="AJ395" i="2" s="1"/>
  <c r="V427" i="2"/>
  <c r="AI427" i="2" s="1"/>
  <c r="AJ427" i="2" s="1"/>
  <c r="V459" i="2"/>
  <c r="AI459" i="2" s="1"/>
  <c r="AJ459" i="2" s="1"/>
  <c r="V491" i="2"/>
  <c r="AI491" i="2" s="1"/>
  <c r="AJ491" i="2" s="1"/>
  <c r="V523" i="2"/>
  <c r="AI523" i="2" s="1"/>
  <c r="AJ523" i="2" s="1"/>
  <c r="V555" i="2"/>
  <c r="AI555" i="2" s="1"/>
  <c r="AJ555" i="2" s="1"/>
  <c r="V587" i="2"/>
  <c r="AI587" i="2" s="1"/>
  <c r="AJ587" i="2" s="1"/>
  <c r="V619" i="2"/>
  <c r="AI619" i="2" s="1"/>
  <c r="AJ619" i="2" s="1"/>
  <c r="V651" i="2"/>
  <c r="AI651" i="2" s="1"/>
  <c r="AJ651" i="2" s="1"/>
  <c r="V683" i="2"/>
  <c r="AI683" i="2" s="1"/>
  <c r="AJ683" i="2" s="1"/>
  <c r="V715" i="2"/>
  <c r="AI715" i="2" s="1"/>
  <c r="AJ715" i="2" s="1"/>
  <c r="V747" i="2"/>
  <c r="AI747" i="2" s="1"/>
  <c r="AJ747" i="2" s="1"/>
  <c r="V779" i="2"/>
  <c r="AI779" i="2" s="1"/>
  <c r="AJ779" i="2" s="1"/>
  <c r="V811" i="2"/>
  <c r="AI811" i="2" s="1"/>
  <c r="AJ811" i="2" s="1"/>
  <c r="V843" i="2"/>
  <c r="AI843" i="2" s="1"/>
  <c r="AJ843" i="2" s="1"/>
  <c r="V875" i="2"/>
  <c r="AI875" i="2" s="1"/>
  <c r="AJ875" i="2" s="1"/>
  <c r="V907" i="2"/>
  <c r="AI907" i="2" s="1"/>
  <c r="AJ907" i="2" s="1"/>
  <c r="V939" i="2"/>
  <c r="AI939" i="2" s="1"/>
  <c r="AJ939" i="2" s="1"/>
  <c r="V971" i="2"/>
  <c r="AI971" i="2" s="1"/>
  <c r="AJ971" i="2" s="1"/>
  <c r="V1003" i="2"/>
  <c r="AI1003" i="2" s="1"/>
  <c r="AJ1003" i="2" s="1"/>
  <c r="V1035" i="2"/>
  <c r="AI1035" i="2" s="1"/>
  <c r="AJ1035" i="2" s="1"/>
  <c r="V1067" i="2"/>
  <c r="AI1067" i="2" s="1"/>
  <c r="AJ1067" i="2" s="1"/>
  <c r="V1099" i="2"/>
  <c r="AI1099" i="2" s="1"/>
  <c r="AJ1099" i="2" s="1"/>
  <c r="V1131" i="2"/>
  <c r="AI1131" i="2" s="1"/>
  <c r="AJ1131" i="2" s="1"/>
  <c r="V1163" i="2"/>
  <c r="AI1163" i="2" s="1"/>
  <c r="AJ1163" i="2" s="1"/>
  <c r="V1195" i="2"/>
  <c r="AI1195" i="2" s="1"/>
  <c r="AJ1195" i="2" s="1"/>
  <c r="V1227" i="2"/>
  <c r="AI1227" i="2" s="1"/>
  <c r="AJ1227" i="2" s="1"/>
  <c r="AI2" i="2" l="1"/>
  <c r="AJ2" i="2" s="1"/>
  <c r="N2" i="1" s="1"/>
  <c r="N3" i="1" s="1"/>
</calcChain>
</file>

<file path=xl/connections.xml><?xml version="1.0" encoding="utf-8"?>
<connections xmlns="http://schemas.openxmlformats.org/spreadsheetml/2006/main">
  <connection id="1" name="nba ranking" type="6" refreshedVersion="6" background="1" saveData="1">
    <textPr sourceFile="C:\Users\John\Documents\nba ranking.csv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<sst xmlns="http://schemas.openxmlformats.org/spreadsheetml/2006/main" count="3851" uniqueCount="258">
  <si>
    <t>Team</t>
  </si>
  <si>
    <t>ORtg/A</t>
  </si>
  <si>
    <t>DRtg/A</t>
  </si>
  <si>
    <t>NRtg/A</t>
  </si>
  <si>
    <t>Los Angeles Clippers</t>
  </si>
  <si>
    <t>P</t>
  </si>
  <si>
    <t>San Antonio Spurs</t>
  </si>
  <si>
    <t>SW</t>
  </si>
  <si>
    <t>Cleveland Cavaliers</t>
  </si>
  <si>
    <t>C</t>
  </si>
  <si>
    <t>Golden State Warriors</t>
  </si>
  <si>
    <t>Atlanta Hawks</t>
  </si>
  <si>
    <t>SE</t>
  </si>
  <si>
    <t>Chicago Bulls</t>
  </si>
  <si>
    <t>Toronto Raptors</t>
  </si>
  <si>
    <t>A</t>
  </si>
  <si>
    <t>Charlotte Hornets</t>
  </si>
  <si>
    <t>Houston Rockets</t>
  </si>
  <si>
    <t>Oklahoma City Thunder</t>
  </si>
  <si>
    <t>NW</t>
  </si>
  <si>
    <t>Utah Jazz</t>
  </si>
  <si>
    <t>Miami Heat</t>
  </si>
  <si>
    <t>Minnesota Timberwolves</t>
  </si>
  <si>
    <t>Memphis Grizzlies</t>
  </si>
  <si>
    <t>Los Angeles Lakers</t>
  </si>
  <si>
    <t>Detroit Pistons</t>
  </si>
  <si>
    <t>Boston Celtics</t>
  </si>
  <si>
    <t>Denver Nuggets</t>
  </si>
  <si>
    <t>Washington Wizards</t>
  </si>
  <si>
    <t>Sacramento Kings</t>
  </si>
  <si>
    <t>Milwaukee Bucks</t>
  </si>
  <si>
    <t>New York Knicks</t>
  </si>
  <si>
    <t>Portland Trail Blazers</t>
  </si>
  <si>
    <t>Indiana Pacers</t>
  </si>
  <si>
    <t>New Orleans Pelicans</t>
  </si>
  <si>
    <t>Brooklyn Nets</t>
  </si>
  <si>
    <t>Phoenix Suns</t>
  </si>
  <si>
    <t>Dallas Mavericks</t>
  </si>
  <si>
    <t>Orlando Magic</t>
  </si>
  <si>
    <t>Philadelphia 76ers</t>
  </si>
  <si>
    <t>Date</t>
  </si>
  <si>
    <t>Visitor/Neutral</t>
  </si>
  <si>
    <t>Home/Neutral</t>
  </si>
  <si>
    <t>Tue Oct 25 2016</t>
  </si>
  <si>
    <t>Wed Oct 26 2016</t>
  </si>
  <si>
    <t>Thu Oct 27 2016</t>
  </si>
  <si>
    <t>Fri Oct 28 2016</t>
  </si>
  <si>
    <t>Sat Oct 29 2016</t>
  </si>
  <si>
    <t>Sun Oct 30 2016</t>
  </si>
  <si>
    <t>Mon Oct 31 2016</t>
  </si>
  <si>
    <t>Tue Nov 1 2016</t>
  </si>
  <si>
    <t>Wed Nov 2 2016</t>
  </si>
  <si>
    <t>Thu Nov 3 2016</t>
  </si>
  <si>
    <t>Fri Nov 4 2016</t>
  </si>
  <si>
    <t>Sat Nov 5 2016</t>
  </si>
  <si>
    <t>Sun Nov 6 2016</t>
  </si>
  <si>
    <t>Mon Nov 7 2016</t>
  </si>
  <si>
    <t>Tue Nov 8 2016</t>
  </si>
  <si>
    <t>Wed Nov 9 2016</t>
  </si>
  <si>
    <t>Thu Nov 10 2016</t>
  </si>
  <si>
    <t>Fri Nov 11 2016</t>
  </si>
  <si>
    <t>Sat Nov 12 2016</t>
  </si>
  <si>
    <t>Sun Nov 13 2016</t>
  </si>
  <si>
    <t>Mon Nov 14 2016</t>
  </si>
  <si>
    <t>Tue Nov 15 2016</t>
  </si>
  <si>
    <t>Wed Nov 16 2016</t>
  </si>
  <si>
    <t>Thu Nov 17 2016</t>
  </si>
  <si>
    <t>Fri Nov 18 2016</t>
  </si>
  <si>
    <t>Sat Nov 19 2016</t>
  </si>
  <si>
    <t>Sun Nov 20 2016</t>
  </si>
  <si>
    <t>Mon Nov 21 2016</t>
  </si>
  <si>
    <t>Tue Nov 22 2016</t>
  </si>
  <si>
    <t>Wed Nov 23 2016</t>
  </si>
  <si>
    <t>Fri Nov 25 2016</t>
  </si>
  <si>
    <t>Sat Nov 26 2016</t>
  </si>
  <si>
    <t>Sun Nov 27 2016</t>
  </si>
  <si>
    <t>Mon Nov 28 2016</t>
  </si>
  <si>
    <t>Tue Nov 29 2016</t>
  </si>
  <si>
    <t>Wed Nov 30 2016</t>
  </si>
  <si>
    <t>Thu Dec 1 2016</t>
  </si>
  <si>
    <t>Fri Dec 2 2016</t>
  </si>
  <si>
    <t>Sat Dec 3 2016</t>
  </si>
  <si>
    <t>Sun Dec 4 2016</t>
  </si>
  <si>
    <t>Mon Dec 5 2016</t>
  </si>
  <si>
    <t>Tue Dec 6 2016</t>
  </si>
  <si>
    <t>Wed Dec 7 2016</t>
  </si>
  <si>
    <t>Thu Dec 8 2016</t>
  </si>
  <si>
    <t>Fri Dec 9 2016</t>
  </si>
  <si>
    <t>Sat Dec 10 2016</t>
  </si>
  <si>
    <t>Sun Dec 11 2016</t>
  </si>
  <si>
    <t>Mon Dec 12 2016</t>
  </si>
  <si>
    <t>Tue Dec 13 2016</t>
  </si>
  <si>
    <t>Wed Dec 14 2016</t>
  </si>
  <si>
    <t>Thu Dec 15 2016</t>
  </si>
  <si>
    <t>Fri Dec 16 2016</t>
  </si>
  <si>
    <t>Sat Dec 17 2016</t>
  </si>
  <si>
    <t>Sun Dec 18 2016</t>
  </si>
  <si>
    <t>Mon Dec 19 2016</t>
  </si>
  <si>
    <t>Tue Dec 20 2016</t>
  </si>
  <si>
    <t>Wed Dec 21 2016</t>
  </si>
  <si>
    <t>Thu Dec 22 2016</t>
  </si>
  <si>
    <t>Fri Dec 23 2016</t>
  </si>
  <si>
    <t>Sun Dec 25 2016</t>
  </si>
  <si>
    <t>Mon Dec 26 2016</t>
  </si>
  <si>
    <t>Tue Dec 27 2016</t>
  </si>
  <si>
    <t>Wed Dec 28 2016</t>
  </si>
  <si>
    <t>Thu Dec 29 2016</t>
  </si>
  <si>
    <t>Fri Dec 30 2016</t>
  </si>
  <si>
    <t>Sat Dec 31 2016</t>
  </si>
  <si>
    <t>Sun Jan 1 2017</t>
  </si>
  <si>
    <t>Mon Jan 2 2017</t>
  </si>
  <si>
    <t>Tue Jan 3 2017</t>
  </si>
  <si>
    <t>Wed Jan 4 2017</t>
  </si>
  <si>
    <t>Thu Jan 5 2017</t>
  </si>
  <si>
    <t>Fri Jan 6 2017</t>
  </si>
  <si>
    <t>Sat Jan 7 2017</t>
  </si>
  <si>
    <t>Sun Jan 8 2017</t>
  </si>
  <si>
    <t>Mon Jan 9 2017</t>
  </si>
  <si>
    <t>Tue Jan 10 2017</t>
  </si>
  <si>
    <t>Wed Jan 11 2017</t>
  </si>
  <si>
    <t>Thu Jan 12 2017</t>
  </si>
  <si>
    <t>Fri Jan 13 2017</t>
  </si>
  <si>
    <t>Sat Jan 14 2017</t>
  </si>
  <si>
    <t>Sun Jan 15 2017</t>
  </si>
  <si>
    <t>Mon Jan 16 2017</t>
  </si>
  <si>
    <t>Tue Jan 17 2017</t>
  </si>
  <si>
    <t>Wed Jan 18 2017</t>
  </si>
  <si>
    <t>Thu Jan 19 2017</t>
  </si>
  <si>
    <t>Fri Jan 20 2017</t>
  </si>
  <si>
    <t>Sat Jan 21 2017</t>
  </si>
  <si>
    <t>Sun Jan 22 2017</t>
  </si>
  <si>
    <t>Mon Jan 23 2017</t>
  </si>
  <si>
    <t>Tue Jan 24 2017</t>
  </si>
  <si>
    <t>Wed Jan 25 2017</t>
  </si>
  <si>
    <t>Thu Jan 26 2017</t>
  </si>
  <si>
    <t>Fri Jan 27 2017</t>
  </si>
  <si>
    <t>Sat Jan 28 2017</t>
  </si>
  <si>
    <t>Sun Jan 29 2017</t>
  </si>
  <si>
    <t>Mon Jan 30 2017</t>
  </si>
  <si>
    <t>Tue Jan 31 2017</t>
  </si>
  <si>
    <t>Wed Feb 1 2017</t>
  </si>
  <si>
    <t>Thu Feb 2 2017</t>
  </si>
  <si>
    <t>Fri Feb 3 2017</t>
  </si>
  <si>
    <t>Sat Feb 4 2017</t>
  </si>
  <si>
    <t>Sun Feb 5 2017</t>
  </si>
  <si>
    <t>Mon Feb 6 2017</t>
  </si>
  <si>
    <t>Tue Feb 7 2017</t>
  </si>
  <si>
    <t>Wed Feb 8 2017</t>
  </si>
  <si>
    <t>Thu Feb 9 2017</t>
  </si>
  <si>
    <t>Fri Feb 10 2017</t>
  </si>
  <si>
    <t>Sat Feb 11 2017</t>
  </si>
  <si>
    <t>Sun Feb 12 2017</t>
  </si>
  <si>
    <t>Mon Feb 13 2017</t>
  </si>
  <si>
    <t>Tue Feb 14 2017</t>
  </si>
  <si>
    <t>Wed Feb 15 2017</t>
  </si>
  <si>
    <t>Thu Feb 16 2017</t>
  </si>
  <si>
    <t>Thu Feb 23 2017</t>
  </si>
  <si>
    <t>Fri Feb 24 2017</t>
  </si>
  <si>
    <t>Sat Feb 25 2017</t>
  </si>
  <si>
    <t>Sun Feb 26 2017</t>
  </si>
  <si>
    <t>Mon Feb 27 2017</t>
  </si>
  <si>
    <t>Tue Feb 28 2017</t>
  </si>
  <si>
    <t>Wed Mar 1 2017</t>
  </si>
  <si>
    <t>Thu Mar 2 2017</t>
  </si>
  <si>
    <t>Fri Mar 3 2017</t>
  </si>
  <si>
    <t>Sat Mar 4 2017</t>
  </si>
  <si>
    <t>Sun Mar 5 2017</t>
  </si>
  <si>
    <t>Mon Mar 6 2017</t>
  </si>
  <si>
    <t>Tue Mar 7 2017</t>
  </si>
  <si>
    <t>Wed Mar 8 2017</t>
  </si>
  <si>
    <t>Thu Mar 9 2017</t>
  </si>
  <si>
    <t>Fri Mar 10 2017</t>
  </si>
  <si>
    <t>Sat Mar 11 2017</t>
  </si>
  <si>
    <t>Sun Mar 12 2017</t>
  </si>
  <si>
    <t>Mon Mar 13 2017</t>
  </si>
  <si>
    <t>Tue Mar 14 2017</t>
  </si>
  <si>
    <t>Wed Mar 15 2017</t>
  </si>
  <si>
    <t>Thu Mar 16 2017</t>
  </si>
  <si>
    <t>Fri Mar 17 2017</t>
  </si>
  <si>
    <t>Sat Mar 18 2017</t>
  </si>
  <si>
    <t>Sun Mar 19 2017</t>
  </si>
  <si>
    <t>Mon Mar 20 2017</t>
  </si>
  <si>
    <t>Tue Mar 21 2017</t>
  </si>
  <si>
    <t>Wed Mar 22 2017</t>
  </si>
  <si>
    <t>Thu Mar 23 2017</t>
  </si>
  <si>
    <t>Fri Mar 24 2017</t>
  </si>
  <si>
    <t>Sat Mar 25 2017</t>
  </si>
  <si>
    <t>Sun Mar 26 2017</t>
  </si>
  <si>
    <t>Mon Mar 27 2017</t>
  </si>
  <si>
    <t>Tue Mar 28 2017</t>
  </si>
  <si>
    <t>Wed Mar 29 2017</t>
  </si>
  <si>
    <t>Thu Mar 30 2017</t>
  </si>
  <si>
    <t>Fri Mar 31 2017</t>
  </si>
  <si>
    <t>Sat Apr 1 2017</t>
  </si>
  <si>
    <t>Sun Apr 2 2017</t>
  </si>
  <si>
    <t>Tue Apr 4 2017</t>
  </si>
  <si>
    <t>Wed Apr 5 2017</t>
  </si>
  <si>
    <t>Thu Apr 6 2017</t>
  </si>
  <si>
    <t>Fri Apr 7 2017</t>
  </si>
  <si>
    <t>Sat Apr 8 2017</t>
  </si>
  <si>
    <t>Sun Apr 9 2017</t>
  </si>
  <si>
    <t>Mon Apr 10 2017</t>
  </si>
  <si>
    <t>Tue Apr 11 2017</t>
  </si>
  <si>
    <t>Wed Apr 12 2017</t>
  </si>
  <si>
    <t>Home Pts</t>
  </si>
  <si>
    <t>Away Pts</t>
  </si>
  <si>
    <t>Total</t>
  </si>
  <si>
    <t>Spread</t>
  </si>
  <si>
    <t>Home Edge</t>
  </si>
  <si>
    <t>(A) Win</t>
  </si>
  <si>
    <t>(A) Spread</t>
  </si>
  <si>
    <t>(A) Err</t>
  </si>
  <si>
    <t>(A) Sqr Err</t>
  </si>
  <si>
    <t>SSE</t>
  </si>
  <si>
    <t>(A)</t>
  </si>
  <si>
    <t>Home EV</t>
  </si>
  <si>
    <t>Away Pace</t>
  </si>
  <si>
    <t>Home Pace</t>
  </si>
  <si>
    <t>Away EV</t>
  </si>
  <si>
    <t>Def Diff</t>
  </si>
  <si>
    <t>Pace</t>
  </si>
  <si>
    <t>Division</t>
  </si>
  <si>
    <t>Wins (A)</t>
  </si>
  <si>
    <t>Games (A)</t>
  </si>
  <si>
    <t>(A) %</t>
  </si>
  <si>
    <t>Off Diff</t>
  </si>
  <si>
    <t>Divisional</t>
  </si>
  <si>
    <t>Home</t>
  </si>
  <si>
    <t>Away</t>
  </si>
  <si>
    <t>EV</t>
  </si>
  <si>
    <t>Side</t>
  </si>
  <si>
    <t>A%</t>
  </si>
  <si>
    <t>Wins EV</t>
  </si>
  <si>
    <t>Games EV</t>
  </si>
  <si>
    <t>EV Err</t>
  </si>
  <si>
    <t>EV Sqr Err</t>
  </si>
  <si>
    <t>EV Win</t>
  </si>
  <si>
    <t>Real EV</t>
  </si>
  <si>
    <t>(A) Diff</t>
  </si>
  <si>
    <t>EV Diff</t>
  </si>
  <si>
    <t>Real (A) Diff</t>
  </si>
  <si>
    <t>Real EV Diff</t>
  </si>
  <si>
    <t>Team (A)</t>
  </si>
  <si>
    <t>Team EV</t>
  </si>
  <si>
    <t>Home EV ®</t>
  </si>
  <si>
    <t>Away EV ®</t>
  </si>
  <si>
    <t>Total EV ®</t>
  </si>
  <si>
    <t>Do a MACD</t>
  </si>
  <si>
    <t>A short term training chance</t>
  </si>
  <si>
    <t>A long term trailing chance</t>
  </si>
  <si>
    <t>Spread (V)</t>
  </si>
  <si>
    <t>Winnings</t>
  </si>
  <si>
    <t>Total (V)</t>
  </si>
  <si>
    <t>O/U</t>
  </si>
  <si>
    <t>ERR</t>
  </si>
  <si>
    <t>Home Win</t>
  </si>
  <si>
    <t>Away Win</t>
  </si>
  <si>
    <t>Total 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</si>
</sst>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167" formatCode="0.0"/>
    <numFmt numFmtId="168" formatCode="0.0%"/>
    <numFmt numFmtId="178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gradientFill degree="180">
        <stop position="0">
          <color theme="5" tint="0.40000610370189521"/>
        </stop>
        <stop position="1">
          <color theme="8" tint="0.40000610370189521"/>
        </stop>
      </gradient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167" fontId="1" fillId="5" borderId="0"/>
    <xf numFmtId="167" fontId="1" fillId="4" borderId="0"/>
    <xf numFmtId="167" fontId="1" fillId="6" borderId="0"/>
  </cellStyleXfs>
  <cellXfs count="69">
    <xf numFmtId="0" fontId="0" fillId="0" borderId="0" xfId="0"/>
    <xf numFmtId="2" fontId="0" fillId="0" borderId="0" xfId="0" applyNumberFormat="1"/>
    <xf numFmtId="167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Border="1"/>
    <xf numFmtId="2" fontId="0" fillId="0" borderId="0" xfId="0" applyNumberFormat="1" applyBorder="1"/>
    <xf numFmtId="0" fontId="0" fillId="0" borderId="2" xfId="0" applyBorder="1"/>
    <xf numFmtId="2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7" fontId="0" fillId="0" borderId="1" xfId="0" applyNumberFormat="1" applyBorder="1"/>
    <xf numFmtId="167" fontId="0" fillId="0" borderId="0" xfId="0" applyNumberFormat="1" applyBorder="1"/>
    <xf numFmtId="167" fontId="0" fillId="0" borderId="2" xfId="0" applyNumberFormat="1" applyBorder="1"/>
    <xf numFmtId="168" fontId="0" fillId="0" borderId="0" xfId="2" applyNumberFormat="1" applyFont="1"/>
    <xf numFmtId="9" fontId="0" fillId="0" borderId="0" xfId="2" applyNumberFormat="1" applyFont="1"/>
    <xf numFmtId="168" fontId="0" fillId="0" borderId="0" xfId="0" applyNumberFormat="1" applyFont="1"/>
    <xf numFmtId="9" fontId="0" fillId="0" borderId="0" xfId="0" applyNumberFormat="1" applyFont="1"/>
    <xf numFmtId="0" fontId="0" fillId="0" borderId="0" xfId="0" applyNumberFormat="1"/>
    <xf numFmtId="0" fontId="0" fillId="0" borderId="1" xfId="0" applyNumberFormat="1" applyBorder="1"/>
    <xf numFmtId="0" fontId="0" fillId="0" borderId="6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1" fontId="0" fillId="0" borderId="0" xfId="0" applyNumberFormat="1"/>
    <xf numFmtId="1" fontId="0" fillId="0" borderId="1" xfId="0" applyNumberFormat="1" applyBorder="1"/>
    <xf numFmtId="1" fontId="0" fillId="0" borderId="0" xfId="0" applyNumberFormat="1" applyBorder="1"/>
    <xf numFmtId="1" fontId="0" fillId="0" borderId="2" xfId="0" applyNumberFormat="1" applyBorder="1"/>
    <xf numFmtId="167" fontId="0" fillId="0" borderId="6" xfId="0" applyNumberFormat="1" applyBorder="1"/>
    <xf numFmtId="0" fontId="0" fillId="0" borderId="0" xfId="0" applyNumberFormat="1" applyBorder="1"/>
    <xf numFmtId="167" fontId="0" fillId="0" borderId="3" xfId="0" applyNumberFormat="1" applyBorder="1"/>
    <xf numFmtId="167" fontId="1" fillId="5" borderId="0" xfId="5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/>
    <xf numFmtId="178" fontId="0" fillId="0" borderId="0" xfId="1" applyNumberFormat="1" applyFont="1"/>
    <xf numFmtId="167" fontId="1" fillId="5" borderId="1" xfId="5" applyBorder="1"/>
    <xf numFmtId="0" fontId="0" fillId="0" borderId="1" xfId="0" applyFont="1" applyBorder="1"/>
    <xf numFmtId="0" fontId="0" fillId="0" borderId="4" xfId="0" applyFont="1" applyBorder="1"/>
    <xf numFmtId="1" fontId="0" fillId="0" borderId="1" xfId="0" applyNumberFormat="1" applyFont="1" applyBorder="1"/>
    <xf numFmtId="167" fontId="0" fillId="0" borderId="1" xfId="0" applyNumberFormat="1" applyFont="1" applyBorder="1"/>
    <xf numFmtId="0" fontId="0" fillId="0" borderId="4" xfId="0" applyFont="1" applyBorder="1" applyAlignment="1">
      <alignment horizontal="center"/>
    </xf>
    <xf numFmtId="0" fontId="0" fillId="0" borderId="1" xfId="0" applyNumberFormat="1" applyFont="1" applyBorder="1"/>
    <xf numFmtId="0" fontId="0" fillId="0" borderId="6" xfId="0" applyNumberFormat="1" applyFont="1" applyBorder="1"/>
    <xf numFmtId="2" fontId="0" fillId="0" borderId="4" xfId="0" applyNumberFormat="1" applyFont="1" applyBorder="1"/>
    <xf numFmtId="2" fontId="0" fillId="0" borderId="1" xfId="0" applyNumberFormat="1" applyFont="1" applyBorder="1"/>
    <xf numFmtId="0" fontId="0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7" fontId="1" fillId="4" borderId="3" xfId="6" applyBorder="1" applyAlignment="1">
      <alignment horizontal="center"/>
    </xf>
    <xf numFmtId="0" fontId="0" fillId="0" borderId="0" xfId="2" applyNumberFormat="1" applyFont="1"/>
    <xf numFmtId="0" fontId="2" fillId="2" borderId="0" xfId="3"/>
    <xf numFmtId="0" fontId="2" fillId="2" borderId="3" xfId="3" applyBorder="1"/>
    <xf numFmtId="1" fontId="2" fillId="2" borderId="0" xfId="3" applyNumberFormat="1"/>
    <xf numFmtId="0" fontId="2" fillId="2" borderId="0" xfId="3" applyBorder="1"/>
    <xf numFmtId="167" fontId="2" fillId="2" borderId="0" xfId="3" applyNumberFormat="1"/>
    <xf numFmtId="0" fontId="2" fillId="2" borderId="1" xfId="3" applyBorder="1"/>
    <xf numFmtId="0" fontId="2" fillId="2" borderId="4" xfId="3" applyBorder="1"/>
    <xf numFmtId="1" fontId="2" fillId="2" borderId="1" xfId="3" applyNumberFormat="1" applyBorder="1"/>
    <xf numFmtId="167" fontId="2" fillId="2" borderId="1" xfId="3" applyNumberFormat="1" applyBorder="1"/>
    <xf numFmtId="0" fontId="3" fillId="3" borderId="0" xfId="4"/>
    <xf numFmtId="0" fontId="3" fillId="3" borderId="3" xfId="4" applyBorder="1"/>
    <xf numFmtId="1" fontId="3" fillId="3" borderId="0" xfId="4" applyNumberFormat="1"/>
    <xf numFmtId="0" fontId="3" fillId="3" borderId="0" xfId="4" applyBorder="1"/>
    <xf numFmtId="167" fontId="3" fillId="3" borderId="0" xfId="4" applyNumberFormat="1"/>
  </cellXfs>
  <cellStyles count="8">
    <cellStyle name="Bad" xfId="4" builtinId="27"/>
    <cellStyle name="Currency" xfId="1" builtinId="4"/>
    <cellStyle name="Good" xfId="3" builtinId="26"/>
    <cellStyle name="Injured" xfId="6"/>
    <cellStyle name="Normal" xfId="0" builtinId="0"/>
    <cellStyle name="Percent" xfId="2" builtinId="5"/>
    <cellStyle name="Tired" xfId="5"/>
    <cellStyle name="Tired/Injured" xfId="7"/>
  </cellStyles>
  <dxfs count="82"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8" formatCode="&quot;$&quot;#,##0.0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13" formatCode="0%"/>
    </dxf>
    <dxf>
      <border diagonalUp="0" diagonalDown="0" outline="0">
        <left/>
        <right/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numFmt numFmtId="167" formatCode="0.0"/>
    </dxf>
    <dxf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</dxf>
    <dxf>
      <border diagonalUp="0" diagonalDown="0" outline="0">
        <left style="medium">
          <color indexed="64"/>
        </left>
        <right/>
        <top/>
        <bottom/>
      </border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67" formatCode="0.0"/>
      <border diagonalUp="0" diagonalDown="0" outline="0">
        <left style="medium">
          <color indexed="64"/>
        </left>
        <right/>
        <top/>
        <bottom/>
      </border>
    </dxf>
    <dxf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</dxf>
    <dxf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</dxf>
    <dxf>
      <numFmt numFmtId="1" formatCode="0"/>
    </dxf>
    <dxf>
      <numFmt numFmtId="1" formatCode="0"/>
    </dxf>
    <dxf>
      <numFmt numFmtId="0" formatCode="General"/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numFmt numFmtId="1" formatCode="0"/>
    </dxf>
    <dxf>
      <numFmt numFmtId="167" formatCode="0.0"/>
    </dxf>
    <dxf>
      <numFmt numFmtId="167" formatCode="0.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7" formatCode="0.0"/>
    </dxf>
    <dxf>
      <numFmt numFmtId="0" formatCode="General"/>
    </dxf>
    <dxf>
      <numFmt numFmtId="0" formatCode="General"/>
      <border outline="0">
        <right style="medium">
          <color indexed="64"/>
        </righ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0.0"/>
    </dxf>
    <dxf>
      <numFmt numFmtId="0" formatCode="General"/>
    </dxf>
    <dxf>
      <border diagonalUp="0" diagonalDown="0">
        <left style="medium">
          <color indexed="64"/>
        </left>
        <right/>
        <vertical/>
      </border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border diagonalUp="0" diagonalDown="0">
        <left style="medium">
          <color indexed="64"/>
        </left>
        <right/>
        <vertical/>
      </border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167" formatCode="0.0"/>
    </dxf>
    <dxf>
      <numFmt numFmtId="178" formatCode="&quot;$&quot;#,##0.0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nba ranking_1" connectionId="1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2" name="Table2" displayName="Table2" ref="A1:AL1232" totalsRowCount="1">
  <autoFilter ref="A1:AL1231"/>
  <tableColumns count="38">
    <tableColumn id="1" name="Date" totalsRowLabel="Total"/>
    <tableColumn id="2" name="Home/Neutral"/>
    <tableColumn id="3" name="Visitor/Neutral"/>
    <tableColumn id="38" name="Home Win" totalsRowFunction="custom" dataDxfId="43" totalsRowDxfId="29">
      <calculatedColumnFormula>IF(Table2[[#This Row],[Spread]]&lt;Table2[[#This Row],[Spread (V)]],1,0)</calculatedColumnFormula>
      <totalsRowFormula>SUM(Table2[Home Win])/COUNT(Table2[Home Win])</totalsRowFormula>
    </tableColumn>
    <tableColumn id="4" name="Home Pts" totalsRowFunction="average" totalsRowDxfId="28"/>
    <tableColumn id="37" name="Away Win" totalsRowFunction="custom" dataDxfId="42" totalsRowDxfId="27">
      <calculatedColumnFormula>IF(Table2[[#This Row],[Spread]]&gt;Table2[[#This Row],[Spread (V)]],1,0)</calculatedColumnFormula>
      <totalsRowFormula>SUM(Table2[Away Win])/COUNT(Table2[Away Win])</totalsRowFormula>
    </tableColumn>
    <tableColumn id="5" name="Away Pts" totalsRowFunction="average" totalsRowDxfId="26"/>
    <tableColumn id="6" name="Total" totalsRowFunction="average" dataDxfId="64" totalsRowDxfId="25">
      <calculatedColumnFormula>E2+G2</calculatedColumnFormula>
    </tableColumn>
    <tableColumn id="7" name="Total (V)" totalsRowFunction="average" totalsRowDxfId="24"/>
    <tableColumn id="33" name="Home EV ®" totalsRowFunction="average"/>
    <tableColumn id="19" name="Home EV" totalsRowFunction="average" dataDxfId="63" totalsRowDxfId="23">
      <calculatedColumnFormula>(Table2[[#This Row],[Home Pace]]/100)*(VLOOKUP(Table2[[#This Row],[Home/Neutral]],home_lookup,8,FALSE)+VLOOKUP(Table2[[#This Row],[Home/Neutral]],OFR_lookup,2,FALSE)+VLOOKUP(Table2[[#This Row],[Visitor/Neutral]],def_diff_lookup,6,FALSE))</calculatedColumnFormula>
    </tableColumn>
    <tableColumn id="34" name="Away EV ®" totalsRowFunction="average" dataDxfId="62" totalsRowDxfId="22"/>
    <tableColumn id="18" name="Away EV" totalsRowFunction="average" dataDxfId="31" totalsRowDxfId="21">
      <calculatedColumnFormula>(Table2[[#This Row],[Away Pace]]/100)*(VLOOKUP(Table2[[#This Row],[Visitor/Neutral]],OFR_lookup,2,FALSE)+VLOOKUP(Table2[[#This Row],[Home/Neutral]],def_diff_lookup,6,FALSE))</calculatedColumnFormula>
    </tableColumn>
    <tableColumn id="39" name="Total Win" totalsRowFunction="custom" dataDxfId="32" totalsRowDxfId="20" totalsRowCellStyle="Percent">
      <calculatedColumnFormula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calculatedColumnFormula>
      <totalsRowFormula>SUM(Table2[Total Win])/COUNT(Table2[Total Win])</totalsRowFormula>
    </tableColumn>
    <tableColumn id="35" name="Total EV ®" totalsRowFunction="average" dataDxfId="30" totalsRowDxfId="19">
      <calculatedColumnFormula>Table2[[#This Row],[Home EV ®]]+Table2[[#This Row],[Away EV ®]]</calculatedColumnFormula>
    </tableColumn>
    <tableColumn id="16" name="Home Pace" dataDxfId="61">
      <calculatedColumnFormula>VLOOKUP(Table2[[#This Row],[Home/Neutral]],pace_lookup,7,FALSE)</calculatedColumnFormula>
    </tableColumn>
    <tableColumn id="15" name="Away Pace" dataDxfId="60" totalsRowDxfId="18">
      <calculatedColumnFormula>VLOOKUP(Table2[[#This Row],[Visitor/Neutral]],pace_lookup,7,FALSE)</calculatedColumnFormula>
    </tableColumn>
    <tableColumn id="8" name="Spread" totalsRowFunction="average" dataDxfId="59" totalsRowDxfId="4">
      <calculatedColumnFormula>G2-E2</calculatedColumnFormula>
    </tableColumn>
    <tableColumn id="9" name="Spread (V)" totalsRowFunction="average" totalsRowDxfId="3"/>
    <tableColumn id="10" name="(A) Win" totalsRowFunction="average" dataDxfId="58" totalsRowDxfId="17">
      <calculatedColumnFormula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calculatedColumnFormula>
    </tableColumn>
    <tableColumn id="11" name="(A) Spread" totalsRowFunction="average" totalsRowDxfId="2"/>
    <tableColumn id="12" name="(A)" dataDxfId="41" totalsRowDxfId="1">
      <calculatedColumnFormula>-home-VLOOKUP(Table2[[#This Row],[Home/Neutral]],rtg_vlookup,4,FALSE)+VLOOKUP(Table2[[#This Row],[Visitor/Neutral]],rtg_vlookup,4,FALSE)</calculatedColumnFormula>
    </tableColumn>
    <tableColumn id="28" name="EV Win" totalsRowFunction="custom" dataDxfId="39" totalsRowDxfId="16">
      <calculatedColumnFormula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calculatedColumnFormula>
      <totalsRowFormula>SUM(Table2[EV Win])/COUNT(Table2[EV Win])</totalsRowFormula>
    </tableColumn>
    <tableColumn id="27" name="Real EV" totalsRowFunction="average" dataDxfId="40" totalsRowDxfId="0"/>
    <tableColumn id="24" name="EV" dataDxfId="57">
      <calculatedColumnFormula>Table2[[#This Row],[Away EV]]-Table2[[#This Row],[Home EV]]</calculatedColumnFormula>
    </tableColumn>
    <tableColumn id="20" name="Team (A)" dataDxfId="56">
      <calculatedColumnFormula>IF(Table2[[#This Row],[Spread (V)]]&lt;Table2[[#This Row],[(A) Spread]],home,AWAY)</calculatedColumnFormula>
    </tableColumn>
    <tableColumn id="32" name="Team EV" dataDxfId="55">
      <calculatedColumnFormula>IF(Table2[[#This Row],[Spread (V)]]&gt;Table2[[#This Row],[(A) Spread]],"HOME","AWAY")</calculatedColumnFormula>
    </tableColumn>
    <tableColumn id="21" name="Divisional" dataDxfId="54">
      <calculatedColumnFormula>IF(VLOOKUP(Table2[[#This Row],[Home/Neutral]],division_lookup,9,FALSE)=VLOOKUP(Table2[[#This Row],[Visitor/Neutral]],division_lookup,9,FALSE),TRUE,FALSE)</calculatedColumnFormula>
    </tableColumn>
    <tableColumn id="22" name="Division" dataDxfId="53">
      <calculatedColumnFormula>VLOOKUP(Table2[[#This Row],[Home/Neutral]],division_lookup,9,FALSE)</calculatedColumnFormula>
    </tableColumn>
    <tableColumn id="30" name="Real (A) Diff" dataDxfId="52"/>
    <tableColumn id="36" name="O/U" dataDxfId="51">
      <calculatedColumnFormula>IF(Table2[[#This Row],[Total EV ®]]&lt;Table2[[#This Row],[Total (V)]],"UNDER","OVER")</calculatedColumnFormula>
    </tableColumn>
    <tableColumn id="23" name="(A) Diff" dataDxfId="50">
      <calculatedColumnFormula>Table2[[#This Row],[(A) Spread]]-Table2[[#This Row],[Spread (V)]]</calculatedColumnFormula>
    </tableColumn>
    <tableColumn id="31" name="Real EV Diff" dataDxfId="49" totalsRowDxfId="15"/>
    <tableColumn id="29" name="EV Diff" dataDxfId="48" totalsRowDxfId="14">
      <calculatedColumnFormula>Table2[[#This Row],[EV]]-Table2[[#This Row],[Spread (V)]]</calculatedColumnFormula>
    </tableColumn>
    <tableColumn id="13" name="(A) Err" dataDxfId="47" totalsRowDxfId="13">
      <calculatedColumnFormula>Table2[[#This Row],[(A)]]-Table2[[#This Row],[Spread]]</calculatedColumnFormula>
    </tableColumn>
    <tableColumn id="14" name="(A) Sqr Err" dataDxfId="46">
      <calculatedColumnFormula>Table2[[#This Row],[(A) Err]]^2</calculatedColumnFormula>
    </tableColumn>
    <tableColumn id="25" name="EV Err" dataDxfId="45" totalsRowDxfId="12">
      <calculatedColumnFormula>Table2[[#This Row],[EV]]-Table2[[#This Row],[Spread]]</calculatedColumnFormula>
    </tableColumn>
    <tableColumn id="26" name="EV Sqr Err" dataDxfId="44">
      <calculatedColumnFormula>Table2[[#This Row],[EV Err]]^2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1:G12" totalsRowCount="1">
  <autoFilter ref="A1:G11"/>
  <tableColumns count="7">
    <tableColumn id="1" name="Date" totalsRowLabel="Total"/>
    <tableColumn id="2" name="Wins (A)" totalsRowFunction="sum">
      <calculatedColumnFormula>SUM(Boxscore!T200:T208)</calculatedColumnFormula>
    </tableColumn>
    <tableColumn id="3" name="Games (A)" totalsRowFunction="sum">
      <calculatedColumnFormula>COUNT(Boxscore!T200:T208)</calculatedColumnFormula>
    </tableColumn>
    <tableColumn id="4" name="(A) %" totalsRowFunction="custom" dataDxfId="11" totalsRowDxfId="7" dataCellStyle="Percent">
      <calculatedColumnFormula>Table4[Wins (A)]/Table4[Games (A)]</calculatedColumnFormula>
      <totalsRowFormula>Table4[[#Totals],[Wins (A)]]/Table4[[#Totals],[Games (A)]]</totalsRowFormula>
    </tableColumn>
    <tableColumn id="5" name="Wins EV" totalsRowFunction="sum" dataDxfId="10" dataCellStyle="Percent">
      <calculatedColumnFormula>SUM(Boxscore!W206:W209)</calculatedColumnFormula>
    </tableColumn>
    <tableColumn id="6" name="Games EV" totalsRowFunction="sum" dataDxfId="9" dataCellStyle="Percent">
      <calculatedColumnFormula>COUNT(Boxscore!W206:W209)</calculatedColumnFormula>
    </tableColumn>
    <tableColumn id="7" name="EV" totalsRowFunction="custom" dataDxfId="8" totalsRowDxfId="6" dataCellStyle="Percent" totalsRowCellStyle="Percent">
      <calculatedColumnFormula>Table4[[#This Row],[Wins EV]]/Table4[[#This Row],[Games EV]]</calculatedColumnFormula>
      <totalsRowFormula>Table4[[#Totals],[Wins EV]]/Table4[[#Totals],[Games EV]]</totalsRow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I1:O8" totalsRowCount="1">
  <autoFilter ref="I1:O7"/>
  <tableColumns count="7">
    <tableColumn id="1" name="Division" totalsRowLabel="Total"/>
    <tableColumn id="2" name="Wins (A)" totalsRowFunction="sum"/>
    <tableColumn id="3" name="Games (A)" totalsRowFunction="sum"/>
    <tableColumn id="4" name="(A) %"/>
    <tableColumn id="5" name="Wins EV" totalsRowFunction="sum"/>
    <tableColumn id="6" name="Games EV" totalsRowFunction="sum"/>
    <tableColumn id="7" name="EV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Q1:W4" totalsRowCount="1">
  <autoFilter ref="Q1:W3"/>
  <tableColumns count="7">
    <tableColumn id="1" name="Side" totalsRowLabel="Total"/>
    <tableColumn id="2" name="Wins (A)" totalsRowFunction="sum"/>
    <tableColumn id="3" name="Games (A)" totalsRowFunction="sum"/>
    <tableColumn id="4" name="A%"/>
    <tableColumn id="5" name="Wins EV" totalsRowFunction="sum"/>
    <tableColumn id="6" name="Games EV" totalsRowFunction="sum"/>
    <tableColumn id="7" name="EV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A1:B18" totalsRowCount="1">
  <autoFilter ref="A1:B17"/>
  <tableColumns count="2">
    <tableColumn id="1" name="Date" totalsRowLabel="Total" dataDxfId="81"/>
    <tableColumn id="2" name="Winnings" totalsRowFunction="sum" dataDxfId="80" totalsRowDxfId="5" dataCellStyle="Currency" totalsRowCellStyle="Currency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I32" totalsRowCount="1">
  <autoFilter ref="A1:I31"/>
  <sortState ref="A2:I31">
    <sortCondition descending="1" ref="D1:D31"/>
  </sortState>
  <tableColumns count="9">
    <tableColumn id="1" name="Team" totalsRowLabel="Total"/>
    <tableColumn id="2" name="ORtg/A" totalsRowFunction="average" dataDxfId="77" totalsRowDxfId="79"/>
    <tableColumn id="3" name="DRtg/A" totalsRowFunction="average" dataDxfId="76" totalsRowDxfId="78"/>
    <tableColumn id="4" name="NRtg/A" totalsRowFunction="average" dataDxfId="75" totalsRowDxfId="69"/>
    <tableColumn id="10" name="Off Diff" totalsRowFunction="average" dataDxfId="74" totalsRowDxfId="68">
      <calculatedColumnFormula>Table3[[#This Row],[ORtg/A]]-Table3[[#Totals],[ORtg/A]]</calculatedColumnFormula>
    </tableColumn>
    <tableColumn id="5" name="Def Diff" totalsRowFunction="average" dataDxfId="73" totalsRowDxfId="67">
      <calculatedColumnFormula>Table3[[#This Row],[DRtg/A]]-Table3[[#Totals],[DRtg/A]]</calculatedColumnFormula>
    </tableColumn>
    <tableColumn id="9" name="Pace" totalsRowFunction="average" dataDxfId="72" totalsRowDxfId="66"/>
    <tableColumn id="7" name="Home Edge" totalsRowFunction="average" dataDxfId="70" totalsRowDxfId="65"/>
    <tableColumn id="8" name="Division" dataDxfId="71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1232"/>
  <sheetViews>
    <sheetView tabSelected="1" workbookViewId="0">
      <selection activeCell="AM11" sqref="AM11"/>
    </sheetView>
  </sheetViews>
  <sheetFormatPr defaultRowHeight="15" x14ac:dyDescent="0.25"/>
  <cols>
    <col min="1" max="1" width="16.140625" bestFit="1" customWidth="1"/>
    <col min="2" max="3" width="23.85546875" bestFit="1" customWidth="1"/>
    <col min="4" max="4" width="12.7109375" bestFit="1" customWidth="1"/>
    <col min="5" max="5" width="11.5703125" customWidth="1"/>
    <col min="6" max="6" width="12.28515625" bestFit="1" customWidth="1"/>
    <col min="7" max="7" width="11.140625" customWidth="1"/>
    <col min="8" max="8" width="7.7109375" style="9" bestFit="1" customWidth="1"/>
    <col min="9" max="9" width="10.85546875" bestFit="1" customWidth="1"/>
    <col min="10" max="10" width="13.42578125" hidden="1" customWidth="1"/>
    <col min="11" max="11" width="11.28515625" hidden="1" customWidth="1"/>
    <col min="12" max="12" width="12.42578125" hidden="1" customWidth="1"/>
    <col min="13" max="13" width="10.85546875" hidden="1" customWidth="1"/>
    <col min="14" max="14" width="12" hidden="1" customWidth="1"/>
    <col min="15" max="15" width="10.42578125" bestFit="1" customWidth="1"/>
    <col min="16" max="16" width="12.7109375" style="5" hidden="1" customWidth="1"/>
    <col min="17" max="17" width="9.28515625" hidden="1" customWidth="1"/>
    <col min="18" max="18" width="9.42578125" bestFit="1" customWidth="1"/>
    <col min="19" max="19" width="12.5703125" bestFit="1" customWidth="1"/>
    <col min="20" max="20" width="10.140625" bestFit="1" customWidth="1"/>
    <col min="21" max="21" width="12.5703125" bestFit="1" customWidth="1"/>
    <col min="22" max="22" width="6" bestFit="1" customWidth="1"/>
    <col min="23" max="23" width="9.85546875" customWidth="1"/>
    <col min="24" max="24" width="9.85546875" bestFit="1" customWidth="1"/>
    <col min="25" max="25" width="5.5703125" bestFit="1" customWidth="1"/>
    <col min="26" max="27" width="10.85546875" bestFit="1" customWidth="1"/>
    <col min="28" max="28" width="12" bestFit="1" customWidth="1"/>
    <col min="29" max="29" width="14" hidden="1" customWidth="1"/>
    <col min="30" max="30" width="7.140625" hidden="1" customWidth="1"/>
    <col min="31" max="31" width="7.140625" bestFit="1" customWidth="1"/>
    <col min="32" max="32" width="13.5703125" hidden="1" customWidth="1"/>
    <col min="33" max="33" width="9.28515625" hidden="1" customWidth="1"/>
    <col min="34" max="34" width="8.85546875" hidden="1" customWidth="1"/>
    <col min="35" max="35" width="12.140625" style="9" hidden="1" customWidth="1"/>
    <col min="36" max="36" width="8.42578125" style="5" hidden="1" customWidth="1"/>
    <col min="37" max="37" width="11.7109375" hidden="1" customWidth="1"/>
    <col min="38" max="38" width="0" hidden="1" customWidth="1"/>
    <col min="40" max="40" width="13.140625" bestFit="1" customWidth="1"/>
  </cols>
  <sheetData>
    <row r="1" spans="1:38" x14ac:dyDescent="0.25">
      <c r="A1" t="s">
        <v>40</v>
      </c>
      <c r="B1" t="s">
        <v>42</v>
      </c>
      <c r="C1" t="s">
        <v>41</v>
      </c>
      <c r="D1" t="s">
        <v>255</v>
      </c>
      <c r="E1" t="s">
        <v>204</v>
      </c>
      <c r="F1" t="s">
        <v>256</v>
      </c>
      <c r="G1" t="s">
        <v>205</v>
      </c>
      <c r="H1" s="9" t="s">
        <v>206</v>
      </c>
      <c r="I1" t="s">
        <v>252</v>
      </c>
      <c r="J1" t="s">
        <v>244</v>
      </c>
      <c r="K1" t="s">
        <v>215</v>
      </c>
      <c r="L1" t="s">
        <v>245</v>
      </c>
      <c r="M1" t="s">
        <v>218</v>
      </c>
      <c r="N1" t="s">
        <v>257</v>
      </c>
      <c r="O1" t="s">
        <v>246</v>
      </c>
      <c r="P1" t="s">
        <v>217</v>
      </c>
      <c r="Q1" s="5" t="s">
        <v>216</v>
      </c>
      <c r="R1" t="s">
        <v>207</v>
      </c>
      <c r="S1" t="s">
        <v>250</v>
      </c>
      <c r="T1" t="s">
        <v>209</v>
      </c>
      <c r="U1" t="s">
        <v>210</v>
      </c>
      <c r="V1" t="s">
        <v>214</v>
      </c>
      <c r="W1" t="s">
        <v>236</v>
      </c>
      <c r="X1" t="s">
        <v>237</v>
      </c>
      <c r="Y1" t="s">
        <v>229</v>
      </c>
      <c r="Z1" t="s">
        <v>242</v>
      </c>
      <c r="AA1" t="s">
        <v>243</v>
      </c>
      <c r="AB1" t="s">
        <v>226</v>
      </c>
      <c r="AC1" t="s">
        <v>221</v>
      </c>
      <c r="AD1" t="s">
        <v>240</v>
      </c>
      <c r="AE1" t="s">
        <v>253</v>
      </c>
      <c r="AF1" t="s">
        <v>238</v>
      </c>
      <c r="AG1" t="s">
        <v>241</v>
      </c>
      <c r="AH1" t="s">
        <v>239</v>
      </c>
      <c r="AI1" s="9" t="s">
        <v>211</v>
      </c>
      <c r="AJ1" t="s">
        <v>212</v>
      </c>
      <c r="AK1" s="5" t="s">
        <v>234</v>
      </c>
      <c r="AL1" t="s">
        <v>235</v>
      </c>
    </row>
    <row r="2" spans="1:38" x14ac:dyDescent="0.25">
      <c r="A2" t="s">
        <v>43</v>
      </c>
      <c r="B2" t="s">
        <v>8</v>
      </c>
      <c r="C2" t="s">
        <v>31</v>
      </c>
      <c r="E2">
        <v>117</v>
      </c>
      <c r="G2">
        <v>88</v>
      </c>
      <c r="H2" s="9">
        <f>E2+G2</f>
        <v>205</v>
      </c>
      <c r="K2" s="25">
        <f>(Table2[[#This Row],[Home Pace]]/100)*(VLOOKUP(Table2[[#This Row],[Home/Neutral]],home_lookup,8,FALSE)+VLOOKUP(Table2[[#This Row],[Home/Neutral]],OFR_lookup,2,FALSE)+VLOOKUP(Table2[[#This Row],[Visitor/Neutral]],def_diff_lookup,6,FALSE))</f>
        <v>109.3745403689818</v>
      </c>
      <c r="L2" s="25"/>
      <c r="M2" s="25">
        <f>(Table2[[#This Row],[Away Pace]]/100)*(VLOOKUP(Table2[[#This Row],[Visitor/Neutral]],OFR_lookup,2,FALSE)+VLOOKUP(Table2[[#This Row],[Home/Neutral]],def_diff_lookup,6,FALSE))</f>
        <v>102.53824</v>
      </c>
      <c r="N2" s="25"/>
      <c r="O2" s="25"/>
      <c r="P2">
        <f>VLOOKUP(Table2[[#This Row],[Home/Neutral]],pace_lookup,7,FALSE)</f>
        <v>97.2</v>
      </c>
      <c r="Q2">
        <f>VLOOKUP(Table2[[#This Row],[Visitor/Neutral]],pace_lookup,7,FALSE)</f>
        <v>96</v>
      </c>
      <c r="R2" s="9">
        <f>G2-E2</f>
        <v>-29</v>
      </c>
      <c r="V2" s="2">
        <f>-home-VLOOKUP(Table2[[#This Row],[Home/Neutral]],rtg_vlookup,4,FALSE)+VLOOKUP(Table2[[#This Row],[Visitor/Neutral]],rtg_vlookup,4,FALSE)</f>
        <v>-11.82511848341233</v>
      </c>
      <c r="W2" s="25"/>
      <c r="X2" s="2"/>
      <c r="Y2" s="2">
        <f>Table2[[#This Row],[Away EV]]-Table2[[#This Row],[Home EV]]</f>
        <v>-6.8363003689817958</v>
      </c>
      <c r="Z2" s="33"/>
      <c r="AA2" s="34"/>
      <c r="AB2" t="b">
        <f>IF(VLOOKUP(Table2[[#This Row],[Home/Neutral]],division_lookup,9,FALSE)=VLOOKUP(Table2[[#This Row],[Visitor/Neutral]],division_lookup,9,FALSE),TRUE,FALSE)</f>
        <v>0</v>
      </c>
      <c r="AC2" s="19" t="str">
        <f>VLOOKUP(Table2[[#This Row],[Home/Neutral]],division_lookup,9,FALSE)</f>
        <v>C</v>
      </c>
      <c r="AD2" s="19"/>
      <c r="AE2" s="19" t="str">
        <f>IF(Table2[[#This Row],[Total EV ®]]&lt;Table2[[#This Row],[Total (V)]],"UNDER","OVER")</f>
        <v>OVER</v>
      </c>
      <c r="AF2" s="19"/>
      <c r="AG2" s="19"/>
      <c r="AH2" s="2"/>
      <c r="AI2" s="22">
        <f>Table2[[#This Row],[(A)]]-Table2[[#This Row],[Spread]]</f>
        <v>17.174881516587668</v>
      </c>
      <c r="AJ2" s="1">
        <f>Table2[[#This Row],[(A) Err]]^2</f>
        <v>294.9765551088247</v>
      </c>
      <c r="AK2" s="6">
        <f>Table2[[#This Row],[EV]]-Table2[[#This Row],[Spread]]</f>
        <v>22.163699631018204</v>
      </c>
      <c r="AL2" s="1">
        <f>Table2[[#This Row],[EV Err]]^2</f>
        <v>491.22958133399646</v>
      </c>
    </row>
    <row r="3" spans="1:38" x14ac:dyDescent="0.25">
      <c r="A3" t="s">
        <v>43</v>
      </c>
      <c r="B3" t="s">
        <v>10</v>
      </c>
      <c r="C3" t="s">
        <v>6</v>
      </c>
      <c r="E3">
        <v>100</v>
      </c>
      <c r="G3">
        <v>129</v>
      </c>
      <c r="H3" s="9">
        <f t="shared" ref="H3:H66" si="0">E3+G3</f>
        <v>229</v>
      </c>
      <c r="K3" s="25">
        <f>(Table2[[#This Row],[Home Pace]]/100)*(VLOOKUP(Table2[[#This Row],[Home/Neutral]],home_lookup,8,FALSE)+VLOOKUP(Table2[[#This Row],[Home/Neutral]],OFR_lookup,2,FALSE)+VLOOKUP(Table2[[#This Row],[Visitor/Neutral]],def_diff_lookup,6,FALSE))</f>
        <v>104.88943853790562</v>
      </c>
      <c r="L3" s="25"/>
      <c r="M3" s="25">
        <f>(Table2[[#This Row],[Away Pace]]/100)*(VLOOKUP(Table2[[#This Row],[Visitor/Neutral]],OFR_lookup,2,FALSE)+VLOOKUP(Table2[[#This Row],[Home/Neutral]],def_diff_lookup,6,FALSE))</f>
        <v>104.81260066666667</v>
      </c>
      <c r="N3" s="25"/>
      <c r="O3" s="25"/>
      <c r="P3">
        <f>VLOOKUP(Table2[[#This Row],[Home/Neutral]],pace_lookup,7,FALSE)</f>
        <v>100.3</v>
      </c>
      <c r="Q3" s="5">
        <f>VLOOKUP(Table2[[#This Row],[Visitor/Neutral]],pace_lookup,7,FALSE)</f>
        <v>93.1</v>
      </c>
      <c r="R3" s="9">
        <f t="shared" ref="R3:R66" si="1">G3-E3</f>
        <v>29</v>
      </c>
      <c r="V3" s="2">
        <f>-home-VLOOKUP(Table2[[#This Row],[Home/Neutral]],rtg_vlookup,4,FALSE)+VLOOKUP(Table2[[#This Row],[Visitor/Neutral]],rtg_vlookup,4,FALSE)</f>
        <v>-4.2051184834123312</v>
      </c>
      <c r="W3" s="25"/>
      <c r="X3" s="2"/>
      <c r="Y3" s="2">
        <f>Table2[[#This Row],[Away EV]]-Table2[[#This Row],[Home EV]]</f>
        <v>-7.6837871238950584E-2</v>
      </c>
      <c r="Z3" s="33"/>
      <c r="AA3" s="34"/>
      <c r="AB3" t="b">
        <f>IF(VLOOKUP(Table2[[#This Row],[Home/Neutral]],division_lookup,9,FALSE)=VLOOKUP(Table2[[#This Row],[Visitor/Neutral]],division_lookup,9,FALSE),TRUE,FALSE)</f>
        <v>0</v>
      </c>
      <c r="AC3" s="19" t="str">
        <f>VLOOKUP(Table2[[#This Row],[Home/Neutral]],division_lookup,9,FALSE)</f>
        <v>P</v>
      </c>
      <c r="AD3" s="19"/>
      <c r="AE3" s="19" t="str">
        <f>IF(Table2[[#This Row],[Total EV ®]]&lt;Table2[[#This Row],[Total (V)]],"UNDER","OVER")</f>
        <v>OVER</v>
      </c>
      <c r="AF3" s="19"/>
      <c r="AG3" s="19"/>
      <c r="AH3" s="2"/>
      <c r="AI3" s="22">
        <f>Table2[[#This Row],[(A)]]-Table2[[#This Row],[Spread]]</f>
        <v>-33.205118483412335</v>
      </c>
      <c r="AJ3" s="1">
        <f>Table2[[#This Row],[(A) Err]]^2</f>
        <v>1102.5798934974514</v>
      </c>
      <c r="AK3" s="6">
        <f>Table2[[#This Row],[EV]]-Table2[[#This Row],[Spread]]</f>
        <v>-29.076837871238951</v>
      </c>
      <c r="AL3" s="1">
        <f>Table2[[#This Row],[EV Err]]^2</f>
        <v>845.4625005903157</v>
      </c>
    </row>
    <row r="4" spans="1:38" ht="15.75" thickBot="1" x14ac:dyDescent="0.3">
      <c r="A4" s="41" t="s">
        <v>43</v>
      </c>
      <c r="B4" s="41" t="s">
        <v>32</v>
      </c>
      <c r="C4" s="41" t="s">
        <v>20</v>
      </c>
      <c r="D4" s="41"/>
      <c r="E4" s="41">
        <v>113</v>
      </c>
      <c r="F4" s="41"/>
      <c r="G4" s="41">
        <v>104</v>
      </c>
      <c r="H4" s="42">
        <f t="shared" si="0"/>
        <v>217</v>
      </c>
      <c r="I4" s="41"/>
      <c r="J4" s="41"/>
      <c r="K4" s="43">
        <f>(Table2[[#This Row],[Home Pace]]/100)*(VLOOKUP(Table2[[#This Row],[Home/Neutral]],home_lookup,8,FALSE)+VLOOKUP(Table2[[#This Row],[Home/Neutral]],OFR_lookup,2,FALSE)+VLOOKUP(Table2[[#This Row],[Visitor/Neutral]],def_diff_lookup,6,FALSE))</f>
        <v>107.77869112001841</v>
      </c>
      <c r="L4" s="43"/>
      <c r="M4" s="43">
        <f>(Table2[[#This Row],[Away Pace]]/100)*(VLOOKUP(Table2[[#This Row],[Visitor/Neutral]],OFR_lookup,2,FALSE)+VLOOKUP(Table2[[#This Row],[Home/Neutral]],def_diff_lookup,6,FALSE))</f>
        <v>101.49954600000002</v>
      </c>
      <c r="N4" s="43"/>
      <c r="O4" s="43"/>
      <c r="P4" s="41">
        <f>VLOOKUP(Table2[[#This Row],[Home/Neutral]],pace_lookup,7,FALSE)</f>
        <v>98.6</v>
      </c>
      <c r="Q4" s="41">
        <f>VLOOKUP(Table2[[#This Row],[Visitor/Neutral]],pace_lookup,7,FALSE)</f>
        <v>90.9</v>
      </c>
      <c r="R4" s="42">
        <f t="shared" si="1"/>
        <v>-9</v>
      </c>
      <c r="S4" s="41"/>
      <c r="T4" s="41"/>
      <c r="U4" s="41"/>
      <c r="V4" s="44">
        <f>-home-VLOOKUP(Table2[[#This Row],[Home/Neutral]],rtg_vlookup,4,FALSE)+VLOOKUP(Table2[[#This Row],[Visitor/Neutral]],rtg_vlookup,4,FALSE)</f>
        <v>1.8948815165876691</v>
      </c>
      <c r="W4" s="43"/>
      <c r="X4" s="44"/>
      <c r="Y4" s="44">
        <f>Table2[[#This Row],[Away EV]]-Table2[[#This Row],[Home EV]]</f>
        <v>-6.2791451200183843</v>
      </c>
      <c r="Z4" s="45"/>
      <c r="AA4" s="50"/>
      <c r="AB4" s="41" t="b">
        <f>IF(VLOOKUP(Table2[[#This Row],[Home/Neutral]],division_lookup,9,FALSE)=VLOOKUP(Table2[[#This Row],[Visitor/Neutral]],division_lookup,9,FALSE),TRUE,FALSE)</f>
        <v>1</v>
      </c>
      <c r="AC4" s="46" t="str">
        <f>VLOOKUP(Table2[[#This Row],[Home/Neutral]],division_lookup,9,FALSE)</f>
        <v>NW</v>
      </c>
      <c r="AD4" s="46"/>
      <c r="AE4" s="46" t="str">
        <f>IF(Table2[[#This Row],[Total EV ®]]&lt;Table2[[#This Row],[Total (V)]],"UNDER","OVER")</f>
        <v>OVER</v>
      </c>
      <c r="AF4" s="47"/>
      <c r="AG4" s="46"/>
      <c r="AH4" s="44"/>
      <c r="AI4" s="48">
        <f>Table2[[#This Row],[(A)]]-Table2[[#This Row],[Spread]]</f>
        <v>10.894881516587668</v>
      </c>
      <c r="AJ4" s="49">
        <f>Table2[[#This Row],[(A) Err]]^2</f>
        <v>118.69844326048361</v>
      </c>
      <c r="AK4" s="49">
        <f>Table2[[#This Row],[EV]]-Table2[[#This Row],[Spread]]</f>
        <v>2.7208548799816157</v>
      </c>
      <c r="AL4" s="49">
        <f>Table2[[#This Row],[EV Err]]^2</f>
        <v>7.4030512779197721</v>
      </c>
    </row>
    <row r="5" spans="1:38" x14ac:dyDescent="0.25">
      <c r="A5" t="s">
        <v>44</v>
      </c>
      <c r="B5" t="s">
        <v>26</v>
      </c>
      <c r="C5" t="s">
        <v>35</v>
      </c>
      <c r="E5">
        <v>122</v>
      </c>
      <c r="G5">
        <v>117</v>
      </c>
      <c r="H5" s="9">
        <f t="shared" si="0"/>
        <v>239</v>
      </c>
      <c r="K5" s="25">
        <f>(Table2[[#This Row],[Home Pace]]/100)*(VLOOKUP(Table2[[#This Row],[Home/Neutral]],home_lookup,8,FALSE)+VLOOKUP(Table2[[#This Row],[Home/Neutral]],OFR_lookup,2,FALSE)+VLOOKUP(Table2[[#This Row],[Visitor/Neutral]],def_diff_lookup,6,FALSE))</f>
        <v>110.27856358918159</v>
      </c>
      <c r="L5" s="25"/>
      <c r="M5" s="25">
        <f>(Table2[[#This Row],[Away Pace]]/100)*(VLOOKUP(Table2[[#This Row],[Visitor/Neutral]],OFR_lookup,2,FALSE)+VLOOKUP(Table2[[#This Row],[Home/Neutral]],def_diff_lookup,6,FALSE))</f>
        <v>107.63772133333335</v>
      </c>
      <c r="N5" s="25"/>
      <c r="O5" s="25"/>
      <c r="P5">
        <f>VLOOKUP(Table2[[#This Row],[Home/Neutral]],pace_lookup,7,FALSE)</f>
        <v>96</v>
      </c>
      <c r="Q5" s="5">
        <f>VLOOKUP(Table2[[#This Row],[Visitor/Neutral]],pace_lookup,7,FALSE)</f>
        <v>102.2</v>
      </c>
      <c r="R5" s="9">
        <f t="shared" si="1"/>
        <v>-5</v>
      </c>
      <c r="V5" s="2">
        <f>-home-VLOOKUP(Table2[[#This Row],[Home/Neutral]],rtg_vlookup,4,FALSE)+VLOOKUP(Table2[[#This Row],[Visitor/Neutral]],rtg_vlookup,4,FALSE)</f>
        <v>-8.8151184834123306</v>
      </c>
      <c r="W5" s="25"/>
      <c r="X5" s="2"/>
      <c r="Y5" s="2">
        <f>Table2[[#This Row],[Away EV]]-Table2[[#This Row],[Home EV]]</f>
        <v>-2.6408422558482414</v>
      </c>
      <c r="Z5" s="33"/>
      <c r="AA5" s="34"/>
      <c r="AB5" t="b">
        <f>IF(VLOOKUP(Table2[[#This Row],[Home/Neutral]],division_lookup,9,FALSE)=VLOOKUP(Table2[[#This Row],[Visitor/Neutral]],division_lookup,9,FALSE),TRUE,FALSE)</f>
        <v>1</v>
      </c>
      <c r="AC5" s="19" t="str">
        <f>VLOOKUP(Table2[[#This Row],[Home/Neutral]],division_lookup,9,FALSE)</f>
        <v>A</v>
      </c>
      <c r="AD5" s="19"/>
      <c r="AE5" s="19" t="str">
        <f>IF(Table2[[#This Row],[Total EV ®]]&lt;Table2[[#This Row],[Total (V)]],"UNDER","OVER")</f>
        <v>OVER</v>
      </c>
      <c r="AF5" s="19"/>
      <c r="AG5" s="19"/>
      <c r="AH5" s="2"/>
      <c r="AI5" s="22">
        <f>Table2[[#This Row],[(A)]]-Table2[[#This Row],[Spread]]</f>
        <v>-3.8151184834123306</v>
      </c>
      <c r="AJ5" s="1">
        <f>Table2[[#This Row],[(A) Err]]^2</f>
        <v>14.555129042474402</v>
      </c>
      <c r="AK5" s="6">
        <f>Table2[[#This Row],[EV]]-Table2[[#This Row],[Spread]]</f>
        <v>2.3591577441517586</v>
      </c>
      <c r="AL5" s="1">
        <f>Table2[[#This Row],[EV Err]]^2</f>
        <v>5.5656252617912143</v>
      </c>
    </row>
    <row r="6" spans="1:38" x14ac:dyDescent="0.25">
      <c r="A6" t="s">
        <v>44</v>
      </c>
      <c r="B6" t="s">
        <v>33</v>
      </c>
      <c r="C6" t="s">
        <v>37</v>
      </c>
      <c r="E6">
        <v>130</v>
      </c>
      <c r="G6">
        <v>121</v>
      </c>
      <c r="H6" s="9">
        <f t="shared" si="0"/>
        <v>251</v>
      </c>
      <c r="K6" s="25">
        <f>(Table2[[#This Row],[Home Pace]]/100)*(VLOOKUP(Table2[[#This Row],[Home/Neutral]],home_lookup,8,FALSE)+VLOOKUP(Table2[[#This Row],[Home/Neutral]],OFR_lookup,2,FALSE)+VLOOKUP(Table2[[#This Row],[Visitor/Neutral]],def_diff_lookup,6,FALSE))</f>
        <v>104.51407852057507</v>
      </c>
      <c r="L6" s="25"/>
      <c r="M6" s="25">
        <f>(Table2[[#This Row],[Away Pace]]/100)*(VLOOKUP(Table2[[#This Row],[Visitor/Neutral]],OFR_lookup,2,FALSE)+VLOOKUP(Table2[[#This Row],[Home/Neutral]],def_diff_lookup,6,FALSE))</f>
        <v>90.479654000000011</v>
      </c>
      <c r="N6" s="25"/>
      <c r="O6" s="25"/>
      <c r="P6">
        <f>VLOOKUP(Table2[[#This Row],[Home/Neutral]],pace_lookup,7,FALSE)</f>
        <v>98.2</v>
      </c>
      <c r="Q6" s="5">
        <f>VLOOKUP(Table2[[#This Row],[Visitor/Neutral]],pace_lookup,7,FALSE)</f>
        <v>92.1</v>
      </c>
      <c r="R6" s="9">
        <f t="shared" si="1"/>
        <v>-9</v>
      </c>
      <c r="V6" s="2">
        <f>-home-VLOOKUP(Table2[[#This Row],[Home/Neutral]],rtg_vlookup,4,FALSE)+VLOOKUP(Table2[[#This Row],[Visitor/Neutral]],rtg_vlookup,4,FALSE)</f>
        <v>-4.965118483412331</v>
      </c>
      <c r="W6" s="25"/>
      <c r="X6" s="2"/>
      <c r="Y6" s="2">
        <f>Table2[[#This Row],[Away EV]]-Table2[[#This Row],[Home EV]]</f>
        <v>-14.034424520575058</v>
      </c>
      <c r="Z6" s="33"/>
      <c r="AA6" s="34"/>
      <c r="AB6" t="b">
        <f>IF(VLOOKUP(Table2[[#This Row],[Home/Neutral]],division_lookup,9,FALSE)=VLOOKUP(Table2[[#This Row],[Visitor/Neutral]],division_lookup,9,FALSE),TRUE,FALSE)</f>
        <v>0</v>
      </c>
      <c r="AC6" s="19" t="str">
        <f>VLOOKUP(Table2[[#This Row],[Home/Neutral]],division_lookup,9,FALSE)</f>
        <v>C</v>
      </c>
      <c r="AD6" s="19"/>
      <c r="AE6" s="19" t="str">
        <f>IF(Table2[[#This Row],[Total EV ®]]&lt;Table2[[#This Row],[Total (V)]],"UNDER","OVER")</f>
        <v>OVER</v>
      </c>
      <c r="AF6" s="19"/>
      <c r="AG6" s="19"/>
      <c r="AH6" s="2"/>
      <c r="AI6" s="22">
        <f>Table2[[#This Row],[(A)]]-Table2[[#This Row],[Spread]]</f>
        <v>4.034881516587669</v>
      </c>
      <c r="AJ6" s="1">
        <f>Table2[[#This Row],[(A) Err]]^2</f>
        <v>16.280268852900807</v>
      </c>
      <c r="AK6" s="6">
        <f>Table2[[#This Row],[EV]]-Table2[[#This Row],[Spread]]</f>
        <v>-5.0344245205750582</v>
      </c>
      <c r="AL6" s="1">
        <f>Table2[[#This Row],[EV Err]]^2</f>
        <v>25.345430253367404</v>
      </c>
    </row>
    <row r="7" spans="1:38" x14ac:dyDescent="0.25">
      <c r="A7" t="s">
        <v>44</v>
      </c>
      <c r="B7" t="s">
        <v>24</v>
      </c>
      <c r="C7" t="s">
        <v>17</v>
      </c>
      <c r="E7">
        <v>120</v>
      </c>
      <c r="G7">
        <v>114</v>
      </c>
      <c r="H7" s="9">
        <f t="shared" si="0"/>
        <v>234</v>
      </c>
      <c r="K7" s="25">
        <f>(Table2[[#This Row],[Home Pace]]/100)*(VLOOKUP(Table2[[#This Row],[Home/Neutral]],home_lookup,8,FALSE)+VLOOKUP(Table2[[#This Row],[Home/Neutral]],OFR_lookup,2,FALSE)+VLOOKUP(Table2[[#This Row],[Visitor/Neutral]],def_diff_lookup,6,FALSE))</f>
        <v>112.46322432830941</v>
      </c>
      <c r="L7" s="25"/>
      <c r="M7" s="25">
        <f>(Table2[[#This Row],[Away Pace]]/100)*(VLOOKUP(Table2[[#This Row],[Visitor/Neutral]],OFR_lookup,2,FALSE)+VLOOKUP(Table2[[#This Row],[Home/Neutral]],def_diff_lookup,6,FALSE))</f>
        <v>113.90357466666667</v>
      </c>
      <c r="N7" s="25"/>
      <c r="O7" s="25"/>
      <c r="P7">
        <f>VLOOKUP(Table2[[#This Row],[Home/Neutral]],pace_lookup,7,FALSE)</f>
        <v>99.9</v>
      </c>
      <c r="Q7" s="5">
        <f>VLOOKUP(Table2[[#This Row],[Visitor/Neutral]],pace_lookup,7,FALSE)</f>
        <v>96.7</v>
      </c>
      <c r="R7" s="9">
        <f t="shared" si="1"/>
        <v>-6</v>
      </c>
      <c r="V7" s="2">
        <f>-home-VLOOKUP(Table2[[#This Row],[Home/Neutral]],rtg_vlookup,4,FALSE)+VLOOKUP(Table2[[#This Row],[Visitor/Neutral]],rtg_vlookup,4,FALSE)</f>
        <v>1.2548815165876697</v>
      </c>
      <c r="W7" s="25"/>
      <c r="X7" s="2"/>
      <c r="Y7" s="2">
        <f>Table2[[#This Row],[Away EV]]-Table2[[#This Row],[Home EV]]</f>
        <v>1.4403503383572627</v>
      </c>
      <c r="Z7" s="33"/>
      <c r="AA7" s="34"/>
      <c r="AB7" t="b">
        <f>IF(VLOOKUP(Table2[[#This Row],[Home/Neutral]],division_lookup,9,FALSE)=VLOOKUP(Table2[[#This Row],[Visitor/Neutral]],division_lookup,9,FALSE),TRUE,FALSE)</f>
        <v>0</v>
      </c>
      <c r="AC7" s="19" t="str">
        <f>VLOOKUP(Table2[[#This Row],[Home/Neutral]],division_lookup,9,FALSE)</f>
        <v>P</v>
      </c>
      <c r="AD7" s="19"/>
      <c r="AE7" s="19" t="str">
        <f>IF(Table2[[#This Row],[Total EV ®]]&lt;Table2[[#This Row],[Total (V)]],"UNDER","OVER")</f>
        <v>OVER</v>
      </c>
      <c r="AF7" s="19"/>
      <c r="AG7" s="19"/>
      <c r="AH7" s="2"/>
      <c r="AI7" s="22">
        <f>Table2[[#This Row],[(A)]]-Table2[[#This Row],[Spread]]</f>
        <v>7.2548815165876697</v>
      </c>
      <c r="AJ7" s="1">
        <f>Table2[[#This Row],[(A) Err]]^2</f>
        <v>52.633305819725408</v>
      </c>
      <c r="AK7" s="6">
        <f>Table2[[#This Row],[EV]]-Table2[[#This Row],[Spread]]</f>
        <v>7.4403503383572627</v>
      </c>
      <c r="AL7" s="1">
        <f>Table2[[#This Row],[EV Err]]^2</f>
        <v>55.358813157493032</v>
      </c>
    </row>
    <row r="8" spans="1:38" x14ac:dyDescent="0.25">
      <c r="A8" t="s">
        <v>44</v>
      </c>
      <c r="B8" t="s">
        <v>23</v>
      </c>
      <c r="C8" t="s">
        <v>22</v>
      </c>
      <c r="E8">
        <v>102</v>
      </c>
      <c r="G8">
        <v>98</v>
      </c>
      <c r="H8" s="9">
        <f t="shared" si="0"/>
        <v>200</v>
      </c>
      <c r="K8" s="25">
        <f>(Table2[[#This Row],[Home Pace]]/100)*(VLOOKUP(Table2[[#This Row],[Home/Neutral]],home_lookup,8,FALSE)+VLOOKUP(Table2[[#This Row],[Home/Neutral]],OFR_lookup,2,FALSE)+VLOOKUP(Table2[[#This Row],[Visitor/Neutral]],def_diff_lookup,6,FALSE))</f>
        <v>105.66213735871359</v>
      </c>
      <c r="L8" s="25"/>
      <c r="M8" s="25">
        <f>(Table2[[#This Row],[Away Pace]]/100)*(VLOOKUP(Table2[[#This Row],[Visitor/Neutral]],OFR_lookup,2,FALSE)+VLOOKUP(Table2[[#This Row],[Home/Neutral]],def_diff_lookup,6,FALSE))</f>
        <v>101.19705133333336</v>
      </c>
      <c r="N8" s="25"/>
      <c r="O8" s="25"/>
      <c r="P8">
        <f>VLOOKUP(Table2[[#This Row],[Home/Neutral]],pace_lookup,7,FALSE)</f>
        <v>92.5</v>
      </c>
      <c r="Q8" s="5">
        <f>VLOOKUP(Table2[[#This Row],[Visitor/Neutral]],pace_lookup,7,FALSE)</f>
        <v>94.7</v>
      </c>
      <c r="R8" s="9">
        <f t="shared" si="1"/>
        <v>-4</v>
      </c>
      <c r="V8" s="2">
        <f>-home-VLOOKUP(Table2[[#This Row],[Home/Neutral]],rtg_vlookup,4,FALSE)+VLOOKUP(Table2[[#This Row],[Visitor/Neutral]],rtg_vlookup,4,FALSE)</f>
        <v>-4.215118483412331</v>
      </c>
      <c r="W8" s="25"/>
      <c r="X8" s="2"/>
      <c r="Y8" s="2">
        <f>Table2[[#This Row],[Away EV]]-Table2[[#This Row],[Home EV]]</f>
        <v>-4.4650860253802307</v>
      </c>
      <c r="Z8" s="33"/>
      <c r="AA8" s="34"/>
      <c r="AB8" t="b">
        <f>IF(VLOOKUP(Table2[[#This Row],[Home/Neutral]],division_lookup,9,FALSE)=VLOOKUP(Table2[[#This Row],[Visitor/Neutral]],division_lookup,9,FALSE),TRUE,FALSE)</f>
        <v>0</v>
      </c>
      <c r="AC8" s="19" t="str">
        <f>VLOOKUP(Table2[[#This Row],[Home/Neutral]],division_lookup,9,FALSE)</f>
        <v>SW</v>
      </c>
      <c r="AD8" s="19"/>
      <c r="AE8" s="19" t="str">
        <f>IF(Table2[[#This Row],[Total EV ®]]&lt;Table2[[#This Row],[Total (V)]],"UNDER","OVER")</f>
        <v>OVER</v>
      </c>
      <c r="AF8" s="19"/>
      <c r="AG8" s="19"/>
      <c r="AH8" s="2"/>
      <c r="AI8" s="22">
        <f>Table2[[#This Row],[(A)]]-Table2[[#This Row],[Spread]]</f>
        <v>-0.21511848341233097</v>
      </c>
      <c r="AJ8" s="1">
        <f>Table2[[#This Row],[(A) Err]]^2</f>
        <v>4.6275961905621318E-2</v>
      </c>
      <c r="AK8" s="6">
        <f>Table2[[#This Row],[EV]]-Table2[[#This Row],[Spread]]</f>
        <v>-0.46508602538023069</v>
      </c>
      <c r="AL8" s="1">
        <f>Table2[[#This Row],[EV Err]]^2</f>
        <v>0.21630501100398059</v>
      </c>
    </row>
    <row r="9" spans="1:38" x14ac:dyDescent="0.25">
      <c r="A9" t="s">
        <v>44</v>
      </c>
      <c r="B9" t="s">
        <v>30</v>
      </c>
      <c r="C9" t="s">
        <v>16</v>
      </c>
      <c r="E9">
        <v>96</v>
      </c>
      <c r="G9">
        <v>107</v>
      </c>
      <c r="H9" s="9">
        <f t="shared" si="0"/>
        <v>203</v>
      </c>
      <c r="K9" s="25">
        <f>(Table2[[#This Row],[Home Pace]]/100)*(VLOOKUP(Table2[[#This Row],[Home/Neutral]],home_lookup,8,FALSE)+VLOOKUP(Table2[[#This Row],[Home/Neutral]],OFR_lookup,2,FALSE)+VLOOKUP(Table2[[#This Row],[Visitor/Neutral]],def_diff_lookup,6,FALSE))</f>
        <v>106.39896034993644</v>
      </c>
      <c r="L9" s="25"/>
      <c r="M9" s="25">
        <f>(Table2[[#This Row],[Away Pace]]/100)*(VLOOKUP(Table2[[#This Row],[Visitor/Neutral]],OFR_lookup,2,FALSE)+VLOOKUP(Table2[[#This Row],[Home/Neutral]],def_diff_lookup,6,FALSE))</f>
        <v>106.36340000000001</v>
      </c>
      <c r="N9" s="25"/>
      <c r="O9" s="25"/>
      <c r="P9">
        <f>VLOOKUP(Table2[[#This Row],[Home/Neutral]],pace_lookup,7,FALSE)</f>
        <v>96.8</v>
      </c>
      <c r="Q9" s="5">
        <f>VLOOKUP(Table2[[#This Row],[Visitor/Neutral]],pace_lookup,7,FALSE)</f>
        <v>97.5</v>
      </c>
      <c r="R9" s="9">
        <f t="shared" si="1"/>
        <v>11</v>
      </c>
      <c r="V9" s="2">
        <f>-home-VLOOKUP(Table2[[#This Row],[Home/Neutral]],rtg_vlookup,4,FALSE)+VLOOKUP(Table2[[#This Row],[Visitor/Neutral]],rtg_vlookup,4,FALSE)</f>
        <v>2.4048815165876691</v>
      </c>
      <c r="W9" s="25"/>
      <c r="X9" s="2"/>
      <c r="Y9" s="2">
        <f>Table2[[#This Row],[Away EV]]-Table2[[#This Row],[Home EV]]</f>
        <v>-3.556034993643209E-2</v>
      </c>
      <c r="Z9" s="33"/>
      <c r="AA9" s="34"/>
      <c r="AB9" t="b">
        <f>IF(VLOOKUP(Table2[[#This Row],[Home/Neutral]],division_lookup,9,FALSE)=VLOOKUP(Table2[[#This Row],[Visitor/Neutral]],division_lookup,9,FALSE),TRUE,FALSE)</f>
        <v>0</v>
      </c>
      <c r="AC9" s="19" t="str">
        <f>VLOOKUP(Table2[[#This Row],[Home/Neutral]],division_lookup,9,FALSE)</f>
        <v>C</v>
      </c>
      <c r="AD9" s="19"/>
      <c r="AE9" s="19" t="str">
        <f>IF(Table2[[#This Row],[Total EV ®]]&lt;Table2[[#This Row],[Total (V)]],"UNDER","OVER")</f>
        <v>OVER</v>
      </c>
      <c r="AF9" s="19"/>
      <c r="AG9" s="19"/>
      <c r="AH9" s="2"/>
      <c r="AI9" s="22">
        <f>Table2[[#This Row],[(A)]]-Table2[[#This Row],[Spread]]</f>
        <v>-8.5951184834123318</v>
      </c>
      <c r="AJ9" s="1">
        <f>Table2[[#This Row],[(A) Err]]^2</f>
        <v>73.876061743896301</v>
      </c>
      <c r="AK9" s="6">
        <f>Table2[[#This Row],[EV]]-Table2[[#This Row],[Spread]]</f>
        <v>-11.035560349936432</v>
      </c>
      <c r="AL9" s="1">
        <f>Table2[[#This Row],[EV Err]]^2</f>
        <v>121.78359223708911</v>
      </c>
    </row>
    <row r="10" spans="1:38" x14ac:dyDescent="0.25">
      <c r="A10" t="s">
        <v>44</v>
      </c>
      <c r="B10" t="s">
        <v>34</v>
      </c>
      <c r="C10" t="s">
        <v>27</v>
      </c>
      <c r="E10">
        <v>102</v>
      </c>
      <c r="G10">
        <v>107</v>
      </c>
      <c r="H10" s="9">
        <f t="shared" si="0"/>
        <v>209</v>
      </c>
      <c r="K10" s="25">
        <f>(Table2[[#This Row],[Home Pace]]/100)*(VLOOKUP(Table2[[#This Row],[Home/Neutral]],home_lookup,8,FALSE)+VLOOKUP(Table2[[#This Row],[Home/Neutral]],OFR_lookup,2,FALSE)+VLOOKUP(Table2[[#This Row],[Visitor/Neutral]],def_diff_lookup,6,FALSE))</f>
        <v>104.48271864565555</v>
      </c>
      <c r="L10" s="25"/>
      <c r="M10" s="25">
        <f>(Table2[[#This Row],[Away Pace]]/100)*(VLOOKUP(Table2[[#This Row],[Visitor/Neutral]],OFR_lookup,2,FALSE)+VLOOKUP(Table2[[#This Row],[Home/Neutral]],def_diff_lookup,6,FALSE))</f>
        <v>103.99025999999999</v>
      </c>
      <c r="N10" s="25"/>
      <c r="O10" s="25"/>
      <c r="P10">
        <f>VLOOKUP(Table2[[#This Row],[Home/Neutral]],pace_lookup,7,FALSE)</f>
        <v>98.8</v>
      </c>
      <c r="Q10" s="5">
        <f>VLOOKUP(Table2[[#This Row],[Visitor/Neutral]],pace_lookup,7,FALSE)</f>
        <v>99</v>
      </c>
      <c r="R10" s="9">
        <f t="shared" si="1"/>
        <v>5</v>
      </c>
      <c r="V10" s="2">
        <f>-home-VLOOKUP(Table2[[#This Row],[Home/Neutral]],rtg_vlookup,4,FALSE)+VLOOKUP(Table2[[#This Row],[Visitor/Neutral]],rtg_vlookup,4,FALSE)</f>
        <v>1.7148815165876696</v>
      </c>
      <c r="W10" s="25"/>
      <c r="X10" s="2"/>
      <c r="Y10" s="2">
        <f>Table2[[#This Row],[Away EV]]-Table2[[#This Row],[Home EV]]</f>
        <v>-0.49245864565556019</v>
      </c>
      <c r="Z10" s="33"/>
      <c r="AA10" s="34"/>
      <c r="AB10" t="b">
        <f>IF(VLOOKUP(Table2[[#This Row],[Home/Neutral]],division_lookup,9,FALSE)=VLOOKUP(Table2[[#This Row],[Visitor/Neutral]],division_lookup,9,FALSE),TRUE,FALSE)</f>
        <v>0</v>
      </c>
      <c r="AC10" s="19" t="str">
        <f>VLOOKUP(Table2[[#This Row],[Home/Neutral]],division_lookup,9,FALSE)</f>
        <v>SW</v>
      </c>
      <c r="AD10" s="19"/>
      <c r="AE10" s="19" t="str">
        <f>IF(Table2[[#This Row],[Total EV ®]]&lt;Table2[[#This Row],[Total (V)]],"UNDER","OVER")</f>
        <v>OVER</v>
      </c>
      <c r="AF10" s="19"/>
      <c r="AG10" s="19"/>
      <c r="AH10" s="2"/>
      <c r="AI10" s="22">
        <f>Table2[[#This Row],[(A)]]-Table2[[#This Row],[Spread]]</f>
        <v>-3.2851184834123304</v>
      </c>
      <c r="AJ10" s="1">
        <f>Table2[[#This Row],[(A) Err]]^2</f>
        <v>10.792003450057329</v>
      </c>
      <c r="AK10" s="6">
        <f>Table2[[#This Row],[EV]]-Table2[[#This Row],[Spread]]</f>
        <v>-5.4924586456555602</v>
      </c>
      <c r="AL10" s="1">
        <f>Table2[[#This Row],[EV Err]]^2</f>
        <v>30.167101974236509</v>
      </c>
    </row>
    <row r="11" spans="1:38" x14ac:dyDescent="0.25">
      <c r="A11" t="s">
        <v>44</v>
      </c>
      <c r="B11" t="s">
        <v>38</v>
      </c>
      <c r="C11" t="s">
        <v>21</v>
      </c>
      <c r="E11">
        <v>96</v>
      </c>
      <c r="G11">
        <v>108</v>
      </c>
      <c r="H11" s="9">
        <f t="shared" si="0"/>
        <v>204</v>
      </c>
      <c r="K11" s="25">
        <f>(Table2[[#This Row],[Home Pace]]/100)*(VLOOKUP(Table2[[#This Row],[Home/Neutral]],home_lookup,8,FALSE)+VLOOKUP(Table2[[#This Row],[Home/Neutral]],OFR_lookup,2,FALSE)+VLOOKUP(Table2[[#This Row],[Visitor/Neutral]],def_diff_lookup,6,FALSE))</f>
        <v>102.4452916789148</v>
      </c>
      <c r="L11" s="25"/>
      <c r="M11" s="25">
        <f>(Table2[[#This Row],[Away Pace]]/100)*(VLOOKUP(Table2[[#This Row],[Visitor/Neutral]],OFR_lookup,2,FALSE)+VLOOKUP(Table2[[#This Row],[Home/Neutral]],def_diff_lookup,6,FALSE))</f>
        <v>97.563568000000018</v>
      </c>
      <c r="N11" s="25"/>
      <c r="O11" s="25"/>
      <c r="P11">
        <f>VLOOKUP(Table2[[#This Row],[Home/Neutral]],pace_lookup,7,FALSE)</f>
        <v>94.2</v>
      </c>
      <c r="Q11" s="5">
        <f>VLOOKUP(Table2[[#This Row],[Visitor/Neutral]],pace_lookup,7,FALSE)</f>
        <v>94.2</v>
      </c>
      <c r="R11" s="9">
        <f t="shared" si="1"/>
        <v>12</v>
      </c>
      <c r="V11" s="2">
        <f>-home-VLOOKUP(Table2[[#This Row],[Home/Neutral]],rtg_vlookup,4,FALSE)+VLOOKUP(Table2[[#This Row],[Visitor/Neutral]],rtg_vlookup,4,FALSE)</f>
        <v>5.8748815165876689</v>
      </c>
      <c r="W11" s="25"/>
      <c r="X11" s="2"/>
      <c r="Y11" s="2">
        <f>Table2[[#This Row],[Away EV]]-Table2[[#This Row],[Home EV]]</f>
        <v>-4.8817236789147813</v>
      </c>
      <c r="Z11" s="33"/>
      <c r="AA11" s="34"/>
      <c r="AB11" t="b">
        <f>IF(VLOOKUP(Table2[[#This Row],[Home/Neutral]],division_lookup,9,FALSE)=VLOOKUP(Table2[[#This Row],[Visitor/Neutral]],division_lookup,9,FALSE),TRUE,FALSE)</f>
        <v>1</v>
      </c>
      <c r="AC11" s="19" t="str">
        <f>VLOOKUP(Table2[[#This Row],[Home/Neutral]],division_lookup,9,FALSE)</f>
        <v>SE</v>
      </c>
      <c r="AD11" s="19"/>
      <c r="AE11" s="19" t="str">
        <f>IF(Table2[[#This Row],[Total EV ®]]&lt;Table2[[#This Row],[Total (V)]],"UNDER","OVER")</f>
        <v>OVER</v>
      </c>
      <c r="AF11" s="19"/>
      <c r="AG11" s="19"/>
      <c r="AH11" s="2"/>
      <c r="AI11" s="22">
        <f>Table2[[#This Row],[(A)]]-Table2[[#This Row],[Spread]]</f>
        <v>-6.1251184834123311</v>
      </c>
      <c r="AJ11" s="1">
        <f>Table2[[#This Row],[(A) Err]]^2</f>
        <v>37.517076435839378</v>
      </c>
      <c r="AK11" s="6">
        <f>Table2[[#This Row],[EV]]-Table2[[#This Row],[Spread]]</f>
        <v>-16.881723678914781</v>
      </c>
      <c r="AL11" s="1">
        <f>Table2[[#This Row],[EV Err]]^2</f>
        <v>284.99259437123203</v>
      </c>
    </row>
    <row r="12" spans="1:38" x14ac:dyDescent="0.25">
      <c r="A12" t="s">
        <v>44</v>
      </c>
      <c r="B12" t="s">
        <v>39</v>
      </c>
      <c r="C12" t="s">
        <v>18</v>
      </c>
      <c r="E12">
        <v>97</v>
      </c>
      <c r="G12">
        <v>103</v>
      </c>
      <c r="H12" s="9">
        <f t="shared" si="0"/>
        <v>200</v>
      </c>
      <c r="K12" s="25">
        <f>(Table2[[#This Row],[Home Pace]]/100)*(VLOOKUP(Table2[[#This Row],[Home/Neutral]],home_lookup,8,FALSE)+VLOOKUP(Table2[[#This Row],[Home/Neutral]],OFR_lookup,2,FALSE)+VLOOKUP(Table2[[#This Row],[Visitor/Neutral]],def_diff_lookup,6,FALSE))</f>
        <v>103.26227211468577</v>
      </c>
      <c r="L12" s="25"/>
      <c r="M12" s="25">
        <f>(Table2[[#This Row],[Away Pace]]/100)*(VLOOKUP(Table2[[#This Row],[Visitor/Neutral]],OFR_lookup,2,FALSE)+VLOOKUP(Table2[[#This Row],[Home/Neutral]],def_diff_lookup,6,FALSE))</f>
        <v>106.94326333333335</v>
      </c>
      <c r="N12" s="25"/>
      <c r="O12" s="25"/>
      <c r="P12">
        <f>VLOOKUP(Table2[[#This Row],[Home/Neutral]],pace_lookup,7,FALSE)</f>
        <v>97.5</v>
      </c>
      <c r="Q12" s="5">
        <f>VLOOKUP(Table2[[#This Row],[Visitor/Neutral]],pace_lookup,7,FALSE)</f>
        <v>99.5</v>
      </c>
      <c r="R12" s="9">
        <f t="shared" si="1"/>
        <v>6</v>
      </c>
      <c r="V12" s="2">
        <f>-home-VLOOKUP(Table2[[#This Row],[Home/Neutral]],rtg_vlookup,4,FALSE)+VLOOKUP(Table2[[#This Row],[Visitor/Neutral]],rtg_vlookup,4,FALSE)</f>
        <v>8.8748815165876689</v>
      </c>
      <c r="W12" s="25"/>
      <c r="X12" s="2"/>
      <c r="Y12" s="2">
        <f>Table2[[#This Row],[Away EV]]-Table2[[#This Row],[Home EV]]</f>
        <v>3.6809912186475771</v>
      </c>
      <c r="Z12" s="33"/>
      <c r="AA12" s="34"/>
      <c r="AB12" t="b">
        <f>IF(VLOOKUP(Table2[[#This Row],[Home/Neutral]],division_lookup,9,FALSE)=VLOOKUP(Table2[[#This Row],[Visitor/Neutral]],division_lookup,9,FALSE),TRUE,FALSE)</f>
        <v>0</v>
      </c>
      <c r="AC12" s="19" t="str">
        <f>VLOOKUP(Table2[[#This Row],[Home/Neutral]],division_lookup,9,FALSE)</f>
        <v>A</v>
      </c>
      <c r="AD12" s="19"/>
      <c r="AE12" s="19" t="str">
        <f>IF(Table2[[#This Row],[Total EV ®]]&lt;Table2[[#This Row],[Total (V)]],"UNDER","OVER")</f>
        <v>OVER</v>
      </c>
      <c r="AF12" s="19"/>
      <c r="AG12" s="19"/>
      <c r="AH12" s="2"/>
      <c r="AI12" s="22">
        <f>Table2[[#This Row],[(A)]]-Table2[[#This Row],[Spread]]</f>
        <v>2.8748815165876689</v>
      </c>
      <c r="AJ12" s="1">
        <f>Table2[[#This Row],[(A) Err]]^2</f>
        <v>8.2649437344174146</v>
      </c>
      <c r="AK12" s="6">
        <f>Table2[[#This Row],[EV]]-Table2[[#This Row],[Spread]]</f>
        <v>-2.3190087813524229</v>
      </c>
      <c r="AL12" s="1">
        <f>Table2[[#This Row],[EV Err]]^2</f>
        <v>5.3778017279896497</v>
      </c>
    </row>
    <row r="13" spans="1:38" x14ac:dyDescent="0.25">
      <c r="A13" t="s">
        <v>44</v>
      </c>
      <c r="B13" t="s">
        <v>36</v>
      </c>
      <c r="C13" t="s">
        <v>29</v>
      </c>
      <c r="E13">
        <v>94</v>
      </c>
      <c r="G13">
        <v>113</v>
      </c>
      <c r="H13" s="9">
        <f t="shared" si="0"/>
        <v>207</v>
      </c>
      <c r="K13" s="25">
        <f>(Table2[[#This Row],[Home Pace]]/100)*(VLOOKUP(Table2[[#This Row],[Home/Neutral]],home_lookup,8,FALSE)+VLOOKUP(Table2[[#This Row],[Home/Neutral]],OFR_lookup,2,FALSE)+VLOOKUP(Table2[[#This Row],[Visitor/Neutral]],def_diff_lookup,6,FALSE))</f>
        <v>110.87543156604042</v>
      </c>
      <c r="L13" s="25"/>
      <c r="M13" s="25">
        <f>(Table2[[#This Row],[Away Pace]]/100)*(VLOOKUP(Table2[[#This Row],[Visitor/Neutral]],OFR_lookup,2,FALSE)+VLOOKUP(Table2[[#This Row],[Home/Neutral]],def_diff_lookup,6,FALSE))</f>
        <v>103.36822533333334</v>
      </c>
      <c r="N13" s="25"/>
      <c r="O13" s="25"/>
      <c r="P13">
        <f>VLOOKUP(Table2[[#This Row],[Home/Neutral]],pace_lookup,7,FALSE)</f>
        <v>102.2</v>
      </c>
      <c r="Q13" s="5">
        <f>VLOOKUP(Table2[[#This Row],[Visitor/Neutral]],pace_lookup,7,FALSE)</f>
        <v>93.8</v>
      </c>
      <c r="R13" s="9">
        <f t="shared" si="1"/>
        <v>19</v>
      </c>
      <c r="V13" s="2">
        <f>-home-VLOOKUP(Table2[[#This Row],[Home/Neutral]],rtg_vlookup,4,FALSE)+VLOOKUP(Table2[[#This Row],[Visitor/Neutral]],rtg_vlookup,4,FALSE)</f>
        <v>1.1848815165876694</v>
      </c>
      <c r="W13" s="25"/>
      <c r="X13" s="2"/>
      <c r="Y13" s="2">
        <f>Table2[[#This Row],[Away EV]]-Table2[[#This Row],[Home EV]]</f>
        <v>-7.5072062327070768</v>
      </c>
      <c r="Z13" s="33"/>
      <c r="AA13" s="34"/>
      <c r="AB13" t="b">
        <f>IF(VLOOKUP(Table2[[#This Row],[Home/Neutral]],division_lookup,9,FALSE)=VLOOKUP(Table2[[#This Row],[Visitor/Neutral]],division_lookup,9,FALSE),TRUE,FALSE)</f>
        <v>1</v>
      </c>
      <c r="AC13" s="19" t="str">
        <f>VLOOKUP(Table2[[#This Row],[Home/Neutral]],division_lookup,9,FALSE)</f>
        <v>P</v>
      </c>
      <c r="AD13" s="19"/>
      <c r="AE13" s="19" t="str">
        <f>IF(Table2[[#This Row],[Total EV ®]]&lt;Table2[[#This Row],[Total (V)]],"UNDER","OVER")</f>
        <v>OVER</v>
      </c>
      <c r="AF13" s="19"/>
      <c r="AG13" s="19"/>
      <c r="AH13" s="2"/>
      <c r="AI13" s="22">
        <f>Table2[[#This Row],[(A)]]-Table2[[#This Row],[Spread]]</f>
        <v>-17.815118483412331</v>
      </c>
      <c r="AJ13" s="1">
        <f>Table2[[#This Row],[(A) Err]]^2</f>
        <v>317.37844657801963</v>
      </c>
      <c r="AK13" s="6">
        <f>Table2[[#This Row],[EV]]-Table2[[#This Row],[Spread]]</f>
        <v>-26.507206232707077</v>
      </c>
      <c r="AL13" s="1">
        <f>Table2[[#This Row],[EV Err]]^2</f>
        <v>702.63198226326494</v>
      </c>
    </row>
    <row r="14" spans="1:38" ht="15.75" thickBot="1" x14ac:dyDescent="0.3">
      <c r="A14" s="41" t="s">
        <v>44</v>
      </c>
      <c r="B14" s="41" t="s">
        <v>14</v>
      </c>
      <c r="C14" s="41" t="s">
        <v>25</v>
      </c>
      <c r="D14" s="41"/>
      <c r="E14" s="41">
        <v>109</v>
      </c>
      <c r="F14" s="41"/>
      <c r="G14" s="41">
        <v>91</v>
      </c>
      <c r="H14" s="42">
        <f t="shared" si="0"/>
        <v>200</v>
      </c>
      <c r="I14" s="41"/>
      <c r="J14" s="41"/>
      <c r="K14" s="43">
        <f>(Table2[[#This Row],[Home Pace]]/100)*(VLOOKUP(Table2[[#This Row],[Home/Neutral]],home_lookup,8,FALSE)+VLOOKUP(Table2[[#This Row],[Home/Neutral]],OFR_lookup,2,FALSE)+VLOOKUP(Table2[[#This Row],[Visitor/Neutral]],def_diff_lookup,6,FALSE))</f>
        <v>103.62907414241451</v>
      </c>
      <c r="L14" s="43"/>
      <c r="M14" s="43">
        <f>(Table2[[#This Row],[Away Pace]]/100)*(VLOOKUP(Table2[[#This Row],[Visitor/Neutral]],OFR_lookup,2,FALSE)+VLOOKUP(Table2[[#This Row],[Home/Neutral]],def_diff_lookup,6,FALSE))</f>
        <v>98.648629333333346</v>
      </c>
      <c r="N14" s="43"/>
      <c r="O14" s="43"/>
      <c r="P14" s="41">
        <f>VLOOKUP(Table2[[#This Row],[Home/Neutral]],pace_lookup,7,FALSE)</f>
        <v>95.9</v>
      </c>
      <c r="Q14" s="41">
        <f>VLOOKUP(Table2[[#This Row],[Visitor/Neutral]],pace_lookup,7,FALSE)</f>
        <v>94.4</v>
      </c>
      <c r="R14" s="42">
        <f t="shared" si="1"/>
        <v>-18</v>
      </c>
      <c r="S14" s="41"/>
      <c r="T14" s="41"/>
      <c r="U14" s="41"/>
      <c r="V14" s="44">
        <f>-home-VLOOKUP(Table2[[#This Row],[Home/Neutral]],rtg_vlookup,4,FALSE)+VLOOKUP(Table2[[#This Row],[Visitor/Neutral]],rtg_vlookup,4,FALSE)</f>
        <v>-7.7051184834123303</v>
      </c>
      <c r="W14" s="43"/>
      <c r="X14" s="44"/>
      <c r="Y14" s="44">
        <f>Table2[[#This Row],[Away EV]]-Table2[[#This Row],[Home EV]]</f>
        <v>-4.9804448090811633</v>
      </c>
      <c r="Z14" s="45"/>
      <c r="AA14" s="50"/>
      <c r="AB14" s="41" t="b">
        <f>IF(VLOOKUP(Table2[[#This Row],[Home/Neutral]],division_lookup,9,FALSE)=VLOOKUP(Table2[[#This Row],[Visitor/Neutral]],division_lookup,9,FALSE),TRUE,FALSE)</f>
        <v>0</v>
      </c>
      <c r="AC14" s="46" t="str">
        <f>VLOOKUP(Table2[[#This Row],[Home/Neutral]],division_lookup,9,FALSE)</f>
        <v>A</v>
      </c>
      <c r="AD14" s="46"/>
      <c r="AE14" s="46" t="str">
        <f>IF(Table2[[#This Row],[Total EV ®]]&lt;Table2[[#This Row],[Total (V)]],"UNDER","OVER")</f>
        <v>OVER</v>
      </c>
      <c r="AF14" s="47"/>
      <c r="AG14" s="46"/>
      <c r="AH14" s="44"/>
      <c r="AI14" s="48">
        <f>Table2[[#This Row],[(A)]]-Table2[[#This Row],[Spread]]</f>
        <v>10.294881516587669</v>
      </c>
      <c r="AJ14" s="49">
        <f>Table2[[#This Row],[(A) Err]]^2</f>
        <v>105.98458544057841</v>
      </c>
      <c r="AK14" s="49">
        <f>Table2[[#This Row],[EV]]-Table2[[#This Row],[Spread]]</f>
        <v>13.019555190918837</v>
      </c>
      <c r="AL14" s="49">
        <f>Table2[[#This Row],[EV Err]]^2</f>
        <v>169.50881736938163</v>
      </c>
    </row>
    <row r="15" spans="1:38" x14ac:dyDescent="0.25">
      <c r="A15" t="s">
        <v>45</v>
      </c>
      <c r="B15" t="s">
        <v>11</v>
      </c>
      <c r="C15" t="s">
        <v>28</v>
      </c>
      <c r="E15">
        <v>114</v>
      </c>
      <c r="G15">
        <v>99</v>
      </c>
      <c r="H15" s="9">
        <f t="shared" si="0"/>
        <v>213</v>
      </c>
      <c r="K15" s="25">
        <f>(Table2[[#This Row],[Home Pace]]/100)*(VLOOKUP(Table2[[#This Row],[Home/Neutral]],home_lookup,8,FALSE)+VLOOKUP(Table2[[#This Row],[Home/Neutral]],OFR_lookup,2,FALSE)+VLOOKUP(Table2[[#This Row],[Visitor/Neutral]],def_diff_lookup,6,FALSE))</f>
        <v>101.48143904407283</v>
      </c>
      <c r="L15" s="25"/>
      <c r="M15" s="25">
        <f>(Table2[[#This Row],[Away Pace]]/100)*(VLOOKUP(Table2[[#This Row],[Visitor/Neutral]],OFR_lookup,2,FALSE)+VLOOKUP(Table2[[#This Row],[Home/Neutral]],def_diff_lookup,6,FALSE))</f>
        <v>95.896181999999996</v>
      </c>
      <c r="N15" s="25"/>
      <c r="O15" s="25"/>
      <c r="P15">
        <f>VLOOKUP(Table2[[#This Row],[Home/Neutral]],pace_lookup,7,FALSE)</f>
        <v>99.7</v>
      </c>
      <c r="Q15" s="5">
        <f>VLOOKUP(Table2[[#This Row],[Visitor/Neutral]],pace_lookup,7,FALSE)</f>
        <v>96.3</v>
      </c>
      <c r="R15" s="9">
        <f t="shared" si="1"/>
        <v>-15</v>
      </c>
      <c r="V15" s="2">
        <f>-home-VLOOKUP(Table2[[#This Row],[Home/Neutral]],rtg_vlookup,4,FALSE)+VLOOKUP(Table2[[#This Row],[Visitor/Neutral]],rtg_vlookup,4,FALSE)</f>
        <v>-10.955118483412331</v>
      </c>
      <c r="W15" s="25"/>
      <c r="X15" s="2"/>
      <c r="Y15" s="2">
        <f>Table2[[#This Row],[Away EV]]-Table2[[#This Row],[Home EV]]</f>
        <v>-5.5852570440728329</v>
      </c>
      <c r="Z15" s="33"/>
      <c r="AA15" s="34"/>
      <c r="AB15" t="b">
        <f>IF(VLOOKUP(Table2[[#This Row],[Home/Neutral]],division_lookup,9,FALSE)=VLOOKUP(Table2[[#This Row],[Visitor/Neutral]],division_lookup,9,FALSE),TRUE,FALSE)</f>
        <v>1</v>
      </c>
      <c r="AC15" s="19" t="str">
        <f>VLOOKUP(Table2[[#This Row],[Home/Neutral]],division_lookup,9,FALSE)</f>
        <v>SE</v>
      </c>
      <c r="AD15" s="19"/>
      <c r="AE15" s="19" t="str">
        <f>IF(Table2[[#This Row],[Total EV ®]]&lt;Table2[[#This Row],[Total (V)]],"UNDER","OVER")</f>
        <v>OVER</v>
      </c>
      <c r="AF15" s="19"/>
      <c r="AG15" s="19"/>
      <c r="AH15" s="2"/>
      <c r="AI15" s="22">
        <f>Table2[[#This Row],[(A)]]-Table2[[#This Row],[Spread]]</f>
        <v>4.0448815165876688</v>
      </c>
      <c r="AJ15" s="1">
        <f>Table2[[#This Row],[(A) Err]]^2</f>
        <v>16.361066483232559</v>
      </c>
      <c r="AK15" s="6">
        <f>Table2[[#This Row],[EV]]-Table2[[#This Row],[Spread]]</f>
        <v>9.4147429559271671</v>
      </c>
      <c r="AL15" s="1">
        <f>Table2[[#This Row],[EV Err]]^2</f>
        <v>88.637384926180218</v>
      </c>
    </row>
    <row r="16" spans="1:38" x14ac:dyDescent="0.25">
      <c r="A16" t="s">
        <v>45</v>
      </c>
      <c r="B16" t="s">
        <v>13</v>
      </c>
      <c r="C16" t="s">
        <v>26</v>
      </c>
      <c r="E16">
        <v>105</v>
      </c>
      <c r="G16">
        <v>99</v>
      </c>
      <c r="H16" s="9">
        <f t="shared" si="0"/>
        <v>204</v>
      </c>
      <c r="K16" s="25">
        <f>(Table2[[#This Row],[Home Pace]]/100)*(VLOOKUP(Table2[[#This Row],[Home/Neutral]],home_lookup,8,FALSE)+VLOOKUP(Table2[[#This Row],[Home/Neutral]],OFR_lookup,2,FALSE)+VLOOKUP(Table2[[#This Row],[Visitor/Neutral]],def_diff_lookup,6,FALSE))</f>
        <v>107.04589108450401</v>
      </c>
      <c r="L16" s="25"/>
      <c r="M16" s="25">
        <f>(Table2[[#This Row],[Away Pace]]/100)*(VLOOKUP(Table2[[#This Row],[Visitor/Neutral]],OFR_lookup,2,FALSE)+VLOOKUP(Table2[[#This Row],[Home/Neutral]],def_diff_lookup,6,FALSE))</f>
        <v>102.86464000000001</v>
      </c>
      <c r="N16" s="25"/>
      <c r="O16" s="25"/>
      <c r="P16">
        <f>VLOOKUP(Table2[[#This Row],[Home/Neutral]],pace_lookup,7,FALSE)</f>
        <v>94.5</v>
      </c>
      <c r="Q16" s="5">
        <f>VLOOKUP(Table2[[#This Row],[Visitor/Neutral]],pace_lookup,7,FALSE)</f>
        <v>96</v>
      </c>
      <c r="R16" s="9">
        <f t="shared" si="1"/>
        <v>-6</v>
      </c>
      <c r="V16" s="2">
        <f>-home-VLOOKUP(Table2[[#This Row],[Home/Neutral]],rtg_vlookup,4,FALSE)+VLOOKUP(Table2[[#This Row],[Visitor/Neutral]],rtg_vlookup,4,FALSE)</f>
        <v>-8.585118483412332</v>
      </c>
      <c r="W16" s="25"/>
      <c r="X16" s="2"/>
      <c r="Y16" s="2">
        <f>Table2[[#This Row],[Away EV]]-Table2[[#This Row],[Home EV]]</f>
        <v>-4.1812510845039981</v>
      </c>
      <c r="Z16" s="33"/>
      <c r="AA16" s="34"/>
      <c r="AB16" t="b">
        <f>IF(VLOOKUP(Table2[[#This Row],[Home/Neutral]],division_lookup,9,FALSE)=VLOOKUP(Table2[[#This Row],[Visitor/Neutral]],division_lookup,9,FALSE),TRUE,FALSE)</f>
        <v>0</v>
      </c>
      <c r="AC16" s="19" t="str">
        <f>VLOOKUP(Table2[[#This Row],[Home/Neutral]],division_lookup,9,FALSE)</f>
        <v>C</v>
      </c>
      <c r="AD16" s="19"/>
      <c r="AE16" s="19" t="str">
        <f>IF(Table2[[#This Row],[Total EV ®]]&lt;Table2[[#This Row],[Total (V)]],"UNDER","OVER")</f>
        <v>OVER</v>
      </c>
      <c r="AF16" s="19"/>
      <c r="AG16" s="19"/>
      <c r="AH16" s="2"/>
      <c r="AI16" s="22">
        <f>Table2[[#This Row],[(A)]]-Table2[[#This Row],[Spread]]</f>
        <v>-2.585118483412332</v>
      </c>
      <c r="AJ16" s="1">
        <f>Table2[[#This Row],[(A) Err]]^2</f>
        <v>6.6828375732800751</v>
      </c>
      <c r="AK16" s="6">
        <f>Table2[[#This Row],[EV]]-Table2[[#This Row],[Spread]]</f>
        <v>1.8187489154960019</v>
      </c>
      <c r="AL16" s="1">
        <f>Table2[[#This Row],[EV Err]]^2</f>
        <v>3.3078476176178833</v>
      </c>
    </row>
    <row r="17" spans="1:38" x14ac:dyDescent="0.25">
      <c r="A17" t="s">
        <v>45</v>
      </c>
      <c r="B17" t="s">
        <v>32</v>
      </c>
      <c r="C17" t="s">
        <v>4</v>
      </c>
      <c r="E17">
        <v>106</v>
      </c>
      <c r="G17">
        <v>114</v>
      </c>
      <c r="H17" s="9">
        <f t="shared" si="0"/>
        <v>220</v>
      </c>
      <c r="K17" s="25">
        <f>(Table2[[#This Row],[Home Pace]]/100)*(VLOOKUP(Table2[[#This Row],[Home/Neutral]],home_lookup,8,FALSE)+VLOOKUP(Table2[[#This Row],[Home/Neutral]],OFR_lookup,2,FALSE)+VLOOKUP(Table2[[#This Row],[Visitor/Neutral]],def_diff_lookup,6,FALSE))</f>
        <v>103.2135111200184</v>
      </c>
      <c r="L17" s="25"/>
      <c r="M17" s="25">
        <f>(Table2[[#This Row],[Away Pace]]/100)*(VLOOKUP(Table2[[#This Row],[Visitor/Neutral]],OFR_lookup,2,FALSE)+VLOOKUP(Table2[[#This Row],[Home/Neutral]],def_diff_lookup,6,FALSE))</f>
        <v>115.84336400000001</v>
      </c>
      <c r="N17" s="25"/>
      <c r="O17" s="25"/>
      <c r="P17">
        <f>VLOOKUP(Table2[[#This Row],[Home/Neutral]],pace_lookup,7,FALSE)</f>
        <v>98.6</v>
      </c>
      <c r="Q17" s="5">
        <f>VLOOKUP(Table2[[#This Row],[Visitor/Neutral]],pace_lookup,7,FALSE)</f>
        <v>96.6</v>
      </c>
      <c r="R17" s="9">
        <f t="shared" si="1"/>
        <v>8</v>
      </c>
      <c r="V17" s="2">
        <f>-home-VLOOKUP(Table2[[#This Row],[Home/Neutral]],rtg_vlookup,4,FALSE)+VLOOKUP(Table2[[#This Row],[Visitor/Neutral]],rtg_vlookup,4,FALSE)</f>
        <v>14.794881516587669</v>
      </c>
      <c r="W17" s="25"/>
      <c r="X17" s="2"/>
      <c r="Y17" s="2">
        <f>Table2[[#This Row],[Away EV]]-Table2[[#This Row],[Home EV]]</f>
        <v>12.629852879981613</v>
      </c>
      <c r="Z17" s="33"/>
      <c r="AA17" s="34"/>
      <c r="AB17" t="b">
        <f>IF(VLOOKUP(Table2[[#This Row],[Home/Neutral]],division_lookup,9,FALSE)=VLOOKUP(Table2[[#This Row],[Visitor/Neutral]],division_lookup,9,FALSE),TRUE,FALSE)</f>
        <v>0</v>
      </c>
      <c r="AC17" s="19" t="str">
        <f>VLOOKUP(Table2[[#This Row],[Home/Neutral]],division_lookup,9,FALSE)</f>
        <v>NW</v>
      </c>
      <c r="AD17" s="19"/>
      <c r="AE17" s="19" t="str">
        <f>IF(Table2[[#This Row],[Total EV ®]]&lt;Table2[[#This Row],[Total (V)]],"UNDER","OVER")</f>
        <v>OVER</v>
      </c>
      <c r="AF17" s="19"/>
      <c r="AG17" s="19"/>
      <c r="AH17" s="2"/>
      <c r="AI17" s="22">
        <f>Table2[[#This Row],[(A)]]-Table2[[#This Row],[Spread]]</f>
        <v>6.7948815165876688</v>
      </c>
      <c r="AJ17" s="1">
        <f>Table2[[#This Row],[(A) Err]]^2</f>
        <v>46.170414824464736</v>
      </c>
      <c r="AK17" s="6">
        <f>Table2[[#This Row],[EV]]-Table2[[#This Row],[Spread]]</f>
        <v>4.6298528799816125</v>
      </c>
      <c r="AL17" s="1">
        <f>Table2[[#This Row],[EV Err]]^2</f>
        <v>21.435537690274032</v>
      </c>
    </row>
    <row r="18" spans="1:38" ht="15.75" thickBot="1" x14ac:dyDescent="0.3">
      <c r="A18" s="41" t="s">
        <v>45</v>
      </c>
      <c r="B18" s="41" t="s">
        <v>29</v>
      </c>
      <c r="C18" s="41" t="s">
        <v>6</v>
      </c>
      <c r="D18" s="41"/>
      <c r="E18" s="41">
        <v>94</v>
      </c>
      <c r="F18" s="41"/>
      <c r="G18" s="41">
        <v>102</v>
      </c>
      <c r="H18" s="42">
        <f t="shared" si="0"/>
        <v>196</v>
      </c>
      <c r="I18" s="41"/>
      <c r="J18" s="41"/>
      <c r="K18" s="43">
        <f>(Table2[[#This Row],[Home Pace]]/100)*(VLOOKUP(Table2[[#This Row],[Home/Neutral]],home_lookup,8,FALSE)+VLOOKUP(Table2[[#This Row],[Home/Neutral]],OFR_lookup,2,FALSE)+VLOOKUP(Table2[[#This Row],[Visitor/Neutral]],def_diff_lookup,6,FALSE))</f>
        <v>106.80368926898524</v>
      </c>
      <c r="L18" s="43"/>
      <c r="M18" s="43">
        <f>(Table2[[#This Row],[Away Pace]]/100)*(VLOOKUP(Table2[[#This Row],[Visitor/Neutral]],OFR_lookup,2,FALSE)+VLOOKUP(Table2[[#This Row],[Home/Neutral]],def_diff_lookup,6,FALSE))</f>
        <v>106.44185066666667</v>
      </c>
      <c r="N18" s="43"/>
      <c r="O18" s="43"/>
      <c r="P18" s="41">
        <f>VLOOKUP(Table2[[#This Row],[Home/Neutral]],pace_lookup,7,FALSE)</f>
        <v>93.8</v>
      </c>
      <c r="Q18" s="41">
        <f>VLOOKUP(Table2[[#This Row],[Visitor/Neutral]],pace_lookup,7,FALSE)</f>
        <v>93.1</v>
      </c>
      <c r="R18" s="42">
        <f t="shared" si="1"/>
        <v>8</v>
      </c>
      <c r="S18" s="41"/>
      <c r="T18" s="41"/>
      <c r="U18" s="41"/>
      <c r="V18" s="44">
        <f>-home-VLOOKUP(Table2[[#This Row],[Home/Neutral]],rtg_vlookup,4,FALSE)+VLOOKUP(Table2[[#This Row],[Visitor/Neutral]],rtg_vlookup,4,FALSE)</f>
        <v>6.5648815165876693</v>
      </c>
      <c r="W18" s="43"/>
      <c r="X18" s="44"/>
      <c r="Y18" s="44">
        <f>Table2[[#This Row],[Away EV]]-Table2[[#This Row],[Home EV]]</f>
        <v>-0.36183860231857068</v>
      </c>
      <c r="Z18" s="45"/>
      <c r="AA18" s="50"/>
      <c r="AB18" s="41" t="b">
        <f>IF(VLOOKUP(Table2[[#This Row],[Home/Neutral]],division_lookup,9,FALSE)=VLOOKUP(Table2[[#This Row],[Visitor/Neutral]],division_lookup,9,FALSE),TRUE,FALSE)</f>
        <v>0</v>
      </c>
      <c r="AC18" s="46" t="str">
        <f>VLOOKUP(Table2[[#This Row],[Home/Neutral]],division_lookup,9,FALSE)</f>
        <v>P</v>
      </c>
      <c r="AD18" s="46"/>
      <c r="AE18" s="46" t="str">
        <f>IF(Table2[[#This Row],[Total EV ®]]&lt;Table2[[#This Row],[Total (V)]],"UNDER","OVER")</f>
        <v>OVER</v>
      </c>
      <c r="AF18" s="47"/>
      <c r="AG18" s="46"/>
      <c r="AH18" s="44"/>
      <c r="AI18" s="48">
        <f>Table2[[#This Row],[(A)]]-Table2[[#This Row],[Spread]]</f>
        <v>-1.4351184834123307</v>
      </c>
      <c r="AJ18" s="49">
        <f>Table2[[#This Row],[(A) Err]]^2</f>
        <v>2.0595650614317083</v>
      </c>
      <c r="AK18" s="49">
        <f>Table2[[#This Row],[EV]]-Table2[[#This Row],[Spread]]</f>
        <v>-8.3618386023185707</v>
      </c>
      <c r="AL18" s="49">
        <f>Table2[[#This Row],[EV Err]]^2</f>
        <v>69.920344811224993</v>
      </c>
    </row>
    <row r="19" spans="1:38" x14ac:dyDescent="0.25">
      <c r="A19" t="s">
        <v>46</v>
      </c>
      <c r="B19" t="s">
        <v>35</v>
      </c>
      <c r="C19" t="s">
        <v>33</v>
      </c>
      <c r="E19">
        <v>103</v>
      </c>
      <c r="G19">
        <v>94</v>
      </c>
      <c r="H19" s="9">
        <f t="shared" si="0"/>
        <v>197</v>
      </c>
      <c r="K19" s="25">
        <f>(Table2[[#This Row],[Home Pace]]/100)*(VLOOKUP(Table2[[#This Row],[Home/Neutral]],home_lookup,8,FALSE)+VLOOKUP(Table2[[#This Row],[Home/Neutral]],OFR_lookup,2,FALSE)+VLOOKUP(Table2[[#This Row],[Visitor/Neutral]],def_diff_lookup,6,FALSE))</f>
        <v>110.15461121209626</v>
      </c>
      <c r="L19" s="25"/>
      <c r="M19" s="25">
        <f>(Table2[[#This Row],[Away Pace]]/100)*(VLOOKUP(Table2[[#This Row],[Visitor/Neutral]],OFR_lookup,2,FALSE)+VLOOKUP(Table2[[#This Row],[Home/Neutral]],def_diff_lookup,6,FALSE))</f>
        <v>105.19249466666666</v>
      </c>
      <c r="N19" s="25"/>
      <c r="O19" s="25"/>
      <c r="P19">
        <f>VLOOKUP(Table2[[#This Row],[Home/Neutral]],pace_lookup,7,FALSE)</f>
        <v>102.2</v>
      </c>
      <c r="Q19" s="5">
        <f>VLOOKUP(Table2[[#This Row],[Visitor/Neutral]],pace_lookup,7,FALSE)</f>
        <v>98.2</v>
      </c>
      <c r="R19" s="9">
        <f t="shared" si="1"/>
        <v>-9</v>
      </c>
      <c r="V19" s="2">
        <f>-home-VLOOKUP(Table2[[#This Row],[Home/Neutral]],rtg_vlookup,4,FALSE)+VLOOKUP(Table2[[#This Row],[Visitor/Neutral]],rtg_vlookup,4,FALSE)</f>
        <v>-1.6551184834123314</v>
      </c>
      <c r="W19" s="25"/>
      <c r="X19" s="2"/>
      <c r="Y19" s="2">
        <f>Table2[[#This Row],[Away EV]]-Table2[[#This Row],[Home EV]]</f>
        <v>-4.9621165454295948</v>
      </c>
      <c r="Z19" s="33"/>
      <c r="AA19" s="34"/>
      <c r="AB19" t="b">
        <f>IF(VLOOKUP(Table2[[#This Row],[Home/Neutral]],division_lookup,9,FALSE)=VLOOKUP(Table2[[#This Row],[Visitor/Neutral]],division_lookup,9,FALSE),TRUE,FALSE)</f>
        <v>0</v>
      </c>
      <c r="AC19" s="19" t="str">
        <f>VLOOKUP(Table2[[#This Row],[Home/Neutral]],division_lookup,9,FALSE)</f>
        <v>A</v>
      </c>
      <c r="AD19" s="19"/>
      <c r="AE19" s="19" t="str">
        <f>IF(Table2[[#This Row],[Total EV ®]]&lt;Table2[[#This Row],[Total (V)]],"UNDER","OVER")</f>
        <v>OVER</v>
      </c>
      <c r="AF19" s="19"/>
      <c r="AG19" s="19"/>
      <c r="AH19" s="2"/>
      <c r="AI19" s="22">
        <f>Table2[[#This Row],[(A)]]-Table2[[#This Row],[Spread]]</f>
        <v>7.3448815165876686</v>
      </c>
      <c r="AJ19" s="1">
        <f>Table2[[#This Row],[(A) Err]]^2</f>
        <v>53.947284492711169</v>
      </c>
      <c r="AK19" s="6">
        <f>Table2[[#This Row],[EV]]-Table2[[#This Row],[Spread]]</f>
        <v>4.0378834545704052</v>
      </c>
      <c r="AL19" s="1">
        <f>Table2[[#This Row],[EV Err]]^2</f>
        <v>16.30450279269343</v>
      </c>
    </row>
    <row r="20" spans="1:38" x14ac:dyDescent="0.25">
      <c r="A20" t="s">
        <v>46</v>
      </c>
      <c r="B20" t="s">
        <v>37</v>
      </c>
      <c r="C20" t="s">
        <v>17</v>
      </c>
      <c r="E20">
        <v>98</v>
      </c>
      <c r="G20">
        <v>106</v>
      </c>
      <c r="H20" s="9">
        <f t="shared" si="0"/>
        <v>204</v>
      </c>
      <c r="K20" s="25">
        <f>(Table2[[#This Row],[Home Pace]]/100)*(VLOOKUP(Table2[[#This Row],[Home/Neutral]],home_lookup,8,FALSE)+VLOOKUP(Table2[[#This Row],[Home/Neutral]],OFR_lookup,2,FALSE)+VLOOKUP(Table2[[#This Row],[Visitor/Neutral]],def_diff_lookup,6,FALSE))</f>
        <v>105.39749809362122</v>
      </c>
      <c r="L20" s="25"/>
      <c r="M20" s="25">
        <f>(Table2[[#This Row],[Away Pace]]/100)*(VLOOKUP(Table2[[#This Row],[Visitor/Neutral]],OFR_lookup,2,FALSE)+VLOOKUP(Table2[[#This Row],[Home/Neutral]],def_diff_lookup,6,FALSE))</f>
        <v>107.11523466666668</v>
      </c>
      <c r="N20" s="25"/>
      <c r="O20" s="25"/>
      <c r="P20">
        <f>VLOOKUP(Table2[[#This Row],[Home/Neutral]],pace_lookup,7,FALSE)</f>
        <v>92.1</v>
      </c>
      <c r="Q20" s="5">
        <f>VLOOKUP(Table2[[#This Row],[Visitor/Neutral]],pace_lookup,7,FALSE)</f>
        <v>96.7</v>
      </c>
      <c r="R20" s="9">
        <f t="shared" si="1"/>
        <v>8</v>
      </c>
      <c r="V20" s="2">
        <f>-home-VLOOKUP(Table2[[#This Row],[Home/Neutral]],rtg_vlookup,4,FALSE)+VLOOKUP(Table2[[#This Row],[Visitor/Neutral]],rtg_vlookup,4,FALSE)</f>
        <v>8.9948815165876699</v>
      </c>
      <c r="W20" s="25"/>
      <c r="X20" s="2"/>
      <c r="Y20" s="2">
        <f>Table2[[#This Row],[Away EV]]-Table2[[#This Row],[Home EV]]</f>
        <v>1.7177365730454568</v>
      </c>
      <c r="Z20" s="33"/>
      <c r="AA20" s="34"/>
      <c r="AB20" t="b">
        <f>IF(VLOOKUP(Table2[[#This Row],[Home/Neutral]],division_lookup,9,FALSE)=VLOOKUP(Table2[[#This Row],[Visitor/Neutral]],division_lookup,9,FALSE),TRUE,FALSE)</f>
        <v>1</v>
      </c>
      <c r="AC20" s="19" t="str">
        <f>VLOOKUP(Table2[[#This Row],[Home/Neutral]],division_lookup,9,FALSE)</f>
        <v>SW</v>
      </c>
      <c r="AD20" s="19"/>
      <c r="AE20" s="19" t="str">
        <f>IF(Table2[[#This Row],[Total EV ®]]&lt;Table2[[#This Row],[Total (V)]],"UNDER","OVER")</f>
        <v>OVER</v>
      </c>
      <c r="AF20" s="19"/>
      <c r="AG20" s="19"/>
      <c r="AH20" s="2"/>
      <c r="AI20" s="22">
        <f>Table2[[#This Row],[(A)]]-Table2[[#This Row],[Spread]]</f>
        <v>0.99488151658766988</v>
      </c>
      <c r="AJ20" s="1">
        <f>Table2[[#This Row],[(A) Err]]^2</f>
        <v>0.98978923204778202</v>
      </c>
      <c r="AK20" s="6">
        <f>Table2[[#This Row],[EV]]-Table2[[#This Row],[Spread]]</f>
        <v>-6.2822634269545432</v>
      </c>
      <c r="AL20" s="1">
        <f>Table2[[#This Row],[EV Err]]^2</f>
        <v>39.466833765650641</v>
      </c>
    </row>
    <row r="21" spans="1:38" x14ac:dyDescent="0.25">
      <c r="A21" t="s">
        <v>46</v>
      </c>
      <c r="B21" t="s">
        <v>25</v>
      </c>
      <c r="C21" t="s">
        <v>38</v>
      </c>
      <c r="E21">
        <v>108</v>
      </c>
      <c r="G21">
        <v>82</v>
      </c>
      <c r="H21" s="9">
        <f t="shared" si="0"/>
        <v>190</v>
      </c>
      <c r="K21" s="25">
        <f>(Table2[[#This Row],[Home Pace]]/100)*(VLOOKUP(Table2[[#This Row],[Home/Neutral]],home_lookup,8,FALSE)+VLOOKUP(Table2[[#This Row],[Home/Neutral]],OFR_lookup,2,FALSE)+VLOOKUP(Table2[[#This Row],[Visitor/Neutral]],def_diff_lookup,6,FALSE))</f>
        <v>104.31998444427256</v>
      </c>
      <c r="L21" s="25"/>
      <c r="M21" s="25">
        <f>(Table2[[#This Row],[Away Pace]]/100)*(VLOOKUP(Table2[[#This Row],[Visitor/Neutral]],OFR_lookup,2,FALSE)+VLOOKUP(Table2[[#This Row],[Home/Neutral]],def_diff_lookup,6,FALSE))</f>
        <v>89.53772800000003</v>
      </c>
      <c r="N21" s="25"/>
      <c r="O21" s="25"/>
      <c r="P21">
        <f>VLOOKUP(Table2[[#This Row],[Home/Neutral]],pace_lookup,7,FALSE)</f>
        <v>94.4</v>
      </c>
      <c r="Q21" s="5">
        <f>VLOOKUP(Table2[[#This Row],[Visitor/Neutral]],pace_lookup,7,FALSE)</f>
        <v>94.2</v>
      </c>
      <c r="R21" s="9">
        <f t="shared" si="1"/>
        <v>-26</v>
      </c>
      <c r="V21" s="2">
        <f>-home-VLOOKUP(Table2[[#This Row],[Home/Neutral]],rtg_vlookup,4,FALSE)+VLOOKUP(Table2[[#This Row],[Visitor/Neutral]],rtg_vlookup,4,FALSE)</f>
        <v>-11.40511848341233</v>
      </c>
      <c r="W21" s="25"/>
      <c r="X21" s="2"/>
      <c r="Y21" s="2">
        <f>Table2[[#This Row],[Away EV]]-Table2[[#This Row],[Home EV]]</f>
        <v>-14.782256444272534</v>
      </c>
      <c r="Z21" s="33"/>
      <c r="AA21" s="34"/>
      <c r="AB21" t="b">
        <f>IF(VLOOKUP(Table2[[#This Row],[Home/Neutral]],division_lookup,9,FALSE)=VLOOKUP(Table2[[#This Row],[Visitor/Neutral]],division_lookup,9,FALSE),TRUE,FALSE)</f>
        <v>0</v>
      </c>
      <c r="AC21" s="19" t="str">
        <f>VLOOKUP(Table2[[#This Row],[Home/Neutral]],division_lookup,9,FALSE)</f>
        <v>C</v>
      </c>
      <c r="AD21" s="19"/>
      <c r="AE21" s="19" t="str">
        <f>IF(Table2[[#This Row],[Total EV ®]]&lt;Table2[[#This Row],[Total (V)]],"UNDER","OVER")</f>
        <v>OVER</v>
      </c>
      <c r="AF21" s="19"/>
      <c r="AG21" s="19"/>
      <c r="AH21" s="2"/>
      <c r="AI21" s="22">
        <f>Table2[[#This Row],[(A)]]-Table2[[#This Row],[Spread]]</f>
        <v>14.59488151658767</v>
      </c>
      <c r="AJ21" s="1">
        <f>Table2[[#This Row],[(A) Err]]^2</f>
        <v>213.0105664832324</v>
      </c>
      <c r="AK21" s="6">
        <f>Table2[[#This Row],[EV]]-Table2[[#This Row],[Spread]]</f>
        <v>11.217743555727466</v>
      </c>
      <c r="AL21" s="1">
        <f>Table2[[#This Row],[EV Err]]^2</f>
        <v>125.8377704820651</v>
      </c>
    </row>
    <row r="22" spans="1:38" x14ac:dyDescent="0.25">
      <c r="A22" t="s">
        <v>46</v>
      </c>
      <c r="B22" t="s">
        <v>21</v>
      </c>
      <c r="C22" t="s">
        <v>16</v>
      </c>
      <c r="E22">
        <v>91</v>
      </c>
      <c r="G22">
        <v>97</v>
      </c>
      <c r="H22" s="9">
        <f t="shared" si="0"/>
        <v>188</v>
      </c>
      <c r="K22" s="25">
        <f>(Table2[[#This Row],[Home Pace]]/100)*(VLOOKUP(Table2[[#This Row],[Home/Neutral]],home_lookup,8,FALSE)+VLOOKUP(Table2[[#This Row],[Home/Neutral]],OFR_lookup,2,FALSE)+VLOOKUP(Table2[[#This Row],[Visitor/Neutral]],def_diff_lookup,6,FALSE))</f>
        <v>99.811271175243903</v>
      </c>
      <c r="L22" s="25"/>
      <c r="M22" s="25">
        <f>(Table2[[#This Row],[Away Pace]]/100)*(VLOOKUP(Table2[[#This Row],[Visitor/Neutral]],OFR_lookup,2,FALSE)+VLOOKUP(Table2[[#This Row],[Home/Neutral]],def_diff_lookup,6,FALSE))</f>
        <v>100.80590000000001</v>
      </c>
      <c r="N22" s="25"/>
      <c r="O22" s="25"/>
      <c r="P22">
        <f>VLOOKUP(Table2[[#This Row],[Home/Neutral]],pace_lookup,7,FALSE)</f>
        <v>94.2</v>
      </c>
      <c r="Q22" s="5">
        <f>VLOOKUP(Table2[[#This Row],[Visitor/Neutral]],pace_lookup,7,FALSE)</f>
        <v>97.5</v>
      </c>
      <c r="R22" s="9">
        <f t="shared" si="1"/>
        <v>6</v>
      </c>
      <c r="V22" s="2">
        <f>-home-VLOOKUP(Table2[[#This Row],[Home/Neutral]],rtg_vlookup,4,FALSE)+VLOOKUP(Table2[[#This Row],[Visitor/Neutral]],rtg_vlookup,4,FALSE)</f>
        <v>-1.5118483412330797E-2</v>
      </c>
      <c r="W22" s="25"/>
      <c r="X22" s="2"/>
      <c r="Y22" s="2">
        <f>Table2[[#This Row],[Away EV]]-Table2[[#This Row],[Home EV]]</f>
        <v>0.9946288247561057</v>
      </c>
      <c r="Z22" s="33"/>
      <c r="AA22" s="34"/>
      <c r="AB22" t="b">
        <f>IF(VLOOKUP(Table2[[#This Row],[Home/Neutral]],division_lookup,9,FALSE)=VLOOKUP(Table2[[#This Row],[Visitor/Neutral]],division_lookup,9,FALSE),TRUE,FALSE)</f>
        <v>1</v>
      </c>
      <c r="AC22" s="19" t="str">
        <f>VLOOKUP(Table2[[#This Row],[Home/Neutral]],division_lookup,9,FALSE)</f>
        <v>SE</v>
      </c>
      <c r="AD22" s="19"/>
      <c r="AE22" s="19" t="str">
        <f>IF(Table2[[#This Row],[Total EV ®]]&lt;Table2[[#This Row],[Total (V)]],"UNDER","OVER")</f>
        <v>OVER</v>
      </c>
      <c r="AF22" s="19"/>
      <c r="AG22" s="19"/>
      <c r="AH22" s="2"/>
      <c r="AI22" s="22">
        <f>Table2[[#This Row],[(A)]]-Table2[[#This Row],[Spread]]</f>
        <v>-6.0151184834123308</v>
      </c>
      <c r="AJ22" s="1">
        <f>Table2[[#This Row],[(A) Err]]^2</f>
        <v>36.181650369488658</v>
      </c>
      <c r="AK22" s="6">
        <f>Table2[[#This Row],[EV]]-Table2[[#This Row],[Spread]]</f>
        <v>-5.0053711752438943</v>
      </c>
      <c r="AL22" s="1">
        <f>Table2[[#This Row],[EV Err]]^2</f>
        <v>25.053740601962442</v>
      </c>
    </row>
    <row r="23" spans="1:38" x14ac:dyDescent="0.25">
      <c r="A23" t="s">
        <v>46</v>
      </c>
      <c r="B23" t="s">
        <v>34</v>
      </c>
      <c r="C23" t="s">
        <v>10</v>
      </c>
      <c r="E23">
        <v>114</v>
      </c>
      <c r="G23">
        <v>122</v>
      </c>
      <c r="H23" s="9">
        <f t="shared" si="0"/>
        <v>236</v>
      </c>
      <c r="K23" s="25">
        <f>(Table2[[#This Row],[Home Pace]]/100)*(VLOOKUP(Table2[[#This Row],[Home/Neutral]],home_lookup,8,FALSE)+VLOOKUP(Table2[[#This Row],[Home/Neutral]],OFR_lookup,2,FALSE)+VLOOKUP(Table2[[#This Row],[Visitor/Neutral]],def_diff_lookup,6,FALSE))</f>
        <v>106.44883864565554</v>
      </c>
      <c r="L23" s="25"/>
      <c r="M23" s="25">
        <f>(Table2[[#This Row],[Away Pace]]/100)*(VLOOKUP(Table2[[#This Row],[Visitor/Neutral]],OFR_lookup,2,FALSE)+VLOOKUP(Table2[[#This Row],[Home/Neutral]],def_diff_lookup,6,FALSE))</f>
        <v>116.44896866666666</v>
      </c>
      <c r="N23" s="25"/>
      <c r="O23" s="25"/>
      <c r="P23">
        <f>VLOOKUP(Table2[[#This Row],[Home/Neutral]],pace_lookup,7,FALSE)</f>
        <v>98.8</v>
      </c>
      <c r="Q23" s="5">
        <f>VLOOKUP(Table2[[#This Row],[Visitor/Neutral]],pace_lookup,7,FALSE)</f>
        <v>100.3</v>
      </c>
      <c r="R23" s="9">
        <f t="shared" si="1"/>
        <v>8</v>
      </c>
      <c r="V23" s="2">
        <f>-home-VLOOKUP(Table2[[#This Row],[Home/Neutral]],rtg_vlookup,4,FALSE)+VLOOKUP(Table2[[#This Row],[Visitor/Neutral]],rtg_vlookup,4,FALSE)</f>
        <v>10.784881516587671</v>
      </c>
      <c r="W23" s="25"/>
      <c r="X23" s="2"/>
      <c r="Y23" s="2">
        <f>Table2[[#This Row],[Away EV]]-Table2[[#This Row],[Home EV]]</f>
        <v>10.000130021011117</v>
      </c>
      <c r="Z23" s="33"/>
      <c r="AA23" s="34"/>
      <c r="AB23" t="b">
        <f>IF(VLOOKUP(Table2[[#This Row],[Home/Neutral]],division_lookup,9,FALSE)=VLOOKUP(Table2[[#This Row],[Visitor/Neutral]],division_lookup,9,FALSE),TRUE,FALSE)</f>
        <v>0</v>
      </c>
      <c r="AC23" s="19" t="str">
        <f>VLOOKUP(Table2[[#This Row],[Home/Neutral]],division_lookup,9,FALSE)</f>
        <v>SW</v>
      </c>
      <c r="AD23" s="19"/>
      <c r="AE23" s="19" t="str">
        <f>IF(Table2[[#This Row],[Total EV ®]]&lt;Table2[[#This Row],[Total (V)]],"UNDER","OVER")</f>
        <v>OVER</v>
      </c>
      <c r="AF23" s="19"/>
      <c r="AG23" s="19"/>
      <c r="AH23" s="2"/>
      <c r="AI23" s="22">
        <f>Table2[[#This Row],[(A)]]-Table2[[#This Row],[Spread]]</f>
        <v>2.7848815165876708</v>
      </c>
      <c r="AJ23" s="1">
        <f>Table2[[#This Row],[(A) Err]]^2</f>
        <v>7.7555650614316454</v>
      </c>
      <c r="AK23" s="6">
        <f>Table2[[#This Row],[EV]]-Table2[[#This Row],[Spread]]</f>
        <v>2.0001300210111168</v>
      </c>
      <c r="AL23" s="1">
        <f>Table2[[#This Row],[EV Err]]^2</f>
        <v>4.0005201009499309</v>
      </c>
    </row>
    <row r="24" spans="1:38" x14ac:dyDescent="0.25">
      <c r="A24" t="s">
        <v>46</v>
      </c>
      <c r="B24" t="s">
        <v>18</v>
      </c>
      <c r="C24" t="s">
        <v>36</v>
      </c>
      <c r="E24">
        <v>113</v>
      </c>
      <c r="G24">
        <v>110</v>
      </c>
      <c r="H24" s="9">
        <f t="shared" si="0"/>
        <v>223</v>
      </c>
      <c r="K24" s="25">
        <f>(Table2[[#This Row],[Home Pace]]/100)*(VLOOKUP(Table2[[#This Row],[Home/Neutral]],home_lookup,8,FALSE)+VLOOKUP(Table2[[#This Row],[Home/Neutral]],OFR_lookup,2,FALSE)+VLOOKUP(Table2[[#This Row],[Visitor/Neutral]],def_diff_lookup,6,FALSE))</f>
        <v>105.71100616021131</v>
      </c>
      <c r="L24" s="25"/>
      <c r="M24" s="25">
        <f>(Table2[[#This Row],[Away Pace]]/100)*(VLOOKUP(Table2[[#This Row],[Visitor/Neutral]],OFR_lookup,2,FALSE)+VLOOKUP(Table2[[#This Row],[Home/Neutral]],def_diff_lookup,6,FALSE))</f>
        <v>100.95384133333334</v>
      </c>
      <c r="N24" s="25"/>
      <c r="O24" s="25"/>
      <c r="P24">
        <f>VLOOKUP(Table2[[#This Row],[Home/Neutral]],pace_lookup,7,FALSE)</f>
        <v>99.5</v>
      </c>
      <c r="Q24" s="5">
        <f>VLOOKUP(Table2[[#This Row],[Visitor/Neutral]],pace_lookup,7,FALSE)</f>
        <v>102.2</v>
      </c>
      <c r="R24" s="9">
        <f t="shared" si="1"/>
        <v>-3</v>
      </c>
      <c r="V24" s="2">
        <f>-home-VLOOKUP(Table2[[#This Row],[Home/Neutral]],rtg_vlookup,4,FALSE)+VLOOKUP(Table2[[#This Row],[Visitor/Neutral]],rtg_vlookup,4,FALSE)</f>
        <v>-11.255118483412332</v>
      </c>
      <c r="W24" s="25"/>
      <c r="X24" s="2"/>
      <c r="Y24" s="2">
        <f>Table2[[#This Row],[Away EV]]-Table2[[#This Row],[Home EV]]</f>
        <v>-4.7571648268779683</v>
      </c>
      <c r="Z24" s="33"/>
      <c r="AA24" s="34"/>
      <c r="AB24" t="b">
        <f>IF(VLOOKUP(Table2[[#This Row],[Home/Neutral]],division_lookup,9,FALSE)=VLOOKUP(Table2[[#This Row],[Visitor/Neutral]],division_lookup,9,FALSE),TRUE,FALSE)</f>
        <v>0</v>
      </c>
      <c r="AC24" s="19" t="str">
        <f>VLOOKUP(Table2[[#This Row],[Home/Neutral]],division_lookup,9,FALSE)</f>
        <v>NW</v>
      </c>
      <c r="AD24" s="19"/>
      <c r="AE24" s="19" t="str">
        <f>IF(Table2[[#This Row],[Total EV ®]]&lt;Table2[[#This Row],[Total (V)]],"UNDER","OVER")</f>
        <v>OVER</v>
      </c>
      <c r="AF24" s="19"/>
      <c r="AG24" s="19"/>
      <c r="AH24" s="2"/>
      <c r="AI24" s="22">
        <f>Table2[[#This Row],[(A)]]-Table2[[#This Row],[Spread]]</f>
        <v>-8.2551184834123319</v>
      </c>
      <c r="AJ24" s="1">
        <f>Table2[[#This Row],[(A) Err]]^2</f>
        <v>68.146981175175924</v>
      </c>
      <c r="AK24" s="6">
        <f>Table2[[#This Row],[EV]]-Table2[[#This Row],[Spread]]</f>
        <v>-1.7571648268779683</v>
      </c>
      <c r="AL24" s="1">
        <f>Table2[[#This Row],[EV Err]]^2</f>
        <v>3.08762822881708</v>
      </c>
    </row>
    <row r="25" spans="1:38" x14ac:dyDescent="0.25">
      <c r="A25" t="s">
        <v>46</v>
      </c>
      <c r="B25" t="s">
        <v>14</v>
      </c>
      <c r="C25" t="s">
        <v>8</v>
      </c>
      <c r="E25">
        <v>91</v>
      </c>
      <c r="G25">
        <v>94</v>
      </c>
      <c r="H25" s="9">
        <f t="shared" si="0"/>
        <v>185</v>
      </c>
      <c r="K25" s="25">
        <f>(Table2[[#This Row],[Home Pace]]/100)*(VLOOKUP(Table2[[#This Row],[Home/Neutral]],home_lookup,8,FALSE)+VLOOKUP(Table2[[#This Row],[Home/Neutral]],OFR_lookup,2,FALSE)+VLOOKUP(Table2[[#This Row],[Visitor/Neutral]],def_diff_lookup,6,FALSE))</f>
        <v>105.27855414241451</v>
      </c>
      <c r="L25" s="25"/>
      <c r="M25" s="25">
        <f>(Table2[[#This Row],[Away Pace]]/100)*(VLOOKUP(Table2[[#This Row],[Visitor/Neutral]],OFR_lookup,2,FALSE)+VLOOKUP(Table2[[#This Row],[Home/Neutral]],def_diff_lookup,6,FALSE))</f>
        <v>109.91440800000001</v>
      </c>
      <c r="N25" s="25"/>
      <c r="O25" s="25"/>
      <c r="P25">
        <f>VLOOKUP(Table2[[#This Row],[Home/Neutral]],pace_lookup,7,FALSE)</f>
        <v>95.9</v>
      </c>
      <c r="Q25" s="5">
        <f>VLOOKUP(Table2[[#This Row],[Visitor/Neutral]],pace_lookup,7,FALSE)</f>
        <v>97.2</v>
      </c>
      <c r="R25" s="9">
        <f t="shared" si="1"/>
        <v>3</v>
      </c>
      <c r="V25" s="2">
        <f>-home-VLOOKUP(Table2[[#This Row],[Home/Neutral]],rtg_vlookup,4,FALSE)+VLOOKUP(Table2[[#This Row],[Visitor/Neutral]],rtg_vlookup,4,FALSE)</f>
        <v>-0.83511848341233019</v>
      </c>
      <c r="W25" s="25"/>
      <c r="X25" s="2"/>
      <c r="Y25" s="2">
        <f>Table2[[#This Row],[Away EV]]-Table2[[#This Row],[Home EV]]</f>
        <v>4.6358538575855022</v>
      </c>
      <c r="Z25" s="33"/>
      <c r="AA25" s="34"/>
      <c r="AB25" t="b">
        <f>IF(VLOOKUP(Table2[[#This Row],[Home/Neutral]],division_lookup,9,FALSE)=VLOOKUP(Table2[[#This Row],[Visitor/Neutral]],division_lookup,9,FALSE),TRUE,FALSE)</f>
        <v>0</v>
      </c>
      <c r="AC25" s="19" t="str">
        <f>VLOOKUP(Table2[[#This Row],[Home/Neutral]],division_lookup,9,FALSE)</f>
        <v>A</v>
      </c>
      <c r="AD25" s="19"/>
      <c r="AE25" s="19" t="str">
        <f>IF(Table2[[#This Row],[Total EV ®]]&lt;Table2[[#This Row],[Total (V)]],"UNDER","OVER")</f>
        <v>OVER</v>
      </c>
      <c r="AF25" s="19"/>
      <c r="AG25" s="19"/>
      <c r="AH25" s="2"/>
      <c r="AI25" s="22">
        <f>Table2[[#This Row],[(A)]]-Table2[[#This Row],[Spread]]</f>
        <v>-3.8351184834123302</v>
      </c>
      <c r="AJ25" s="1">
        <f>Table2[[#This Row],[(A) Err]]^2</f>
        <v>14.708133781810892</v>
      </c>
      <c r="AK25" s="6">
        <f>Table2[[#This Row],[EV]]-Table2[[#This Row],[Spread]]</f>
        <v>1.6358538575855022</v>
      </c>
      <c r="AL25" s="1">
        <f>Table2[[#This Row],[EV Err]]^2</f>
        <v>2.6760178433773683</v>
      </c>
    </row>
    <row r="26" spans="1:38" ht="15.75" thickBot="1" x14ac:dyDescent="0.3">
      <c r="A26" s="41" t="s">
        <v>46</v>
      </c>
      <c r="B26" s="41" t="s">
        <v>20</v>
      </c>
      <c r="C26" s="41" t="s">
        <v>24</v>
      </c>
      <c r="D26" s="41"/>
      <c r="E26" s="41">
        <v>96</v>
      </c>
      <c r="F26" s="41"/>
      <c r="G26" s="41">
        <v>89</v>
      </c>
      <c r="H26" s="42">
        <f t="shared" si="0"/>
        <v>185</v>
      </c>
      <c r="I26" s="41"/>
      <c r="J26" s="41"/>
      <c r="K26" s="43">
        <f>(Table2[[#This Row],[Home Pace]]/100)*(VLOOKUP(Table2[[#This Row],[Home/Neutral]],home_lookup,8,FALSE)+VLOOKUP(Table2[[#This Row],[Home/Neutral]],OFR_lookup,2,FALSE)+VLOOKUP(Table2[[#This Row],[Visitor/Neutral]],def_diff_lookup,6,FALSE))</f>
        <v>107.51024528915177</v>
      </c>
      <c r="L26" s="43"/>
      <c r="M26" s="43">
        <f>(Table2[[#This Row],[Away Pace]]/100)*(VLOOKUP(Table2[[#This Row],[Visitor/Neutral]],OFR_lookup,2,FALSE)+VLOOKUP(Table2[[#This Row],[Home/Neutral]],def_diff_lookup,6,FALSE))</f>
        <v>108.96159600000003</v>
      </c>
      <c r="N26" s="43"/>
      <c r="O26" s="43"/>
      <c r="P26" s="41">
        <f>VLOOKUP(Table2[[#This Row],[Home/Neutral]],pace_lookup,7,FALSE)</f>
        <v>90.9</v>
      </c>
      <c r="Q26" s="41">
        <f>VLOOKUP(Table2[[#This Row],[Visitor/Neutral]],pace_lookup,7,FALSE)</f>
        <v>99.9</v>
      </c>
      <c r="R26" s="42">
        <f t="shared" si="1"/>
        <v>-7</v>
      </c>
      <c r="S26" s="41"/>
      <c r="T26" s="41"/>
      <c r="U26" s="41"/>
      <c r="V26" s="44">
        <f>-home-VLOOKUP(Table2[[#This Row],[Home/Neutral]],rtg_vlookup,4,FALSE)+VLOOKUP(Table2[[#This Row],[Visitor/Neutral]],rtg_vlookup,4,FALSE)</f>
        <v>-4.2051184834123312</v>
      </c>
      <c r="W26" s="43"/>
      <c r="X26" s="44"/>
      <c r="Y26" s="44">
        <f>Table2[[#This Row],[Away EV]]-Table2[[#This Row],[Home EV]]</f>
        <v>1.45135071084826</v>
      </c>
      <c r="Z26" s="45"/>
      <c r="AA26" s="50"/>
      <c r="AB26" s="41" t="b">
        <f>IF(VLOOKUP(Table2[[#This Row],[Home/Neutral]],division_lookup,9,FALSE)=VLOOKUP(Table2[[#This Row],[Visitor/Neutral]],division_lookup,9,FALSE),TRUE,FALSE)</f>
        <v>0</v>
      </c>
      <c r="AC26" s="46" t="str">
        <f>VLOOKUP(Table2[[#This Row],[Home/Neutral]],division_lookup,9,FALSE)</f>
        <v>NW</v>
      </c>
      <c r="AD26" s="46"/>
      <c r="AE26" s="46" t="str">
        <f>IF(Table2[[#This Row],[Total EV ®]]&lt;Table2[[#This Row],[Total (V)]],"UNDER","OVER")</f>
        <v>OVER</v>
      </c>
      <c r="AF26" s="47"/>
      <c r="AG26" s="46"/>
      <c r="AH26" s="44"/>
      <c r="AI26" s="48">
        <f>Table2[[#This Row],[(A)]]-Table2[[#This Row],[Spread]]</f>
        <v>2.7948815165876688</v>
      </c>
      <c r="AJ26" s="49">
        <f>Table2[[#This Row],[(A) Err]]^2</f>
        <v>7.8113626917633878</v>
      </c>
      <c r="AK26" s="49">
        <f>Table2[[#This Row],[EV]]-Table2[[#This Row],[Spread]]</f>
        <v>8.45135071084826</v>
      </c>
      <c r="AL26" s="49">
        <f>Table2[[#This Row],[EV Err]]^2</f>
        <v>71.425328837755387</v>
      </c>
    </row>
    <row r="27" spans="1:38" x14ac:dyDescent="0.25">
      <c r="A27" t="s">
        <v>47</v>
      </c>
      <c r="B27" t="s">
        <v>13</v>
      </c>
      <c r="C27" t="s">
        <v>33</v>
      </c>
      <c r="E27">
        <v>118</v>
      </c>
      <c r="G27">
        <v>101</v>
      </c>
      <c r="H27" s="9">
        <f t="shared" si="0"/>
        <v>219</v>
      </c>
      <c r="K27" s="25">
        <f>(Table2[[#This Row],[Home Pace]]/100)*(VLOOKUP(Table2[[#This Row],[Home/Neutral]],home_lookup,8,FALSE)+VLOOKUP(Table2[[#This Row],[Home/Neutral]],OFR_lookup,2,FALSE)+VLOOKUP(Table2[[#This Row],[Visitor/Neutral]],def_diff_lookup,6,FALSE))</f>
        <v>107.73574108450401</v>
      </c>
      <c r="L27" s="25"/>
      <c r="M27" s="25">
        <f>(Table2[[#This Row],[Away Pace]]/100)*(VLOOKUP(Table2[[#This Row],[Visitor/Neutral]],OFR_lookup,2,FALSE)+VLOOKUP(Table2[[#This Row],[Home/Neutral]],def_diff_lookup,6,FALSE))</f>
        <v>101.00917466666667</v>
      </c>
      <c r="N27" s="25"/>
      <c r="O27" s="25"/>
      <c r="P27">
        <f>VLOOKUP(Table2[[#This Row],[Home/Neutral]],pace_lookup,7,FALSE)</f>
        <v>94.5</v>
      </c>
      <c r="Q27" s="5">
        <f>VLOOKUP(Table2[[#This Row],[Visitor/Neutral]],pace_lookup,7,FALSE)</f>
        <v>98.2</v>
      </c>
      <c r="R27" s="9">
        <f t="shared" si="1"/>
        <v>-17</v>
      </c>
      <c r="V27" s="2">
        <f>-home-VLOOKUP(Table2[[#This Row],[Home/Neutral]],rtg_vlookup,4,FALSE)+VLOOKUP(Table2[[#This Row],[Visitor/Neutral]],rtg_vlookup,4,FALSE)</f>
        <v>-13.605118483412332</v>
      </c>
      <c r="W27" s="25"/>
      <c r="X27" s="2"/>
      <c r="Y27" s="2">
        <f>Table2[[#This Row],[Away EV]]-Table2[[#This Row],[Home EV]]</f>
        <v>-6.726566417837347</v>
      </c>
      <c r="Z27" s="33"/>
      <c r="AA27" s="34"/>
      <c r="AB27" t="b">
        <f>IF(VLOOKUP(Table2[[#This Row],[Home/Neutral]],division_lookup,9,FALSE)=VLOOKUP(Table2[[#This Row],[Visitor/Neutral]],division_lookup,9,FALSE),TRUE,FALSE)</f>
        <v>1</v>
      </c>
      <c r="AC27" s="19" t="str">
        <f>VLOOKUP(Table2[[#This Row],[Home/Neutral]],division_lookup,9,FALSE)</f>
        <v>C</v>
      </c>
      <c r="AD27" s="19"/>
      <c r="AE27" s="19" t="str">
        <f>IF(Table2[[#This Row],[Total EV ®]]&lt;Table2[[#This Row],[Total (V)]],"UNDER","OVER")</f>
        <v>OVER</v>
      </c>
      <c r="AF27" s="19"/>
      <c r="AG27" s="19"/>
      <c r="AH27" s="2"/>
      <c r="AI27" s="22">
        <f>Table2[[#This Row],[(A)]]-Table2[[#This Row],[Spread]]</f>
        <v>3.3948815165876685</v>
      </c>
      <c r="AJ27" s="1">
        <f>Table2[[#This Row],[(A) Err]]^2</f>
        <v>11.525220511668588</v>
      </c>
      <c r="AK27" s="6">
        <f>Table2[[#This Row],[EV]]-Table2[[#This Row],[Spread]]</f>
        <v>10.273433582162653</v>
      </c>
      <c r="AL27" s="1">
        <f>Table2[[#This Row],[EV Err]]^2</f>
        <v>105.54343756710736</v>
      </c>
    </row>
    <row r="28" spans="1:38" x14ac:dyDescent="0.25">
      <c r="A28" t="s">
        <v>47</v>
      </c>
      <c r="B28" t="s">
        <v>16</v>
      </c>
      <c r="C28" t="s">
        <v>26</v>
      </c>
      <c r="E28">
        <v>98</v>
      </c>
      <c r="G28">
        <v>104</v>
      </c>
      <c r="H28" s="9">
        <f t="shared" si="0"/>
        <v>202</v>
      </c>
      <c r="K28" s="25">
        <f>(Table2[[#This Row],[Home Pace]]/100)*(VLOOKUP(Table2[[#This Row],[Home/Neutral]],home_lookup,8,FALSE)+VLOOKUP(Table2[[#This Row],[Home/Neutral]],OFR_lookup,2,FALSE)+VLOOKUP(Table2[[#This Row],[Visitor/Neutral]],def_diff_lookup,6,FALSE))</f>
        <v>105.42035601115951</v>
      </c>
      <c r="L28" s="25"/>
      <c r="M28" s="25">
        <f>(Table2[[#This Row],[Away Pace]]/100)*(VLOOKUP(Table2[[#This Row],[Visitor/Neutral]],OFR_lookup,2,FALSE)+VLOOKUP(Table2[[#This Row],[Home/Neutral]],def_diff_lookup,6,FALSE))</f>
        <v>101.82784000000001</v>
      </c>
      <c r="N28" s="25"/>
      <c r="O28" s="25"/>
      <c r="P28">
        <f>VLOOKUP(Table2[[#This Row],[Home/Neutral]],pace_lookup,7,FALSE)</f>
        <v>97.5</v>
      </c>
      <c r="Q28" s="5">
        <f>VLOOKUP(Table2[[#This Row],[Visitor/Neutral]],pace_lookup,7,FALSE)</f>
        <v>96</v>
      </c>
      <c r="R28" s="9">
        <f t="shared" si="1"/>
        <v>6</v>
      </c>
      <c r="V28" s="2">
        <f>-home-VLOOKUP(Table2[[#This Row],[Home/Neutral]],rtg_vlookup,4,FALSE)+VLOOKUP(Table2[[#This Row],[Visitor/Neutral]],rtg_vlookup,4,FALSE)</f>
        <v>-5.5651184834123306</v>
      </c>
      <c r="W28" s="25"/>
      <c r="X28" s="2"/>
      <c r="Y28" s="2">
        <f>Table2[[#This Row],[Away EV]]-Table2[[#This Row],[Home EV]]</f>
        <v>-3.5925160111595034</v>
      </c>
      <c r="Z28" s="33"/>
      <c r="AA28" s="34"/>
      <c r="AB28" t="b">
        <f>IF(VLOOKUP(Table2[[#This Row],[Home/Neutral]],division_lookup,9,FALSE)=VLOOKUP(Table2[[#This Row],[Visitor/Neutral]],division_lookup,9,FALSE),TRUE,FALSE)</f>
        <v>0</v>
      </c>
      <c r="AC28" s="19" t="str">
        <f>VLOOKUP(Table2[[#This Row],[Home/Neutral]],division_lookup,9,FALSE)</f>
        <v>SE</v>
      </c>
      <c r="AD28" s="19"/>
      <c r="AE28" s="19" t="str">
        <f>IF(Table2[[#This Row],[Total EV ®]]&lt;Table2[[#This Row],[Total (V)]],"UNDER","OVER")</f>
        <v>OVER</v>
      </c>
      <c r="AF28" s="19"/>
      <c r="AG28" s="19"/>
      <c r="AH28" s="2"/>
      <c r="AI28" s="22">
        <f>Table2[[#This Row],[(A)]]-Table2[[#This Row],[Spread]]</f>
        <v>-11.565118483412331</v>
      </c>
      <c r="AJ28" s="1">
        <f>Table2[[#This Row],[(A) Err]]^2</f>
        <v>133.75196553536551</v>
      </c>
      <c r="AK28" s="6">
        <f>Table2[[#This Row],[EV]]-Table2[[#This Row],[Spread]]</f>
        <v>-9.5925160111595034</v>
      </c>
      <c r="AL28" s="1">
        <f>Table2[[#This Row],[EV Err]]^2</f>
        <v>92.016363424351425</v>
      </c>
    </row>
    <row r="29" spans="1:38" x14ac:dyDescent="0.25">
      <c r="A29" t="s">
        <v>47</v>
      </c>
      <c r="B29" t="s">
        <v>8</v>
      </c>
      <c r="C29" t="s">
        <v>38</v>
      </c>
      <c r="E29">
        <v>105</v>
      </c>
      <c r="G29">
        <v>99</v>
      </c>
      <c r="H29" s="9">
        <f t="shared" si="0"/>
        <v>204</v>
      </c>
      <c r="K29" s="25">
        <f>(Table2[[#This Row],[Home Pace]]/100)*(VLOOKUP(Table2[[#This Row],[Home/Neutral]],home_lookup,8,FALSE)+VLOOKUP(Table2[[#This Row],[Home/Neutral]],OFR_lookup,2,FALSE)+VLOOKUP(Table2[[#This Row],[Visitor/Neutral]],def_diff_lookup,6,FALSE))</f>
        <v>105.86562036898181</v>
      </c>
      <c r="L29" s="25"/>
      <c r="M29" s="25">
        <f>(Table2[[#This Row],[Away Pace]]/100)*(VLOOKUP(Table2[[#This Row],[Visitor/Neutral]],OFR_lookup,2,FALSE)+VLOOKUP(Table2[[#This Row],[Home/Neutral]],def_diff_lookup,6,FALSE))</f>
        <v>91.157968000000025</v>
      </c>
      <c r="N29" s="25"/>
      <c r="O29" s="25"/>
      <c r="P29">
        <f>VLOOKUP(Table2[[#This Row],[Home/Neutral]],pace_lookup,7,FALSE)</f>
        <v>97.2</v>
      </c>
      <c r="Q29" s="5">
        <f>VLOOKUP(Table2[[#This Row],[Visitor/Neutral]],pace_lookup,7,FALSE)</f>
        <v>94.2</v>
      </c>
      <c r="R29" s="9">
        <f t="shared" si="1"/>
        <v>-6</v>
      </c>
      <c r="V29" s="2">
        <f>-home-VLOOKUP(Table2[[#This Row],[Home/Neutral]],rtg_vlookup,4,FALSE)+VLOOKUP(Table2[[#This Row],[Visitor/Neutral]],rtg_vlookup,4,FALSE)</f>
        <v>-18.275118483412328</v>
      </c>
      <c r="W29" s="25"/>
      <c r="X29" s="2"/>
      <c r="Y29" s="2">
        <f>Table2[[#This Row],[Away EV]]-Table2[[#This Row],[Home EV]]</f>
        <v>-14.707652368981783</v>
      </c>
      <c r="Z29" s="33"/>
      <c r="AA29" s="34"/>
      <c r="AB29" t="b">
        <f>IF(VLOOKUP(Table2[[#This Row],[Home/Neutral]],division_lookup,9,FALSE)=VLOOKUP(Table2[[#This Row],[Visitor/Neutral]],division_lookup,9,FALSE),TRUE,FALSE)</f>
        <v>0</v>
      </c>
      <c r="AC29" s="19" t="str">
        <f>VLOOKUP(Table2[[#This Row],[Home/Neutral]],division_lookup,9,FALSE)</f>
        <v>C</v>
      </c>
      <c r="AD29" s="19"/>
      <c r="AE29" s="19" t="str">
        <f>IF(Table2[[#This Row],[Total EV ®]]&lt;Table2[[#This Row],[Total (V)]],"UNDER","OVER")</f>
        <v>OVER</v>
      </c>
      <c r="AF29" s="19"/>
      <c r="AG29" s="19"/>
      <c r="AH29" s="2"/>
      <c r="AI29" s="22">
        <f>Table2[[#This Row],[(A)]]-Table2[[#This Row],[Spread]]</f>
        <v>-12.275118483412328</v>
      </c>
      <c r="AJ29" s="1">
        <f>Table2[[#This Row],[(A) Err]]^2</f>
        <v>150.67853378181096</v>
      </c>
      <c r="AK29" s="6">
        <f>Table2[[#This Row],[EV]]-Table2[[#This Row],[Spread]]</f>
        <v>-8.7076523689817833</v>
      </c>
      <c r="AL29" s="1">
        <f>Table2[[#This Row],[EV Err]]^2</f>
        <v>75.823209779034059</v>
      </c>
    </row>
    <row r="30" spans="1:38" x14ac:dyDescent="0.25">
      <c r="A30" t="s">
        <v>47</v>
      </c>
      <c r="B30" t="s">
        <v>27</v>
      </c>
      <c r="C30" t="s">
        <v>32</v>
      </c>
      <c r="E30">
        <v>113</v>
      </c>
      <c r="G30">
        <v>115</v>
      </c>
      <c r="H30" s="9">
        <f t="shared" si="0"/>
        <v>228</v>
      </c>
      <c r="K30" s="25">
        <f>(Table2[[#This Row],[Home Pace]]/100)*(VLOOKUP(Table2[[#This Row],[Home/Neutral]],home_lookup,8,FALSE)+VLOOKUP(Table2[[#This Row],[Home/Neutral]],OFR_lookup,2,FALSE)+VLOOKUP(Table2[[#This Row],[Visitor/Neutral]],def_diff_lookup,6,FALSE))</f>
        <v>109.56465642647258</v>
      </c>
      <c r="L30" s="25"/>
      <c r="M30" s="25">
        <f>(Table2[[#This Row],[Away Pace]]/100)*(VLOOKUP(Table2[[#This Row],[Visitor/Neutral]],OFR_lookup,2,FALSE)+VLOOKUP(Table2[[#This Row],[Home/Neutral]],def_diff_lookup,6,FALSE))</f>
        <v>106.54781733333334</v>
      </c>
      <c r="N30" s="25"/>
      <c r="O30" s="25"/>
      <c r="P30">
        <f>VLOOKUP(Table2[[#This Row],[Home/Neutral]],pace_lookup,7,FALSE)</f>
        <v>99</v>
      </c>
      <c r="Q30" s="5">
        <f>VLOOKUP(Table2[[#This Row],[Visitor/Neutral]],pace_lookup,7,FALSE)</f>
        <v>98.6</v>
      </c>
      <c r="R30" s="9">
        <f t="shared" si="1"/>
        <v>2</v>
      </c>
      <c r="V30" s="2">
        <f>-home-VLOOKUP(Table2[[#This Row],[Home/Neutral]],rtg_vlookup,4,FALSE)+VLOOKUP(Table2[[#This Row],[Visitor/Neutral]],rtg_vlookup,4,FALSE)</f>
        <v>-5.0151184834123308</v>
      </c>
      <c r="W30" s="25"/>
      <c r="X30" s="2"/>
      <c r="Y30" s="2">
        <f>Table2[[#This Row],[Away EV]]-Table2[[#This Row],[Home EV]]</f>
        <v>-3.0168390931392395</v>
      </c>
      <c r="Z30" s="33"/>
      <c r="AA30" s="34"/>
      <c r="AB30" t="b">
        <f>IF(VLOOKUP(Table2[[#This Row],[Home/Neutral]],division_lookup,9,FALSE)=VLOOKUP(Table2[[#This Row],[Visitor/Neutral]],division_lookup,9,FALSE),TRUE,FALSE)</f>
        <v>1</v>
      </c>
      <c r="AC30" s="19" t="str">
        <f>VLOOKUP(Table2[[#This Row],[Home/Neutral]],division_lookup,9,FALSE)</f>
        <v>NW</v>
      </c>
      <c r="AD30" s="19"/>
      <c r="AE30" s="19" t="str">
        <f>IF(Table2[[#This Row],[Total EV ®]]&lt;Table2[[#This Row],[Total (V)]],"UNDER","OVER")</f>
        <v>OVER</v>
      </c>
      <c r="AF30" s="19"/>
      <c r="AG30" s="19"/>
      <c r="AH30" s="2"/>
      <c r="AI30" s="22">
        <f>Table2[[#This Row],[(A)]]-Table2[[#This Row],[Spread]]</f>
        <v>-7.0151184834123308</v>
      </c>
      <c r="AJ30" s="1">
        <f>Table2[[#This Row],[(A) Err]]^2</f>
        <v>49.211887336313318</v>
      </c>
      <c r="AK30" s="6">
        <f>Table2[[#This Row],[EV]]-Table2[[#This Row],[Spread]]</f>
        <v>-5.0168390931392395</v>
      </c>
      <c r="AL30" s="1">
        <f>Table2[[#This Row],[EV Err]]^2</f>
        <v>25.168674486450147</v>
      </c>
    </row>
    <row r="31" spans="1:38" x14ac:dyDescent="0.25">
      <c r="A31" t="s">
        <v>47</v>
      </c>
      <c r="B31" t="s">
        <v>30</v>
      </c>
      <c r="C31" t="s">
        <v>35</v>
      </c>
      <c r="E31">
        <v>110</v>
      </c>
      <c r="G31">
        <v>108</v>
      </c>
      <c r="H31" s="9">
        <f t="shared" si="0"/>
        <v>218</v>
      </c>
      <c r="K31" s="25">
        <f>(Table2[[#This Row],[Home Pace]]/100)*(VLOOKUP(Table2[[#This Row],[Home/Neutral]],home_lookup,8,FALSE)+VLOOKUP(Table2[[#This Row],[Home/Neutral]],OFR_lookup,2,FALSE)+VLOOKUP(Table2[[#This Row],[Visitor/Neutral]],def_diff_lookup,6,FALSE))</f>
        <v>111.56808034993644</v>
      </c>
      <c r="L31" s="25"/>
      <c r="M31" s="25">
        <f>(Table2[[#This Row],[Away Pace]]/100)*(VLOOKUP(Table2[[#This Row],[Visitor/Neutral]],OFR_lookup,2,FALSE)+VLOOKUP(Table2[[#This Row],[Home/Neutral]],def_diff_lookup,6,FALSE))</f>
        <v>107.82168133333336</v>
      </c>
      <c r="N31" s="25"/>
      <c r="O31" s="25"/>
      <c r="P31">
        <f>VLOOKUP(Table2[[#This Row],[Home/Neutral]],pace_lookup,7,FALSE)</f>
        <v>96.8</v>
      </c>
      <c r="Q31" s="5">
        <f>VLOOKUP(Table2[[#This Row],[Visitor/Neutral]],pace_lookup,7,FALSE)</f>
        <v>102.2</v>
      </c>
      <c r="R31" s="9">
        <f t="shared" si="1"/>
        <v>-2</v>
      </c>
      <c r="V31" s="2">
        <f>-home-VLOOKUP(Table2[[#This Row],[Home/Neutral]],rtg_vlookup,4,FALSE)+VLOOKUP(Table2[[#This Row],[Visitor/Neutral]],rtg_vlookup,4,FALSE)</f>
        <v>-6.5251184834123306</v>
      </c>
      <c r="W31" s="25"/>
      <c r="X31" s="2"/>
      <c r="Y31" s="2">
        <f>Table2[[#This Row],[Away EV]]-Table2[[#This Row],[Home EV]]</f>
        <v>-3.7463990166030783</v>
      </c>
      <c r="Z31" s="33"/>
      <c r="AA31" s="34"/>
      <c r="AB31" t="b">
        <f>IF(VLOOKUP(Table2[[#This Row],[Home/Neutral]],division_lookup,9,FALSE)=VLOOKUP(Table2[[#This Row],[Visitor/Neutral]],division_lookup,9,FALSE),TRUE,FALSE)</f>
        <v>0</v>
      </c>
      <c r="AC31" s="19" t="str">
        <f>VLOOKUP(Table2[[#This Row],[Home/Neutral]],division_lookup,9,FALSE)</f>
        <v>C</v>
      </c>
      <c r="AD31" s="19"/>
      <c r="AE31" s="19" t="str">
        <f>IF(Table2[[#This Row],[Total EV ®]]&lt;Table2[[#This Row],[Total (V)]],"UNDER","OVER")</f>
        <v>OVER</v>
      </c>
      <c r="AF31" s="19"/>
      <c r="AG31" s="19"/>
      <c r="AH31" s="2"/>
      <c r="AI31" s="22">
        <f>Table2[[#This Row],[(A)]]-Table2[[#This Row],[Spread]]</f>
        <v>-4.5251184834123306</v>
      </c>
      <c r="AJ31" s="1">
        <f>Table2[[#This Row],[(A) Err]]^2</f>
        <v>20.476697288919912</v>
      </c>
      <c r="AK31" s="6">
        <f>Table2[[#This Row],[EV]]-Table2[[#This Row],[Spread]]</f>
        <v>-1.7463990166030783</v>
      </c>
      <c r="AL31" s="1">
        <f>Table2[[#This Row],[EV Err]]^2</f>
        <v>3.049909525192199</v>
      </c>
    </row>
    <row r="32" spans="1:38" x14ac:dyDescent="0.25">
      <c r="A32" t="s">
        <v>47</v>
      </c>
      <c r="B32" t="s">
        <v>31</v>
      </c>
      <c r="C32" t="s">
        <v>23</v>
      </c>
      <c r="E32">
        <v>111</v>
      </c>
      <c r="G32">
        <v>104</v>
      </c>
      <c r="H32" s="9">
        <f t="shared" si="0"/>
        <v>215</v>
      </c>
      <c r="K32" s="25">
        <f>(Table2[[#This Row],[Home Pace]]/100)*(VLOOKUP(Table2[[#This Row],[Home/Neutral]],home_lookup,8,FALSE)+VLOOKUP(Table2[[#This Row],[Home/Neutral]],OFR_lookup,2,FALSE)+VLOOKUP(Table2[[#This Row],[Visitor/Neutral]],def_diff_lookup,6,FALSE))</f>
        <v>106.1469743021789</v>
      </c>
      <c r="L32" s="25"/>
      <c r="M32" s="25">
        <f>(Table2[[#This Row],[Away Pace]]/100)*(VLOOKUP(Table2[[#This Row],[Visitor/Neutral]],OFR_lookup,2,FALSE)+VLOOKUP(Table2[[#This Row],[Home/Neutral]],def_diff_lookup,6,FALSE))</f>
        <v>100.86261666666668</v>
      </c>
      <c r="N32" s="25"/>
      <c r="O32" s="25"/>
      <c r="P32">
        <f>VLOOKUP(Table2[[#This Row],[Home/Neutral]],pace_lookup,7,FALSE)</f>
        <v>96</v>
      </c>
      <c r="Q32" s="5">
        <f>VLOOKUP(Table2[[#This Row],[Visitor/Neutral]],pace_lookup,7,FALSE)</f>
        <v>92.5</v>
      </c>
      <c r="R32" s="9">
        <f t="shared" si="1"/>
        <v>-7</v>
      </c>
      <c r="V32" s="2">
        <f>-home-VLOOKUP(Table2[[#This Row],[Home/Neutral]],rtg_vlookup,4,FALSE)+VLOOKUP(Table2[[#This Row],[Visitor/Neutral]],rtg_vlookup,4,FALSE)</f>
        <v>1.9148815165876694</v>
      </c>
      <c r="W32" s="25"/>
      <c r="X32" s="2"/>
      <c r="Y32" s="2">
        <f>Table2[[#This Row],[Away EV]]-Table2[[#This Row],[Home EV]]</f>
        <v>-5.2843576355122224</v>
      </c>
      <c r="Z32" s="33"/>
      <c r="AA32" s="34"/>
      <c r="AB32" t="b">
        <f>IF(VLOOKUP(Table2[[#This Row],[Home/Neutral]],division_lookup,9,FALSE)=VLOOKUP(Table2[[#This Row],[Visitor/Neutral]],division_lookup,9,FALSE),TRUE,FALSE)</f>
        <v>0</v>
      </c>
      <c r="AC32" s="19" t="str">
        <f>VLOOKUP(Table2[[#This Row],[Home/Neutral]],division_lookup,9,FALSE)</f>
        <v>A</v>
      </c>
      <c r="AD32" s="19"/>
      <c r="AE32" s="19" t="str">
        <f>IF(Table2[[#This Row],[Total EV ®]]&lt;Table2[[#This Row],[Total (V)]],"UNDER","OVER")</f>
        <v>OVER</v>
      </c>
      <c r="AF32" s="19"/>
      <c r="AG32" s="19"/>
      <c r="AH32" s="2"/>
      <c r="AI32" s="22">
        <f>Table2[[#This Row],[(A)]]-Table2[[#This Row],[Spread]]</f>
        <v>8.9148815165876698</v>
      </c>
      <c r="AJ32" s="1">
        <f>Table2[[#This Row],[(A) Err]]^2</f>
        <v>79.475112454796474</v>
      </c>
      <c r="AK32" s="6">
        <f>Table2[[#This Row],[EV]]-Table2[[#This Row],[Spread]]</f>
        <v>1.7156423644877776</v>
      </c>
      <c r="AL32" s="1">
        <f>Table2[[#This Row],[EV Err]]^2</f>
        <v>2.9434287228252125</v>
      </c>
    </row>
    <row r="33" spans="1:38" x14ac:dyDescent="0.25">
      <c r="A33" t="s">
        <v>47</v>
      </c>
      <c r="B33" t="s">
        <v>39</v>
      </c>
      <c r="C33" t="s">
        <v>11</v>
      </c>
      <c r="E33">
        <v>72</v>
      </c>
      <c r="G33">
        <v>104</v>
      </c>
      <c r="H33" s="9">
        <f t="shared" si="0"/>
        <v>176</v>
      </c>
      <c r="K33" s="25">
        <f>(Table2[[#This Row],[Home Pace]]/100)*(VLOOKUP(Table2[[#This Row],[Home/Neutral]],home_lookup,8,FALSE)+VLOOKUP(Table2[[#This Row],[Home/Neutral]],OFR_lookup,2,FALSE)+VLOOKUP(Table2[[#This Row],[Visitor/Neutral]],def_diff_lookup,6,FALSE))</f>
        <v>99.732772114685787</v>
      </c>
      <c r="L33" s="25"/>
      <c r="M33" s="25">
        <f>(Table2[[#This Row],[Away Pace]]/100)*(VLOOKUP(Table2[[#This Row],[Visitor/Neutral]],OFR_lookup,2,FALSE)+VLOOKUP(Table2[[#This Row],[Home/Neutral]],def_diff_lookup,6,FALSE))</f>
        <v>107.52711466666666</v>
      </c>
      <c r="N33" s="25"/>
      <c r="O33" s="25"/>
      <c r="P33">
        <f>VLOOKUP(Table2[[#This Row],[Home/Neutral]],pace_lookup,7,FALSE)</f>
        <v>97.5</v>
      </c>
      <c r="Q33" s="5">
        <f>VLOOKUP(Table2[[#This Row],[Visitor/Neutral]],pace_lookup,7,FALSE)</f>
        <v>99.7</v>
      </c>
      <c r="R33" s="9">
        <f t="shared" si="1"/>
        <v>32</v>
      </c>
      <c r="V33" s="2">
        <f>-home-VLOOKUP(Table2[[#This Row],[Home/Neutral]],rtg_vlookup,4,FALSE)+VLOOKUP(Table2[[#This Row],[Visitor/Neutral]],rtg_vlookup,4,FALSE)</f>
        <v>12.864881516587669</v>
      </c>
      <c r="W33" s="25"/>
      <c r="X33" s="2"/>
      <c r="Y33" s="2">
        <f>Table2[[#This Row],[Away EV]]-Table2[[#This Row],[Home EV]]</f>
        <v>7.7943425519808756</v>
      </c>
      <c r="Z33" s="33"/>
      <c r="AA33" s="34"/>
      <c r="AB33" t="b">
        <f>IF(VLOOKUP(Table2[[#This Row],[Home/Neutral]],division_lookup,9,FALSE)=VLOOKUP(Table2[[#This Row],[Visitor/Neutral]],division_lookup,9,FALSE),TRUE,FALSE)</f>
        <v>0</v>
      </c>
      <c r="AC33" s="19" t="str">
        <f>VLOOKUP(Table2[[#This Row],[Home/Neutral]],division_lookup,9,FALSE)</f>
        <v>A</v>
      </c>
      <c r="AD33" s="19"/>
      <c r="AE33" s="19" t="str">
        <f>IF(Table2[[#This Row],[Total EV ®]]&lt;Table2[[#This Row],[Total (V)]],"UNDER","OVER")</f>
        <v>OVER</v>
      </c>
      <c r="AF33" s="19"/>
      <c r="AG33" s="19"/>
      <c r="AH33" s="2"/>
      <c r="AI33" s="22">
        <f>Table2[[#This Row],[(A)]]-Table2[[#This Row],[Spread]]</f>
        <v>-19.135118483412331</v>
      </c>
      <c r="AJ33" s="1">
        <f>Table2[[#This Row],[(A) Err]]^2</f>
        <v>366.1527593742282</v>
      </c>
      <c r="AK33" s="6">
        <f>Table2[[#This Row],[EV]]-Table2[[#This Row],[Spread]]</f>
        <v>-24.205657448019124</v>
      </c>
      <c r="AL33" s="1">
        <f>Table2[[#This Row],[EV Err]]^2</f>
        <v>585.91385249084374</v>
      </c>
    </row>
    <row r="34" spans="1:38" x14ac:dyDescent="0.25">
      <c r="A34" t="s">
        <v>47</v>
      </c>
      <c r="B34" t="s">
        <v>29</v>
      </c>
      <c r="C34" t="s">
        <v>22</v>
      </c>
      <c r="E34">
        <v>106</v>
      </c>
      <c r="G34">
        <v>103</v>
      </c>
      <c r="H34" s="9">
        <f t="shared" si="0"/>
        <v>209</v>
      </c>
      <c r="K34" s="25">
        <f>(Table2[[#This Row],[Home Pace]]/100)*(VLOOKUP(Table2[[#This Row],[Home/Neutral]],home_lookup,8,FALSE)+VLOOKUP(Table2[[#This Row],[Home/Neutral]],OFR_lookup,2,FALSE)+VLOOKUP(Table2[[#This Row],[Visitor/Neutral]],def_diff_lookup,6,FALSE))</f>
        <v>112.74122926898524</v>
      </c>
      <c r="L34" s="25"/>
      <c r="M34" s="25">
        <f>(Table2[[#This Row],[Away Pace]]/100)*(VLOOKUP(Table2[[#This Row],[Visitor/Neutral]],OFR_lookup,2,FALSE)+VLOOKUP(Table2[[#This Row],[Home/Neutral]],def_diff_lookup,6,FALSE))</f>
        <v>108.48895133333335</v>
      </c>
      <c r="N34" s="25"/>
      <c r="O34" s="25"/>
      <c r="P34">
        <f>VLOOKUP(Table2[[#This Row],[Home/Neutral]],pace_lookup,7,FALSE)</f>
        <v>93.8</v>
      </c>
      <c r="Q34" s="5">
        <f>VLOOKUP(Table2[[#This Row],[Visitor/Neutral]],pace_lookup,7,FALSE)</f>
        <v>94.7</v>
      </c>
      <c r="R34" s="9">
        <f t="shared" si="1"/>
        <v>-3</v>
      </c>
      <c r="V34" s="2">
        <f>-home-VLOOKUP(Table2[[#This Row],[Home/Neutral]],rtg_vlookup,4,FALSE)+VLOOKUP(Table2[[#This Row],[Visitor/Neutral]],rtg_vlookup,4,FALSE)</f>
        <v>0.47488151658766931</v>
      </c>
      <c r="W34" s="25"/>
      <c r="X34" s="2"/>
      <c r="Y34" s="2">
        <f>Table2[[#This Row],[Away EV]]-Table2[[#This Row],[Home EV]]</f>
        <v>-4.2522779356518896</v>
      </c>
      <c r="Z34" s="33"/>
      <c r="AA34" s="34"/>
      <c r="AB34" t="b">
        <f>IF(VLOOKUP(Table2[[#This Row],[Home/Neutral]],division_lookup,9,FALSE)=VLOOKUP(Table2[[#This Row],[Visitor/Neutral]],division_lookup,9,FALSE),TRUE,FALSE)</f>
        <v>0</v>
      </c>
      <c r="AC34" s="19" t="str">
        <f>VLOOKUP(Table2[[#This Row],[Home/Neutral]],division_lookup,9,FALSE)</f>
        <v>P</v>
      </c>
      <c r="AD34" s="19"/>
      <c r="AE34" s="19" t="str">
        <f>IF(Table2[[#This Row],[Total EV ®]]&lt;Table2[[#This Row],[Total (V)]],"UNDER","OVER")</f>
        <v>OVER</v>
      </c>
      <c r="AF34" s="19"/>
      <c r="AG34" s="19"/>
      <c r="AH34" s="2"/>
      <c r="AI34" s="22">
        <f>Table2[[#This Row],[(A)]]-Table2[[#This Row],[Spread]]</f>
        <v>3.4748815165876694</v>
      </c>
      <c r="AJ34" s="1">
        <f>Table2[[#This Row],[(A) Err]]^2</f>
        <v>12.074801554322621</v>
      </c>
      <c r="AK34" s="6">
        <f>Table2[[#This Row],[EV]]-Table2[[#This Row],[Spread]]</f>
        <v>-1.2522779356518896</v>
      </c>
      <c r="AL34" s="1">
        <f>Table2[[#This Row],[EV Err]]^2</f>
        <v>1.5682000281205581</v>
      </c>
    </row>
    <row r="35" spans="1:38" ht="15.75" thickBot="1" x14ac:dyDescent="0.3">
      <c r="A35" s="41" t="s">
        <v>47</v>
      </c>
      <c r="B35" s="41" t="s">
        <v>6</v>
      </c>
      <c r="C35" s="41" t="s">
        <v>34</v>
      </c>
      <c r="D35" s="41"/>
      <c r="E35" s="41">
        <v>98</v>
      </c>
      <c r="F35" s="41"/>
      <c r="G35" s="41">
        <v>79</v>
      </c>
      <c r="H35" s="42">
        <f t="shared" si="0"/>
        <v>177</v>
      </c>
      <c r="I35" s="41"/>
      <c r="J35" s="41"/>
      <c r="K35" s="43">
        <f>(Table2[[#This Row],[Home Pace]]/100)*(VLOOKUP(Table2[[#This Row],[Home/Neutral]],home_lookup,8,FALSE)+VLOOKUP(Table2[[#This Row],[Home/Neutral]],OFR_lookup,2,FALSE)+VLOOKUP(Table2[[#This Row],[Visitor/Neutral]],def_diff_lookup,6,FALSE))</f>
        <v>102.78950787062243</v>
      </c>
      <c r="L35" s="43"/>
      <c r="M35" s="43">
        <f>(Table2[[#This Row],[Away Pace]]/100)*(VLOOKUP(Table2[[#This Row],[Visitor/Neutral]],OFR_lookup,2,FALSE)+VLOOKUP(Table2[[#This Row],[Home/Neutral]],def_diff_lookup,6,FALSE))</f>
        <v>97.536018666666678</v>
      </c>
      <c r="N35" s="43"/>
      <c r="O35" s="43"/>
      <c r="P35" s="41">
        <f>VLOOKUP(Table2[[#This Row],[Home/Neutral]],pace_lookup,7,FALSE)</f>
        <v>93.1</v>
      </c>
      <c r="Q35" s="41">
        <f>VLOOKUP(Table2[[#This Row],[Visitor/Neutral]],pace_lookup,7,FALSE)</f>
        <v>98.8</v>
      </c>
      <c r="R35" s="42">
        <f t="shared" si="1"/>
        <v>-19</v>
      </c>
      <c r="S35" s="41"/>
      <c r="T35" s="41"/>
      <c r="U35" s="41"/>
      <c r="V35" s="44">
        <f>-home-VLOOKUP(Table2[[#This Row],[Home/Neutral]],rtg_vlookup,4,FALSE)+VLOOKUP(Table2[[#This Row],[Visitor/Neutral]],rtg_vlookup,4,FALSE)</f>
        <v>-14.755118483412332</v>
      </c>
      <c r="W35" s="43"/>
      <c r="X35" s="44"/>
      <c r="Y35" s="44">
        <f>Table2[[#This Row],[Away EV]]-Table2[[#This Row],[Home EV]]</f>
        <v>-5.2534892039557519</v>
      </c>
      <c r="Z35" s="45"/>
      <c r="AA35" s="50"/>
      <c r="AB35" s="41" t="b">
        <f>IF(VLOOKUP(Table2[[#This Row],[Home/Neutral]],division_lookup,9,FALSE)=VLOOKUP(Table2[[#This Row],[Visitor/Neutral]],division_lookup,9,FALSE),TRUE,FALSE)</f>
        <v>1</v>
      </c>
      <c r="AC35" s="46" t="str">
        <f>VLOOKUP(Table2[[#This Row],[Home/Neutral]],division_lookup,9,FALSE)</f>
        <v>SW</v>
      </c>
      <c r="AD35" s="46"/>
      <c r="AE35" s="46" t="str">
        <f>IF(Table2[[#This Row],[Total EV ®]]&lt;Table2[[#This Row],[Total (V)]],"UNDER","OVER")</f>
        <v>OVER</v>
      </c>
      <c r="AF35" s="47"/>
      <c r="AG35" s="46"/>
      <c r="AH35" s="44"/>
      <c r="AI35" s="48">
        <f>Table2[[#This Row],[(A)]]-Table2[[#This Row],[Spread]]</f>
        <v>4.2448815165876681</v>
      </c>
      <c r="AJ35" s="49">
        <f>Table2[[#This Row],[(A) Err]]^2</f>
        <v>18.019019089867623</v>
      </c>
      <c r="AK35" s="49">
        <f>Table2[[#This Row],[EV]]-Table2[[#This Row],[Spread]]</f>
        <v>13.746510796044248</v>
      </c>
      <c r="AL35" s="49">
        <f>Table2[[#This Row],[EV Err]]^2</f>
        <v>188.96655906576106</v>
      </c>
    </row>
    <row r="36" spans="1:38" x14ac:dyDescent="0.25">
      <c r="A36" t="s">
        <v>48</v>
      </c>
      <c r="B36" t="s">
        <v>25</v>
      </c>
      <c r="C36" t="s">
        <v>30</v>
      </c>
      <c r="E36">
        <v>98</v>
      </c>
      <c r="G36">
        <v>83</v>
      </c>
      <c r="H36" s="9">
        <f t="shared" si="0"/>
        <v>181</v>
      </c>
      <c r="K36" s="25">
        <f>(Table2[[#This Row],[Home Pace]]/100)*(VLOOKUP(Table2[[#This Row],[Home/Neutral]],home_lookup,8,FALSE)+VLOOKUP(Table2[[#This Row],[Home/Neutral]],OFR_lookup,2,FALSE)+VLOOKUP(Table2[[#This Row],[Visitor/Neutral]],def_diff_lookup,6,FALSE))</f>
        <v>105.09406444427258</v>
      </c>
      <c r="L36" s="25"/>
      <c r="M36" s="25">
        <f>(Table2[[#This Row],[Away Pace]]/100)*(VLOOKUP(Table2[[#This Row],[Visitor/Neutral]],OFR_lookup,2,FALSE)+VLOOKUP(Table2[[#This Row],[Home/Neutral]],def_diff_lookup,6,FALSE))</f>
        <v>98.77536533333334</v>
      </c>
      <c r="N36" s="25"/>
      <c r="O36" s="25"/>
      <c r="P36">
        <f>VLOOKUP(Table2[[#This Row],[Home/Neutral]],pace_lookup,7,FALSE)</f>
        <v>94.4</v>
      </c>
      <c r="Q36" s="5">
        <f>VLOOKUP(Table2[[#This Row],[Visitor/Neutral]],pace_lookup,7,FALSE)</f>
        <v>96.8</v>
      </c>
      <c r="R36" s="9">
        <f t="shared" si="1"/>
        <v>-15</v>
      </c>
      <c r="V36" s="2">
        <f>-home-VLOOKUP(Table2[[#This Row],[Home/Neutral]],rtg_vlookup,4,FALSE)+VLOOKUP(Table2[[#This Row],[Visitor/Neutral]],rtg_vlookup,4,FALSE)</f>
        <v>-5.2251184834123308</v>
      </c>
      <c r="W36" s="25"/>
      <c r="X36" s="2"/>
      <c r="Y36" s="2">
        <f>Table2[[#This Row],[Away EV]]-Table2[[#This Row],[Home EV]]</f>
        <v>-6.3186991109392352</v>
      </c>
      <c r="Z36" s="33"/>
      <c r="AA36" s="34"/>
      <c r="AB36" t="b">
        <f>IF(VLOOKUP(Table2[[#This Row],[Home/Neutral]],division_lookup,9,FALSE)=VLOOKUP(Table2[[#This Row],[Visitor/Neutral]],division_lookup,9,FALSE),TRUE,FALSE)</f>
        <v>1</v>
      </c>
      <c r="AC36" s="19" t="str">
        <f>VLOOKUP(Table2[[#This Row],[Home/Neutral]],division_lookup,9,FALSE)</f>
        <v>C</v>
      </c>
      <c r="AD36" s="19"/>
      <c r="AE36" s="19" t="str">
        <f>IF(Table2[[#This Row],[Total EV ®]]&lt;Table2[[#This Row],[Total (V)]],"UNDER","OVER")</f>
        <v>OVER</v>
      </c>
      <c r="AF36" s="19"/>
      <c r="AG36" s="19"/>
      <c r="AH36" s="2"/>
      <c r="AI36" s="22">
        <f>Table2[[#This Row],[(A)]]-Table2[[#This Row],[Spread]]</f>
        <v>9.7748815165876692</v>
      </c>
      <c r="AJ36" s="1">
        <f>Table2[[#This Row],[(A) Err]]^2</f>
        <v>95.548308663327248</v>
      </c>
      <c r="AK36" s="6">
        <f>Table2[[#This Row],[EV]]-Table2[[#This Row],[Spread]]</f>
        <v>8.6813008890607648</v>
      </c>
      <c r="AL36" s="1">
        <f>Table2[[#This Row],[EV Err]]^2</f>
        <v>75.36498512640722</v>
      </c>
    </row>
    <row r="37" spans="1:38" x14ac:dyDescent="0.25">
      <c r="A37" t="s">
        <v>48</v>
      </c>
      <c r="B37" t="s">
        <v>17</v>
      </c>
      <c r="C37" t="s">
        <v>37</v>
      </c>
      <c r="E37">
        <v>93</v>
      </c>
      <c r="G37">
        <v>92</v>
      </c>
      <c r="H37" s="9">
        <f t="shared" si="0"/>
        <v>185</v>
      </c>
      <c r="K37" s="25">
        <f>(Table2[[#This Row],[Home Pace]]/100)*(VLOOKUP(Table2[[#This Row],[Home/Neutral]],home_lookup,8,FALSE)+VLOOKUP(Table2[[#This Row],[Home/Neutral]],OFR_lookup,2,FALSE)+VLOOKUP(Table2[[#This Row],[Visitor/Neutral]],def_diff_lookup,6,FALSE))</f>
        <v>106.33850692873544</v>
      </c>
      <c r="L37" s="25"/>
      <c r="M37" s="25">
        <f>(Table2[[#This Row],[Away Pace]]/100)*(VLOOKUP(Table2[[#This Row],[Visitor/Neutral]],OFR_lookup,2,FALSE)+VLOOKUP(Table2[[#This Row],[Home/Neutral]],def_diff_lookup,6,FALSE))</f>
        <v>91.216454000000013</v>
      </c>
      <c r="N37" s="25"/>
      <c r="O37" s="25"/>
      <c r="P37">
        <f>VLOOKUP(Table2[[#This Row],[Home/Neutral]],pace_lookup,7,FALSE)</f>
        <v>96.7</v>
      </c>
      <c r="Q37" s="5">
        <f>VLOOKUP(Table2[[#This Row],[Visitor/Neutral]],pace_lookup,7,FALSE)</f>
        <v>92.1</v>
      </c>
      <c r="R37" s="9">
        <f t="shared" si="1"/>
        <v>-1</v>
      </c>
      <c r="V37" s="2">
        <f>-home-VLOOKUP(Table2[[#This Row],[Home/Neutral]],rtg_vlookup,4,FALSE)+VLOOKUP(Table2[[#This Row],[Visitor/Neutral]],rtg_vlookup,4,FALSE)</f>
        <v>-14.445118483412331</v>
      </c>
      <c r="W37" s="25"/>
      <c r="X37" s="2"/>
      <c r="Y37" s="2">
        <f>Table2[[#This Row],[Away EV]]-Table2[[#This Row],[Home EV]]</f>
        <v>-15.122052928735428</v>
      </c>
      <c r="Z37" s="33"/>
      <c r="AA37" s="34"/>
      <c r="AB37" t="b">
        <f>IF(VLOOKUP(Table2[[#This Row],[Home/Neutral]],division_lookup,9,FALSE)=VLOOKUP(Table2[[#This Row],[Visitor/Neutral]],division_lookup,9,FALSE),TRUE,FALSE)</f>
        <v>1</v>
      </c>
      <c r="AC37" s="19" t="str">
        <f>VLOOKUP(Table2[[#This Row],[Home/Neutral]],division_lookup,9,FALSE)</f>
        <v>SW</v>
      </c>
      <c r="AD37" s="19"/>
      <c r="AE37" s="19" t="str">
        <f>IF(Table2[[#This Row],[Total EV ®]]&lt;Table2[[#This Row],[Total (V)]],"UNDER","OVER")</f>
        <v>OVER</v>
      </c>
      <c r="AF37" s="19"/>
      <c r="AG37" s="19"/>
      <c r="AH37" s="2"/>
      <c r="AI37" s="22">
        <f>Table2[[#This Row],[(A)]]-Table2[[#This Row],[Spread]]</f>
        <v>-13.445118483412331</v>
      </c>
      <c r="AJ37" s="1">
        <f>Table2[[#This Row],[(A) Err]]^2</f>
        <v>180.77121103299592</v>
      </c>
      <c r="AK37" s="6">
        <f>Table2[[#This Row],[EV]]-Table2[[#This Row],[Spread]]</f>
        <v>-14.122052928735428</v>
      </c>
      <c r="AL37" s="1">
        <f>Table2[[#This Row],[EV Err]]^2</f>
        <v>199.43237892200489</v>
      </c>
    </row>
    <row r="38" spans="1:38" x14ac:dyDescent="0.25">
      <c r="A38" t="s">
        <v>48</v>
      </c>
      <c r="B38" t="s">
        <v>4</v>
      </c>
      <c r="C38" t="s">
        <v>20</v>
      </c>
      <c r="E38">
        <v>88</v>
      </c>
      <c r="G38">
        <v>75</v>
      </c>
      <c r="H38" s="9">
        <f t="shared" si="0"/>
        <v>163</v>
      </c>
      <c r="K38" s="25">
        <f>(Table2[[#This Row],[Home Pace]]/100)*(VLOOKUP(Table2[[#This Row],[Home/Neutral]],home_lookup,8,FALSE)+VLOOKUP(Table2[[#This Row],[Home/Neutral]],OFR_lookup,2,FALSE)+VLOOKUP(Table2[[#This Row],[Visitor/Neutral]],def_diff_lookup,6,FALSE))</f>
        <v>100.90038781393446</v>
      </c>
      <c r="L38" s="25"/>
      <c r="M38" s="25">
        <f>(Table2[[#This Row],[Away Pace]]/100)*(VLOOKUP(Table2[[#This Row],[Visitor/Neutral]],OFR_lookup,2,FALSE)+VLOOKUP(Table2[[#This Row],[Home/Neutral]],def_diff_lookup,6,FALSE))</f>
        <v>91.364196000000021</v>
      </c>
      <c r="N38" s="25"/>
      <c r="O38" s="25"/>
      <c r="P38">
        <f>VLOOKUP(Table2[[#This Row],[Home/Neutral]],pace_lookup,7,FALSE)</f>
        <v>96.6</v>
      </c>
      <c r="Q38" s="5">
        <f>VLOOKUP(Table2[[#This Row],[Visitor/Neutral]],pace_lookup,7,FALSE)</f>
        <v>90.9</v>
      </c>
      <c r="R38" s="9">
        <f t="shared" si="1"/>
        <v>-13</v>
      </c>
      <c r="V38" s="2">
        <f>-home-VLOOKUP(Table2[[#This Row],[Home/Neutral]],rtg_vlookup,4,FALSE)+VLOOKUP(Table2[[#This Row],[Visitor/Neutral]],rtg_vlookup,4,FALSE)</f>
        <v>-15.625118483412331</v>
      </c>
      <c r="W38" s="25"/>
      <c r="X38" s="2"/>
      <c r="Y38" s="2">
        <f>Table2[[#This Row],[Away EV]]-Table2[[#This Row],[Home EV]]</f>
        <v>-9.5361918139344368</v>
      </c>
      <c r="Z38" s="33"/>
      <c r="AA38" s="34"/>
      <c r="AB38" t="b">
        <f>IF(VLOOKUP(Table2[[#This Row],[Home/Neutral]],division_lookup,9,FALSE)=VLOOKUP(Table2[[#This Row],[Visitor/Neutral]],division_lookup,9,FALSE),TRUE,FALSE)</f>
        <v>0</v>
      </c>
      <c r="AC38" s="19" t="str">
        <f>VLOOKUP(Table2[[#This Row],[Home/Neutral]],division_lookup,9,FALSE)</f>
        <v>P</v>
      </c>
      <c r="AD38" s="19"/>
      <c r="AE38" s="19" t="str">
        <f>IF(Table2[[#This Row],[Total EV ®]]&lt;Table2[[#This Row],[Total (V)]],"UNDER","OVER")</f>
        <v>OVER</v>
      </c>
      <c r="AF38" s="19"/>
      <c r="AG38" s="19"/>
      <c r="AH38" s="2"/>
      <c r="AI38" s="22">
        <f>Table2[[#This Row],[(A)]]-Table2[[#This Row],[Spread]]</f>
        <v>-2.6251184834123311</v>
      </c>
      <c r="AJ38" s="1">
        <f>Table2[[#This Row],[(A) Err]]^2</f>
        <v>6.8912470519530578</v>
      </c>
      <c r="AK38" s="6">
        <f>Table2[[#This Row],[EV]]-Table2[[#This Row],[Spread]]</f>
        <v>3.4638081860655632</v>
      </c>
      <c r="AL38" s="1">
        <f>Table2[[#This Row],[EV Err]]^2</f>
        <v>11.997967149854807</v>
      </c>
    </row>
    <row r="39" spans="1:38" x14ac:dyDescent="0.25">
      <c r="A39" t="s">
        <v>48</v>
      </c>
      <c r="B39" t="s">
        <v>23</v>
      </c>
      <c r="C39" t="s">
        <v>28</v>
      </c>
      <c r="E39">
        <v>112</v>
      </c>
      <c r="G39">
        <v>103</v>
      </c>
      <c r="H39" s="9">
        <f t="shared" si="0"/>
        <v>215</v>
      </c>
      <c r="K39" s="25">
        <f>(Table2[[#This Row],[Home Pace]]/100)*(VLOOKUP(Table2[[#This Row],[Home/Neutral]],home_lookup,8,FALSE)+VLOOKUP(Table2[[#This Row],[Home/Neutral]],OFR_lookup,2,FALSE)+VLOOKUP(Table2[[#This Row],[Visitor/Neutral]],def_diff_lookup,6,FALSE))</f>
        <v>104.6908873587136</v>
      </c>
      <c r="L39" s="25"/>
      <c r="M39" s="25">
        <f>(Table2[[#This Row],[Away Pace]]/100)*(VLOOKUP(Table2[[#This Row],[Visitor/Neutral]],OFR_lookup,2,FALSE)+VLOOKUP(Table2[[#This Row],[Home/Neutral]],def_diff_lookup,6,FALSE))</f>
        <v>99.189642000000006</v>
      </c>
      <c r="N39" s="25"/>
      <c r="O39" s="25"/>
      <c r="P39">
        <f>VLOOKUP(Table2[[#This Row],[Home/Neutral]],pace_lookup,7,FALSE)</f>
        <v>92.5</v>
      </c>
      <c r="Q39" s="5">
        <f>VLOOKUP(Table2[[#This Row],[Visitor/Neutral]],pace_lookup,7,FALSE)</f>
        <v>96.3</v>
      </c>
      <c r="R39" s="9">
        <f t="shared" si="1"/>
        <v>-9</v>
      </c>
      <c r="V39" s="2">
        <f>-home-VLOOKUP(Table2[[#This Row],[Home/Neutral]],rtg_vlookup,4,FALSE)+VLOOKUP(Table2[[#This Row],[Visitor/Neutral]],rtg_vlookup,4,FALSE)</f>
        <v>-7.0351184834123313</v>
      </c>
      <c r="W39" s="25"/>
      <c r="X39" s="2"/>
      <c r="Y39" s="2">
        <f>Table2[[#This Row],[Away EV]]-Table2[[#This Row],[Home EV]]</f>
        <v>-5.5012453587135894</v>
      </c>
      <c r="Z39" s="33"/>
      <c r="AA39" s="34"/>
      <c r="AB39" t="b">
        <f>IF(VLOOKUP(Table2[[#This Row],[Home/Neutral]],division_lookup,9,FALSE)=VLOOKUP(Table2[[#This Row],[Visitor/Neutral]],division_lookup,9,FALSE),TRUE,FALSE)</f>
        <v>0</v>
      </c>
      <c r="AC39" s="19" t="str">
        <f>VLOOKUP(Table2[[#This Row],[Home/Neutral]],division_lookup,9,FALSE)</f>
        <v>SW</v>
      </c>
      <c r="AD39" s="19"/>
      <c r="AE39" s="19" t="str">
        <f>IF(Table2[[#This Row],[Total EV ®]]&lt;Table2[[#This Row],[Total (V)]],"UNDER","OVER")</f>
        <v>OVER</v>
      </c>
      <c r="AF39" s="19"/>
      <c r="AG39" s="19"/>
      <c r="AH39" s="2"/>
      <c r="AI39" s="22">
        <f>Table2[[#This Row],[(A)]]-Table2[[#This Row],[Spread]]</f>
        <v>1.9648815165876687</v>
      </c>
      <c r="AJ39" s="1">
        <f>Table2[[#This Row],[(A) Err]]^2</f>
        <v>3.860759374227857</v>
      </c>
      <c r="AK39" s="6">
        <f>Table2[[#This Row],[EV]]-Table2[[#This Row],[Spread]]</f>
        <v>3.4987546412864106</v>
      </c>
      <c r="AL39" s="1">
        <f>Table2[[#This Row],[EV Err]]^2</f>
        <v>12.241284039923199</v>
      </c>
    </row>
    <row r="40" spans="1:38" x14ac:dyDescent="0.25">
      <c r="A40" t="s">
        <v>48</v>
      </c>
      <c r="B40" t="s">
        <v>21</v>
      </c>
      <c r="C40" t="s">
        <v>6</v>
      </c>
      <c r="E40">
        <v>99</v>
      </c>
      <c r="G40">
        <v>106</v>
      </c>
      <c r="H40" s="9">
        <f t="shared" si="0"/>
        <v>205</v>
      </c>
      <c r="K40" s="25">
        <f>(Table2[[#This Row],[Home Pace]]/100)*(VLOOKUP(Table2[[#This Row],[Home/Neutral]],home_lookup,8,FALSE)+VLOOKUP(Table2[[#This Row],[Home/Neutral]],OFR_lookup,2,FALSE)+VLOOKUP(Table2[[#This Row],[Visitor/Neutral]],def_diff_lookup,6,FALSE))</f>
        <v>99.312011175243896</v>
      </c>
      <c r="L40" s="25"/>
      <c r="M40" s="25">
        <f>(Table2[[#This Row],[Away Pace]]/100)*(VLOOKUP(Table2[[#This Row],[Visitor/Neutral]],OFR_lookup,2,FALSE)+VLOOKUP(Table2[[#This Row],[Home/Neutral]],def_diff_lookup,6,FALSE))</f>
        <v>99.841060666666678</v>
      </c>
      <c r="N40" s="25"/>
      <c r="O40" s="25"/>
      <c r="P40">
        <f>VLOOKUP(Table2[[#This Row],[Home/Neutral]],pace_lookup,7,FALSE)</f>
        <v>94.2</v>
      </c>
      <c r="Q40" s="5">
        <f>VLOOKUP(Table2[[#This Row],[Visitor/Neutral]],pace_lookup,7,FALSE)</f>
        <v>93.1</v>
      </c>
      <c r="R40" s="9">
        <f t="shared" si="1"/>
        <v>7</v>
      </c>
      <c r="V40" s="2">
        <f>-home-VLOOKUP(Table2[[#This Row],[Home/Neutral]],rtg_vlookup,4,FALSE)+VLOOKUP(Table2[[#This Row],[Visitor/Neutral]],rtg_vlookup,4,FALSE)</f>
        <v>4.3648815165876691</v>
      </c>
      <c r="W40" s="25"/>
      <c r="X40" s="2"/>
      <c r="Y40" s="2">
        <f>Table2[[#This Row],[Away EV]]-Table2[[#This Row],[Home EV]]</f>
        <v>0.52904949142278213</v>
      </c>
      <c r="Z40" s="33"/>
      <c r="AA40" s="34"/>
      <c r="AB40" t="b">
        <f>IF(VLOOKUP(Table2[[#This Row],[Home/Neutral]],division_lookup,9,FALSE)=VLOOKUP(Table2[[#This Row],[Visitor/Neutral]],division_lookup,9,FALSE),TRUE,FALSE)</f>
        <v>0</v>
      </c>
      <c r="AC40" s="19" t="str">
        <f>VLOOKUP(Table2[[#This Row],[Home/Neutral]],division_lookup,9,FALSE)</f>
        <v>SE</v>
      </c>
      <c r="AD40" s="19"/>
      <c r="AE40" s="19" t="str">
        <f>IF(Table2[[#This Row],[Total EV ®]]&lt;Table2[[#This Row],[Total (V)]],"UNDER","OVER")</f>
        <v>OVER</v>
      </c>
      <c r="AF40" s="19"/>
      <c r="AG40" s="19"/>
      <c r="AH40" s="2"/>
      <c r="AI40" s="22">
        <f>Table2[[#This Row],[(A)]]-Table2[[#This Row],[Spread]]</f>
        <v>-2.6351184834123309</v>
      </c>
      <c r="AJ40" s="1">
        <f>Table2[[#This Row],[(A) Err]]^2</f>
        <v>6.9438494216213025</v>
      </c>
      <c r="AK40" s="6">
        <f>Table2[[#This Row],[EV]]-Table2[[#This Row],[Spread]]</f>
        <v>-6.4709505085772179</v>
      </c>
      <c r="AL40" s="1">
        <f>Table2[[#This Row],[EV Err]]^2</f>
        <v>41.873200484455758</v>
      </c>
    </row>
    <row r="41" spans="1:38" x14ac:dyDescent="0.25">
      <c r="A41" t="s">
        <v>48</v>
      </c>
      <c r="B41" t="s">
        <v>18</v>
      </c>
      <c r="C41" t="s">
        <v>24</v>
      </c>
      <c r="E41">
        <v>113</v>
      </c>
      <c r="G41">
        <v>96</v>
      </c>
      <c r="H41" s="9">
        <f t="shared" si="0"/>
        <v>209</v>
      </c>
      <c r="K41" s="25">
        <f>(Table2[[#This Row],[Home Pace]]/100)*(VLOOKUP(Table2[[#This Row],[Home/Neutral]],home_lookup,8,FALSE)+VLOOKUP(Table2[[#This Row],[Home/Neutral]],OFR_lookup,2,FALSE)+VLOOKUP(Table2[[#This Row],[Visitor/Neutral]],def_diff_lookup,6,FALSE))</f>
        <v>106.81545616021131</v>
      </c>
      <c r="L41" s="25"/>
      <c r="M41" s="25">
        <f>(Table2[[#This Row],[Away Pace]]/100)*(VLOOKUP(Table2[[#This Row],[Visitor/Neutral]],OFR_lookup,2,FALSE)+VLOOKUP(Table2[[#This Row],[Home/Neutral]],def_diff_lookup,6,FALSE))</f>
        <v>106.24431600000001</v>
      </c>
      <c r="N41" s="25"/>
      <c r="O41" s="25"/>
      <c r="P41">
        <f>VLOOKUP(Table2[[#This Row],[Home/Neutral]],pace_lookup,7,FALSE)</f>
        <v>99.5</v>
      </c>
      <c r="Q41" s="5">
        <f>VLOOKUP(Table2[[#This Row],[Visitor/Neutral]],pace_lookup,7,FALSE)</f>
        <v>99.9</v>
      </c>
      <c r="R41" s="9">
        <f t="shared" si="1"/>
        <v>-17</v>
      </c>
      <c r="V41" s="2">
        <f>-home-VLOOKUP(Table2[[#This Row],[Home/Neutral]],rtg_vlookup,4,FALSE)+VLOOKUP(Table2[[#This Row],[Visitor/Neutral]],rtg_vlookup,4,FALSE)</f>
        <v>-4.795118483412331</v>
      </c>
      <c r="W41" s="25"/>
      <c r="X41" s="2"/>
      <c r="Y41" s="2">
        <f>Table2[[#This Row],[Away EV]]-Table2[[#This Row],[Home EV]]</f>
        <v>-0.57114016021129999</v>
      </c>
      <c r="Z41" s="33"/>
      <c r="AA41" s="34"/>
      <c r="AB41" t="b">
        <f>IF(VLOOKUP(Table2[[#This Row],[Home/Neutral]],division_lookup,9,FALSE)=VLOOKUP(Table2[[#This Row],[Visitor/Neutral]],division_lookup,9,FALSE),TRUE,FALSE)</f>
        <v>0</v>
      </c>
      <c r="AC41" s="19" t="str">
        <f>VLOOKUP(Table2[[#This Row],[Home/Neutral]],division_lookup,9,FALSE)</f>
        <v>NW</v>
      </c>
      <c r="AD41" s="19"/>
      <c r="AE41" s="19" t="str">
        <f>IF(Table2[[#This Row],[Total EV ®]]&lt;Table2[[#This Row],[Total (V)]],"UNDER","OVER")</f>
        <v>OVER</v>
      </c>
      <c r="AF41" s="19"/>
      <c r="AG41" s="19"/>
      <c r="AH41" s="2"/>
      <c r="AI41" s="22">
        <f>Table2[[#This Row],[(A)]]-Table2[[#This Row],[Spread]]</f>
        <v>12.204881516587669</v>
      </c>
      <c r="AJ41" s="1">
        <f>Table2[[#This Row],[(A) Err]]^2</f>
        <v>148.95913283394333</v>
      </c>
      <c r="AK41" s="6">
        <f>Table2[[#This Row],[EV]]-Table2[[#This Row],[Spread]]</f>
        <v>16.4288598397887</v>
      </c>
      <c r="AL41" s="1">
        <f>Table2[[#This Row],[EV Err]]^2</f>
        <v>269.90743563542196</v>
      </c>
    </row>
    <row r="42" spans="1:38" ht="15.75" thickBot="1" x14ac:dyDescent="0.3">
      <c r="A42" s="41" t="s">
        <v>48</v>
      </c>
      <c r="B42" s="41" t="s">
        <v>36</v>
      </c>
      <c r="C42" s="41" t="s">
        <v>10</v>
      </c>
      <c r="D42" s="41"/>
      <c r="E42" s="41">
        <v>100</v>
      </c>
      <c r="F42" s="41"/>
      <c r="G42" s="41">
        <v>106</v>
      </c>
      <c r="H42" s="42">
        <f t="shared" si="0"/>
        <v>206</v>
      </c>
      <c r="I42" s="41"/>
      <c r="J42" s="41"/>
      <c r="K42" s="43">
        <f>(Table2[[#This Row],[Home Pace]]/100)*(VLOOKUP(Table2[[#This Row],[Home/Neutral]],home_lookup,8,FALSE)+VLOOKUP(Table2[[#This Row],[Home/Neutral]],OFR_lookup,2,FALSE)+VLOOKUP(Table2[[#This Row],[Visitor/Neutral]],def_diff_lookup,6,FALSE))</f>
        <v>109.08693156604042</v>
      </c>
      <c r="L42" s="43"/>
      <c r="M42" s="43">
        <f>(Table2[[#This Row],[Away Pace]]/100)*(VLOOKUP(Table2[[#This Row],[Visitor/Neutral]],OFR_lookup,2,FALSE)+VLOOKUP(Table2[[#This Row],[Home/Neutral]],def_diff_lookup,6,FALSE))</f>
        <v>119.56829866666665</v>
      </c>
      <c r="N42" s="43"/>
      <c r="O42" s="43"/>
      <c r="P42" s="41">
        <f>VLOOKUP(Table2[[#This Row],[Home/Neutral]],pace_lookup,7,FALSE)</f>
        <v>102.2</v>
      </c>
      <c r="Q42" s="41">
        <f>VLOOKUP(Table2[[#This Row],[Visitor/Neutral]],pace_lookup,7,FALSE)</f>
        <v>100.3</v>
      </c>
      <c r="R42" s="42">
        <f t="shared" si="1"/>
        <v>6</v>
      </c>
      <c r="S42" s="41"/>
      <c r="T42" s="41"/>
      <c r="U42" s="41"/>
      <c r="V42" s="44">
        <f>-home-VLOOKUP(Table2[[#This Row],[Home/Neutral]],rtg_vlookup,4,FALSE)+VLOOKUP(Table2[[#This Row],[Visitor/Neutral]],rtg_vlookup,4,FALSE)</f>
        <v>11.954881516587669</v>
      </c>
      <c r="W42" s="43"/>
      <c r="X42" s="44"/>
      <c r="Y42" s="44">
        <f>Table2[[#This Row],[Away EV]]-Table2[[#This Row],[Home EV]]</f>
        <v>10.48136710062623</v>
      </c>
      <c r="Z42" s="45"/>
      <c r="AA42" s="50"/>
      <c r="AB42" s="41" t="b">
        <f>IF(VLOOKUP(Table2[[#This Row],[Home/Neutral]],division_lookup,9,FALSE)=VLOOKUP(Table2[[#This Row],[Visitor/Neutral]],division_lookup,9,FALSE),TRUE,FALSE)</f>
        <v>1</v>
      </c>
      <c r="AC42" s="46" t="str">
        <f>VLOOKUP(Table2[[#This Row],[Home/Neutral]],division_lookup,9,FALSE)</f>
        <v>P</v>
      </c>
      <c r="AD42" s="46"/>
      <c r="AE42" s="46" t="str">
        <f>IF(Table2[[#This Row],[Total EV ®]]&lt;Table2[[#This Row],[Total (V)]],"UNDER","OVER")</f>
        <v>OVER</v>
      </c>
      <c r="AF42" s="47"/>
      <c r="AG42" s="46"/>
      <c r="AH42" s="44"/>
      <c r="AI42" s="48">
        <f>Table2[[#This Row],[(A)]]-Table2[[#This Row],[Spread]]</f>
        <v>5.954881516587669</v>
      </c>
      <c r="AJ42" s="49">
        <f>Table2[[#This Row],[(A) Err]]^2</f>
        <v>35.460613876597456</v>
      </c>
      <c r="AK42" s="49">
        <f>Table2[[#This Row],[EV]]-Table2[[#This Row],[Spread]]</f>
        <v>4.4813671006262297</v>
      </c>
      <c r="AL42" s="49">
        <f>Table2[[#This Row],[EV Err]]^2</f>
        <v>20.082651090575141</v>
      </c>
    </row>
    <row r="43" spans="1:38" x14ac:dyDescent="0.25">
      <c r="A43" t="s">
        <v>49</v>
      </c>
      <c r="B43" t="s">
        <v>11</v>
      </c>
      <c r="C43" t="s">
        <v>29</v>
      </c>
      <c r="E43">
        <v>106</v>
      </c>
      <c r="G43">
        <v>95</v>
      </c>
      <c r="H43" s="9">
        <f t="shared" si="0"/>
        <v>201</v>
      </c>
      <c r="K43" s="25">
        <f>(Table2[[#This Row],[Home Pace]]/100)*(VLOOKUP(Table2[[#This Row],[Home/Neutral]],home_lookup,8,FALSE)+VLOOKUP(Table2[[#This Row],[Home/Neutral]],OFR_lookup,2,FALSE)+VLOOKUP(Table2[[#This Row],[Visitor/Neutral]],def_diff_lookup,6,FALSE))</f>
        <v>101.82041904407281</v>
      </c>
      <c r="L43" s="25"/>
      <c r="M43" s="25">
        <f>(Table2[[#This Row],[Away Pace]]/100)*(VLOOKUP(Table2[[#This Row],[Visitor/Neutral]],OFR_lookup,2,FALSE)+VLOOKUP(Table2[[#This Row],[Home/Neutral]],def_diff_lookup,6,FALSE))</f>
        <v>93.378525333333343</v>
      </c>
      <c r="N43" s="25"/>
      <c r="O43" s="25"/>
      <c r="P43">
        <f>VLOOKUP(Table2[[#This Row],[Home/Neutral]],pace_lookup,7,FALSE)</f>
        <v>99.7</v>
      </c>
      <c r="Q43" s="5">
        <f>VLOOKUP(Table2[[#This Row],[Visitor/Neutral]],pace_lookup,7,FALSE)</f>
        <v>93.8</v>
      </c>
      <c r="R43" s="9">
        <f t="shared" si="1"/>
        <v>-11</v>
      </c>
      <c r="V43" s="2">
        <f>-home-VLOOKUP(Table2[[#This Row],[Home/Neutral]],rtg_vlookup,4,FALSE)+VLOOKUP(Table2[[#This Row],[Visitor/Neutral]],rtg_vlookup,4,FALSE)</f>
        <v>-11.33511848341233</v>
      </c>
      <c r="W43" s="25"/>
      <c r="X43" s="2"/>
      <c r="Y43" s="2">
        <f>Table2[[#This Row],[Away EV]]-Table2[[#This Row],[Home EV]]</f>
        <v>-8.441893710739464</v>
      </c>
      <c r="Z43" s="33"/>
      <c r="AA43" s="34"/>
      <c r="AB43" t="b">
        <f>IF(VLOOKUP(Table2[[#This Row],[Home/Neutral]],division_lookup,9,FALSE)=VLOOKUP(Table2[[#This Row],[Visitor/Neutral]],division_lookup,9,FALSE),TRUE,FALSE)</f>
        <v>0</v>
      </c>
      <c r="AC43" s="19" t="str">
        <f>VLOOKUP(Table2[[#This Row],[Home/Neutral]],division_lookup,9,FALSE)</f>
        <v>SE</v>
      </c>
      <c r="AD43" s="19"/>
      <c r="AE43" s="19" t="str">
        <f>IF(Table2[[#This Row],[Total EV ®]]&lt;Table2[[#This Row],[Total (V)]],"UNDER","OVER")</f>
        <v>OVER</v>
      </c>
      <c r="AF43" s="19"/>
      <c r="AG43" s="19"/>
      <c r="AH43" s="2"/>
      <c r="AI43" s="22">
        <f>Table2[[#This Row],[(A)]]-Table2[[#This Row],[Spread]]</f>
        <v>-0.33511848341233019</v>
      </c>
      <c r="AJ43" s="1">
        <f>Table2[[#This Row],[(A) Err]]^2</f>
        <v>0.11230439792458023</v>
      </c>
      <c r="AK43" s="6">
        <f>Table2[[#This Row],[EV]]-Table2[[#This Row],[Spread]]</f>
        <v>2.558106289260536</v>
      </c>
      <c r="AL43" s="1">
        <f>Table2[[#This Row],[EV Err]]^2</f>
        <v>6.5439077871543088</v>
      </c>
    </row>
    <row r="44" spans="1:38" x14ac:dyDescent="0.25">
      <c r="A44" t="s">
        <v>49</v>
      </c>
      <c r="B44" t="s">
        <v>35</v>
      </c>
      <c r="C44" t="s">
        <v>13</v>
      </c>
      <c r="E44">
        <v>88</v>
      </c>
      <c r="G44">
        <v>118</v>
      </c>
      <c r="H44" s="9">
        <f t="shared" si="0"/>
        <v>206</v>
      </c>
      <c r="K44" s="25">
        <f>(Table2[[#This Row],[Home Pace]]/100)*(VLOOKUP(Table2[[#This Row],[Home/Neutral]],home_lookup,8,FALSE)+VLOOKUP(Table2[[#This Row],[Home/Neutral]],OFR_lookup,2,FALSE)+VLOOKUP(Table2[[#This Row],[Visitor/Neutral]],def_diff_lookup,6,FALSE))</f>
        <v>106.91487121209626</v>
      </c>
      <c r="L44" s="25"/>
      <c r="M44" s="25">
        <f>(Table2[[#This Row],[Away Pace]]/100)*(VLOOKUP(Table2[[#This Row],[Visitor/Neutral]],OFR_lookup,2,FALSE)+VLOOKUP(Table2[[#This Row],[Home/Neutral]],def_diff_lookup,6,FALSE))</f>
        <v>108.51497999999999</v>
      </c>
      <c r="N44" s="25"/>
      <c r="O44" s="25"/>
      <c r="P44">
        <f>VLOOKUP(Table2[[#This Row],[Home/Neutral]],pace_lookup,7,FALSE)</f>
        <v>102.2</v>
      </c>
      <c r="Q44" s="5">
        <f>VLOOKUP(Table2[[#This Row],[Visitor/Neutral]],pace_lookup,7,FALSE)</f>
        <v>94.5</v>
      </c>
      <c r="R44" s="9">
        <f t="shared" si="1"/>
        <v>30</v>
      </c>
      <c r="V44" s="2">
        <f>-home-VLOOKUP(Table2[[#This Row],[Home/Neutral]],rtg_vlookup,4,FALSE)+VLOOKUP(Table2[[#This Row],[Visitor/Neutral]],rtg_vlookup,4,FALSE)</f>
        <v>9.2248815165876685</v>
      </c>
      <c r="W44" s="25"/>
      <c r="X44" s="2"/>
      <c r="Y44" s="2">
        <f>Table2[[#This Row],[Away EV]]-Table2[[#This Row],[Home EV]]</f>
        <v>1.6001087879037357</v>
      </c>
      <c r="Z44" s="33"/>
      <c r="AA44" s="34"/>
      <c r="AB44" t="b">
        <f>IF(VLOOKUP(Table2[[#This Row],[Home/Neutral]],division_lookup,9,FALSE)=VLOOKUP(Table2[[#This Row],[Visitor/Neutral]],division_lookup,9,FALSE),TRUE,FALSE)</f>
        <v>0</v>
      </c>
      <c r="AC44" s="19" t="str">
        <f>VLOOKUP(Table2[[#This Row],[Home/Neutral]],division_lookup,9,FALSE)</f>
        <v>A</v>
      </c>
      <c r="AD44" s="19"/>
      <c r="AE44" s="19" t="str">
        <f>IF(Table2[[#This Row],[Total EV ®]]&lt;Table2[[#This Row],[Total (V)]],"UNDER","OVER")</f>
        <v>OVER</v>
      </c>
      <c r="AF44" s="19"/>
      <c r="AG44" s="19"/>
      <c r="AH44" s="2"/>
      <c r="AI44" s="22">
        <f>Table2[[#This Row],[(A)]]-Table2[[#This Row],[Spread]]</f>
        <v>-20.775118483412331</v>
      </c>
      <c r="AJ44" s="1">
        <f>Table2[[#This Row],[(A) Err]]^2</f>
        <v>431.60554799982071</v>
      </c>
      <c r="AK44" s="6">
        <f>Table2[[#This Row],[EV]]-Table2[[#This Row],[Spread]]</f>
        <v>-28.399891212096264</v>
      </c>
      <c r="AL44" s="1">
        <f>Table2[[#This Row],[EV Err]]^2</f>
        <v>806.55382085890267</v>
      </c>
    </row>
    <row r="45" spans="1:38" x14ac:dyDescent="0.25">
      <c r="A45" t="s">
        <v>49</v>
      </c>
      <c r="B45" t="s">
        <v>4</v>
      </c>
      <c r="C45" t="s">
        <v>36</v>
      </c>
      <c r="E45">
        <v>116</v>
      </c>
      <c r="G45">
        <v>98</v>
      </c>
      <c r="H45" s="9">
        <f t="shared" si="0"/>
        <v>214</v>
      </c>
      <c r="K45" s="25">
        <f>(Table2[[#This Row],[Home Pace]]/100)*(VLOOKUP(Table2[[#This Row],[Home/Neutral]],home_lookup,8,FALSE)+VLOOKUP(Table2[[#This Row],[Home/Neutral]],OFR_lookup,2,FALSE)+VLOOKUP(Table2[[#This Row],[Visitor/Neutral]],def_diff_lookup,6,FALSE))</f>
        <v>105.06384781393444</v>
      </c>
      <c r="L45" s="25"/>
      <c r="M45" s="25">
        <f>(Table2[[#This Row],[Away Pace]]/100)*(VLOOKUP(Table2[[#This Row],[Visitor/Neutral]],OFR_lookup,2,FALSE)+VLOOKUP(Table2[[#This Row],[Home/Neutral]],def_diff_lookup,6,FALSE))</f>
        <v>99.001821333333353</v>
      </c>
      <c r="N45" s="25"/>
      <c r="O45" s="25"/>
      <c r="P45">
        <f>VLOOKUP(Table2[[#This Row],[Home/Neutral]],pace_lookup,7,FALSE)</f>
        <v>96.6</v>
      </c>
      <c r="Q45" s="5">
        <f>VLOOKUP(Table2[[#This Row],[Visitor/Neutral]],pace_lookup,7,FALSE)</f>
        <v>102.2</v>
      </c>
      <c r="R45" s="9">
        <f t="shared" si="1"/>
        <v>-18</v>
      </c>
      <c r="V45" s="2">
        <f>-home-VLOOKUP(Table2[[#This Row],[Home/Neutral]],rtg_vlookup,4,FALSE)+VLOOKUP(Table2[[#This Row],[Visitor/Neutral]],rtg_vlookup,4,FALSE)</f>
        <v>-23.565118483412331</v>
      </c>
      <c r="W45" s="25"/>
      <c r="X45" s="2"/>
      <c r="Y45" s="2">
        <f>Table2[[#This Row],[Away EV]]-Table2[[#This Row],[Home EV]]</f>
        <v>-6.0620264806010908</v>
      </c>
      <c r="Z45" s="33"/>
      <c r="AA45" s="34"/>
      <c r="AB45" t="b">
        <f>IF(VLOOKUP(Table2[[#This Row],[Home/Neutral]],division_lookup,9,FALSE)=VLOOKUP(Table2[[#This Row],[Visitor/Neutral]],division_lookup,9,FALSE),TRUE,FALSE)</f>
        <v>1</v>
      </c>
      <c r="AC45" s="19" t="str">
        <f>VLOOKUP(Table2[[#This Row],[Home/Neutral]],division_lookup,9,FALSE)</f>
        <v>P</v>
      </c>
      <c r="AD45" s="19"/>
      <c r="AE45" s="19" t="str">
        <f>IF(Table2[[#This Row],[Total EV ®]]&lt;Table2[[#This Row],[Total (V)]],"UNDER","OVER")</f>
        <v>OVER</v>
      </c>
      <c r="AF45" s="19"/>
      <c r="AG45" s="19"/>
      <c r="AH45" s="2"/>
      <c r="AI45" s="22">
        <f>Table2[[#This Row],[(A)]]-Table2[[#This Row],[Spread]]</f>
        <v>-5.5651184834123306</v>
      </c>
      <c r="AJ45" s="1">
        <f>Table2[[#This Row],[(A) Err]]^2</f>
        <v>30.970543734417557</v>
      </c>
      <c r="AK45" s="6">
        <f>Table2[[#This Row],[EV]]-Table2[[#This Row],[Spread]]</f>
        <v>11.937973519398909</v>
      </c>
      <c r="AL45" s="1">
        <f>Table2[[#This Row],[EV Err]]^2</f>
        <v>142.51521174986956</v>
      </c>
    </row>
    <row r="46" spans="1:38" ht="15.75" thickBot="1" x14ac:dyDescent="0.3">
      <c r="A46" s="41" t="s">
        <v>49</v>
      </c>
      <c r="B46" s="41" t="s">
        <v>14</v>
      </c>
      <c r="C46" s="41" t="s">
        <v>27</v>
      </c>
      <c r="D46" s="41"/>
      <c r="E46" s="41">
        <v>105</v>
      </c>
      <c r="F46" s="41"/>
      <c r="G46" s="41">
        <v>102</v>
      </c>
      <c r="H46" s="42">
        <f t="shared" si="0"/>
        <v>207</v>
      </c>
      <c r="I46" s="41"/>
      <c r="J46" s="41"/>
      <c r="K46" s="43">
        <f>(Table2[[#This Row],[Home Pace]]/100)*(VLOOKUP(Table2[[#This Row],[Home/Neutral]],home_lookup,8,FALSE)+VLOOKUP(Table2[[#This Row],[Home/Neutral]],OFR_lookup,2,FALSE)+VLOOKUP(Table2[[#This Row],[Visitor/Neutral]],def_diff_lookup,6,FALSE))</f>
        <v>106.76500414241451</v>
      </c>
      <c r="L46" s="43"/>
      <c r="M46" s="43">
        <f>(Table2[[#This Row],[Away Pace]]/100)*(VLOOKUP(Table2[[#This Row],[Visitor/Neutral]],OFR_lookup,2,FALSE)+VLOOKUP(Table2[[#This Row],[Home/Neutral]],def_diff_lookup,6,FALSE))</f>
        <v>106.11876000000001</v>
      </c>
      <c r="N46" s="43"/>
      <c r="O46" s="43"/>
      <c r="P46" s="41">
        <f>VLOOKUP(Table2[[#This Row],[Home/Neutral]],pace_lookup,7,FALSE)</f>
        <v>95.9</v>
      </c>
      <c r="Q46" s="41">
        <f>VLOOKUP(Table2[[#This Row],[Visitor/Neutral]],pace_lookup,7,FALSE)</f>
        <v>99</v>
      </c>
      <c r="R46" s="42">
        <f t="shared" si="1"/>
        <v>-3</v>
      </c>
      <c r="S46" s="41"/>
      <c r="T46" s="41"/>
      <c r="U46" s="41"/>
      <c r="V46" s="44">
        <f>-home-VLOOKUP(Table2[[#This Row],[Home/Neutral]],rtg_vlookup,4,FALSE)+VLOOKUP(Table2[[#This Row],[Visitor/Neutral]],rtg_vlookup,4,FALSE)</f>
        <v>-8.2851184834123313</v>
      </c>
      <c r="W46" s="43"/>
      <c r="X46" s="44"/>
      <c r="Y46" s="44">
        <f>Table2[[#This Row],[Away EV]]-Table2[[#This Row],[Home EV]]</f>
        <v>-0.64624414241450268</v>
      </c>
      <c r="Z46" s="45"/>
      <c r="AA46" s="50"/>
      <c r="AB46" s="41" t="b">
        <f>IF(VLOOKUP(Table2[[#This Row],[Home/Neutral]],division_lookup,9,FALSE)=VLOOKUP(Table2[[#This Row],[Visitor/Neutral]],division_lookup,9,FALSE),TRUE,FALSE)</f>
        <v>0</v>
      </c>
      <c r="AC46" s="46" t="str">
        <f>VLOOKUP(Table2[[#This Row],[Home/Neutral]],division_lookup,9,FALSE)</f>
        <v>A</v>
      </c>
      <c r="AD46" s="46"/>
      <c r="AE46" s="46" t="str">
        <f>IF(Table2[[#This Row],[Total EV ®]]&lt;Table2[[#This Row],[Total (V)]],"UNDER","OVER")</f>
        <v>OVER</v>
      </c>
      <c r="AF46" s="47"/>
      <c r="AG46" s="46"/>
      <c r="AH46" s="44"/>
      <c r="AI46" s="48">
        <f>Table2[[#This Row],[(A)]]-Table2[[#This Row],[Spread]]</f>
        <v>-5.2851184834123313</v>
      </c>
      <c r="AJ46" s="49">
        <f>Table2[[#This Row],[(A) Err]]^2</f>
        <v>27.932477383706662</v>
      </c>
      <c r="AK46" s="49">
        <f>Table2[[#This Row],[EV]]-Table2[[#This Row],[Spread]]</f>
        <v>2.3537558575854973</v>
      </c>
      <c r="AL46" s="49">
        <f>Table2[[#This Row],[EV Err]]^2</f>
        <v>5.5401666371180402</v>
      </c>
    </row>
    <row r="47" spans="1:38" x14ac:dyDescent="0.25">
      <c r="A47" t="s">
        <v>50</v>
      </c>
      <c r="B47" t="s">
        <v>8</v>
      </c>
      <c r="C47" t="s">
        <v>17</v>
      </c>
      <c r="E47">
        <v>128</v>
      </c>
      <c r="G47">
        <v>120</v>
      </c>
      <c r="H47" s="9">
        <f t="shared" si="0"/>
        <v>248</v>
      </c>
      <c r="K47" s="25">
        <f>(Table2[[#This Row],[Home Pace]]/100)*(VLOOKUP(Table2[[#This Row],[Home/Neutral]],home_lookup,8,FALSE)+VLOOKUP(Table2[[#This Row],[Home/Neutral]],OFR_lookup,2,FALSE)+VLOOKUP(Table2[[#This Row],[Visitor/Neutral]],def_diff_lookup,6,FALSE))</f>
        <v>107.97486036898181</v>
      </c>
      <c r="L47" s="25"/>
      <c r="M47" s="25">
        <f>(Table2[[#This Row],[Away Pace]]/100)*(VLOOKUP(Table2[[#This Row],[Visitor/Neutral]],OFR_lookup,2,FALSE)+VLOOKUP(Table2[[#This Row],[Home/Neutral]],def_diff_lookup,6,FALSE))</f>
        <v>108.16926466666668</v>
      </c>
      <c r="N47" s="25"/>
      <c r="O47" s="25"/>
      <c r="P47">
        <f>VLOOKUP(Table2[[#This Row],[Home/Neutral]],pace_lookup,7,FALSE)</f>
        <v>97.2</v>
      </c>
      <c r="Q47" s="5">
        <f>VLOOKUP(Table2[[#This Row],[Visitor/Neutral]],pace_lookup,7,FALSE)</f>
        <v>96.7</v>
      </c>
      <c r="R47" s="9">
        <f t="shared" si="1"/>
        <v>-8</v>
      </c>
      <c r="U47" s="5"/>
      <c r="V47" s="2">
        <f>-home-VLOOKUP(Table2[[#This Row],[Home/Neutral]],rtg_vlookup,4,FALSE)+VLOOKUP(Table2[[#This Row],[Visitor/Neutral]],rtg_vlookup,4,FALSE)</f>
        <v>-5.34511848341233</v>
      </c>
      <c r="W47" s="25"/>
      <c r="X47" s="2"/>
      <c r="Y47" s="2">
        <f>Table2[[#This Row],[Away EV]]-Table2[[#This Row],[Home EV]]</f>
        <v>0.19440429768486922</v>
      </c>
      <c r="Z47" s="33"/>
      <c r="AA47" s="34"/>
      <c r="AB47" t="b">
        <f>IF(VLOOKUP(Table2[[#This Row],[Home/Neutral]],division_lookup,9,FALSE)=VLOOKUP(Table2[[#This Row],[Visitor/Neutral]],division_lookup,9,FALSE),TRUE,FALSE)</f>
        <v>0</v>
      </c>
      <c r="AC47" s="19" t="str">
        <f>VLOOKUP(Table2[[#This Row],[Home/Neutral]],division_lookup,9,FALSE)</f>
        <v>C</v>
      </c>
      <c r="AD47" s="19"/>
      <c r="AE47" s="19" t="str">
        <f>IF(Table2[[#This Row],[Total EV ®]]&lt;Table2[[#This Row],[Total (V)]],"UNDER","OVER")</f>
        <v>OVER</v>
      </c>
      <c r="AF47" s="19"/>
      <c r="AG47" s="19"/>
      <c r="AH47" s="2"/>
      <c r="AI47" s="22">
        <f>Table2[[#This Row],[(A)]]-Table2[[#This Row],[Spread]]</f>
        <v>2.65488151658767</v>
      </c>
      <c r="AJ47" s="1">
        <f>Table2[[#This Row],[(A) Err]]^2</f>
        <v>7.0483958671188471</v>
      </c>
      <c r="AK47" s="6">
        <f>Table2[[#This Row],[EV]]-Table2[[#This Row],[Spread]]</f>
        <v>8.1944042976848692</v>
      </c>
      <c r="AL47" s="1">
        <f>Table2[[#This Row],[EV Err]]^2</f>
        <v>67.148261793916248</v>
      </c>
    </row>
    <row r="48" spans="1:38" x14ac:dyDescent="0.25">
      <c r="A48" t="s">
        <v>50</v>
      </c>
      <c r="B48" t="s">
        <v>25</v>
      </c>
      <c r="C48" t="s">
        <v>31</v>
      </c>
      <c r="E48">
        <v>102</v>
      </c>
      <c r="G48">
        <v>89</v>
      </c>
      <c r="H48" s="9">
        <f t="shared" si="0"/>
        <v>191</v>
      </c>
      <c r="K48" s="25">
        <f>(Table2[[#This Row],[Home Pace]]/100)*(VLOOKUP(Table2[[#This Row],[Home/Neutral]],home_lookup,8,FALSE)+VLOOKUP(Table2[[#This Row],[Home/Neutral]],OFR_lookup,2,FALSE)+VLOOKUP(Table2[[#This Row],[Visitor/Neutral]],def_diff_lookup,6,FALSE))</f>
        <v>107.72782444427257</v>
      </c>
      <c r="L48" s="25"/>
      <c r="M48" s="25">
        <f>(Table2[[#This Row],[Away Pace]]/100)*(VLOOKUP(Table2[[#This Row],[Visitor/Neutral]],OFR_lookup,2,FALSE)+VLOOKUP(Table2[[#This Row],[Home/Neutral]],def_diff_lookup,6,FALSE))</f>
        <v>100.88704000000001</v>
      </c>
      <c r="N48" s="25"/>
      <c r="O48" s="25"/>
      <c r="P48">
        <f>VLOOKUP(Table2[[#This Row],[Home/Neutral]],pace_lookup,7,FALSE)</f>
        <v>94.4</v>
      </c>
      <c r="Q48" s="5">
        <f>VLOOKUP(Table2[[#This Row],[Visitor/Neutral]],pace_lookup,7,FALSE)</f>
        <v>96</v>
      </c>
      <c r="R48" s="9">
        <f t="shared" si="1"/>
        <v>-13</v>
      </c>
      <c r="U48" s="5"/>
      <c r="V48" s="2">
        <f>-home-VLOOKUP(Table2[[#This Row],[Home/Neutral]],rtg_vlookup,4,FALSE)+VLOOKUP(Table2[[#This Row],[Visitor/Neutral]],rtg_vlookup,4,FALSE)</f>
        <v>-4.9551184834123312</v>
      </c>
      <c r="W48" s="25"/>
      <c r="X48" s="2"/>
      <c r="Y48" s="2">
        <f>Table2[[#This Row],[Away EV]]-Table2[[#This Row],[Home EV]]</f>
        <v>-6.8407844442725576</v>
      </c>
      <c r="Z48" s="33"/>
      <c r="AA48" s="34"/>
      <c r="AB48" t="b">
        <f>IF(VLOOKUP(Table2[[#This Row],[Home/Neutral]],division_lookup,9,FALSE)=VLOOKUP(Table2[[#This Row],[Visitor/Neutral]],division_lookup,9,FALSE),TRUE,FALSE)</f>
        <v>0</v>
      </c>
      <c r="AC48" s="19" t="str">
        <f>VLOOKUP(Table2[[#This Row],[Home/Neutral]],division_lookup,9,FALSE)</f>
        <v>C</v>
      </c>
      <c r="AD48" s="19"/>
      <c r="AE48" s="19" t="str">
        <f>IF(Table2[[#This Row],[Total EV ®]]&lt;Table2[[#This Row],[Total (V)]],"UNDER","OVER")</f>
        <v>OVER</v>
      </c>
      <c r="AF48" s="19"/>
      <c r="AG48" s="19"/>
      <c r="AH48" s="2"/>
      <c r="AI48" s="22">
        <f>Table2[[#This Row],[(A)]]-Table2[[#This Row],[Spread]]</f>
        <v>8.0448815165876688</v>
      </c>
      <c r="AJ48" s="1">
        <f>Table2[[#This Row],[(A) Err]]^2</f>
        <v>64.720118615933913</v>
      </c>
      <c r="AK48" s="6">
        <f>Table2[[#This Row],[EV]]-Table2[[#This Row],[Spread]]</f>
        <v>6.1592155557274424</v>
      </c>
      <c r="AL48" s="1">
        <f>Table2[[#This Row],[EV Err]]^2</f>
        <v>37.935936261914904</v>
      </c>
    </row>
    <row r="49" spans="1:38" x14ac:dyDescent="0.25">
      <c r="A49" t="s">
        <v>50</v>
      </c>
      <c r="B49" t="s">
        <v>33</v>
      </c>
      <c r="C49" t="s">
        <v>24</v>
      </c>
      <c r="E49">
        <v>115</v>
      </c>
      <c r="G49">
        <v>108</v>
      </c>
      <c r="H49" s="9">
        <f t="shared" si="0"/>
        <v>223</v>
      </c>
      <c r="K49" s="25">
        <f>(Table2[[#This Row],[Home Pace]]/100)*(VLOOKUP(Table2[[#This Row],[Home/Neutral]],home_lookup,8,FALSE)+VLOOKUP(Table2[[#This Row],[Home/Neutral]],OFR_lookup,2,FALSE)+VLOOKUP(Table2[[#This Row],[Visitor/Neutral]],def_diff_lookup,6,FALSE))</f>
        <v>111.40771852057506</v>
      </c>
      <c r="L49" s="25"/>
      <c r="M49" s="25">
        <f>(Table2[[#This Row],[Away Pace]]/100)*(VLOOKUP(Table2[[#This Row],[Visitor/Neutral]],OFR_lookup,2,FALSE)+VLOOKUP(Table2[[#This Row],[Home/Neutral]],def_diff_lookup,6,FALSE))</f>
        <v>112.89765600000003</v>
      </c>
      <c r="N49" s="25"/>
      <c r="O49" s="25"/>
      <c r="P49">
        <f>VLOOKUP(Table2[[#This Row],[Home/Neutral]],pace_lookup,7,FALSE)</f>
        <v>98.2</v>
      </c>
      <c r="Q49" s="5">
        <f>VLOOKUP(Table2[[#This Row],[Visitor/Neutral]],pace_lookup,7,FALSE)</f>
        <v>99.9</v>
      </c>
      <c r="R49" s="9">
        <f t="shared" si="1"/>
        <v>-7</v>
      </c>
      <c r="V49" s="2">
        <f>-home-VLOOKUP(Table2[[#This Row],[Home/Neutral]],rtg_vlookup,4,FALSE)+VLOOKUP(Table2[[#This Row],[Visitor/Neutral]],rtg_vlookup,4,FALSE)</f>
        <v>2.7748815165876692</v>
      </c>
      <c r="W49" s="25"/>
      <c r="X49" s="2"/>
      <c r="Y49" s="2">
        <f>Table2[[#This Row],[Away EV]]-Table2[[#This Row],[Home EV]]</f>
        <v>1.4899374794249667</v>
      </c>
      <c r="Z49" s="33"/>
      <c r="AA49" s="34"/>
      <c r="AB49" t="b">
        <f>IF(VLOOKUP(Table2[[#This Row],[Home/Neutral]],division_lookup,9,FALSE)=VLOOKUP(Table2[[#This Row],[Visitor/Neutral]],division_lookup,9,FALSE),TRUE,FALSE)</f>
        <v>0</v>
      </c>
      <c r="AC49" s="19" t="str">
        <f>VLOOKUP(Table2[[#This Row],[Home/Neutral]],division_lookup,9,FALSE)</f>
        <v>C</v>
      </c>
      <c r="AD49" s="19"/>
      <c r="AE49" s="19" t="str">
        <f>IF(Table2[[#This Row],[Total EV ®]]&lt;Table2[[#This Row],[Total (V)]],"UNDER","OVER")</f>
        <v>OVER</v>
      </c>
      <c r="AF49" s="19"/>
      <c r="AG49" s="19"/>
      <c r="AH49" s="2"/>
      <c r="AI49" s="22">
        <f>Table2[[#This Row],[(A)]]-Table2[[#This Row],[Spread]]</f>
        <v>9.7748815165876692</v>
      </c>
      <c r="AJ49" s="1">
        <f>Table2[[#This Row],[(A) Err]]^2</f>
        <v>95.548308663327248</v>
      </c>
      <c r="AK49" s="6">
        <f>Table2[[#This Row],[EV]]-Table2[[#This Row],[Spread]]</f>
        <v>8.4899374794249667</v>
      </c>
      <c r="AL49" s="1">
        <f>Table2[[#This Row],[EV Err]]^2</f>
        <v>72.079038404544761</v>
      </c>
    </row>
    <row r="50" spans="1:38" x14ac:dyDescent="0.25">
      <c r="A50" t="s">
        <v>50</v>
      </c>
      <c r="B50" t="s">
        <v>21</v>
      </c>
      <c r="C50" t="s">
        <v>29</v>
      </c>
      <c r="E50">
        <v>108</v>
      </c>
      <c r="G50">
        <v>96</v>
      </c>
      <c r="H50" s="9">
        <f t="shared" si="0"/>
        <v>204</v>
      </c>
      <c r="K50" s="25">
        <f>(Table2[[#This Row],[Home Pace]]/100)*(VLOOKUP(Table2[[#This Row],[Home/Neutral]],home_lookup,8,FALSE)+VLOOKUP(Table2[[#This Row],[Home/Neutral]],OFR_lookup,2,FALSE)+VLOOKUP(Table2[[#This Row],[Visitor/Neutral]],def_diff_lookup,6,FALSE))</f>
        <v>104.60605117524389</v>
      </c>
      <c r="L50" s="25"/>
      <c r="M50" s="25">
        <f>(Table2[[#This Row],[Away Pace]]/100)*(VLOOKUP(Table2[[#This Row],[Visitor/Neutral]],OFR_lookup,2,FALSE)+VLOOKUP(Table2[[#This Row],[Home/Neutral]],def_diff_lookup,6,FALSE))</f>
        <v>97.158665333333346</v>
      </c>
      <c r="N50" s="25"/>
      <c r="O50" s="25"/>
      <c r="P50">
        <f>VLOOKUP(Table2[[#This Row],[Home/Neutral]],pace_lookup,7,FALSE)</f>
        <v>94.2</v>
      </c>
      <c r="Q50" s="5">
        <f>VLOOKUP(Table2[[#This Row],[Visitor/Neutral]],pace_lookup,7,FALSE)</f>
        <v>93.8</v>
      </c>
      <c r="R50" s="9">
        <f t="shared" si="1"/>
        <v>-12</v>
      </c>
      <c r="V50" s="2">
        <f>-home-VLOOKUP(Table2[[#This Row],[Home/Neutral]],rtg_vlookup,4,FALSE)+VLOOKUP(Table2[[#This Row],[Visitor/Neutral]],rtg_vlookup,4,FALSE)</f>
        <v>-4.9251184834123309</v>
      </c>
      <c r="W50" s="25"/>
      <c r="X50" s="2"/>
      <c r="Y50" s="2">
        <f>Table2[[#This Row],[Away EV]]-Table2[[#This Row],[Home EV]]</f>
        <v>-7.4473858419105454</v>
      </c>
      <c r="Z50" s="33"/>
      <c r="AA50" s="34"/>
      <c r="AB50" t="b">
        <f>IF(VLOOKUP(Table2[[#This Row],[Home/Neutral]],division_lookup,9,FALSE)=VLOOKUP(Table2[[#This Row],[Visitor/Neutral]],division_lookup,9,FALSE),TRUE,FALSE)</f>
        <v>0</v>
      </c>
      <c r="AC50" s="19" t="str">
        <f>VLOOKUP(Table2[[#This Row],[Home/Neutral]],division_lookup,9,FALSE)</f>
        <v>SE</v>
      </c>
      <c r="AD50" s="19"/>
      <c r="AE50" s="19" t="str">
        <f>IF(Table2[[#This Row],[Total EV ®]]&lt;Table2[[#This Row],[Total (V)]],"UNDER","OVER")</f>
        <v>OVER</v>
      </c>
      <c r="AF50" s="19"/>
      <c r="AG50" s="19"/>
      <c r="AH50" s="2"/>
      <c r="AI50" s="22">
        <f>Table2[[#This Row],[(A)]]-Table2[[#This Row],[Spread]]</f>
        <v>7.0748815165876691</v>
      </c>
      <c r="AJ50" s="1">
        <f>Table2[[#This Row],[(A) Err]]^2</f>
        <v>50.053948473753834</v>
      </c>
      <c r="AK50" s="6">
        <f>Table2[[#This Row],[EV]]-Table2[[#This Row],[Spread]]</f>
        <v>4.5526141580894546</v>
      </c>
      <c r="AL50" s="1">
        <f>Table2[[#This Row],[EV Err]]^2</f>
        <v>20.726295672436553</v>
      </c>
    </row>
    <row r="51" spans="1:38" x14ac:dyDescent="0.25">
      <c r="A51" t="s">
        <v>50</v>
      </c>
      <c r="B51" t="s">
        <v>22</v>
      </c>
      <c r="C51" t="s">
        <v>23</v>
      </c>
      <c r="E51">
        <v>116</v>
      </c>
      <c r="G51">
        <v>80</v>
      </c>
      <c r="H51" s="9">
        <f t="shared" si="0"/>
        <v>196</v>
      </c>
      <c r="K51" s="25">
        <f>(Table2[[#This Row],[Home Pace]]/100)*(VLOOKUP(Table2[[#This Row],[Home/Neutral]],home_lookup,8,FALSE)+VLOOKUP(Table2[[#This Row],[Home/Neutral]],OFR_lookup,2,FALSE)+VLOOKUP(Table2[[#This Row],[Visitor/Neutral]],def_diff_lookup,6,FALSE))</f>
        <v>106.77754922968977</v>
      </c>
      <c r="L51" s="25"/>
      <c r="M51" s="25">
        <f>(Table2[[#This Row],[Away Pace]]/100)*(VLOOKUP(Table2[[#This Row],[Visitor/Neutral]],OFR_lookup,2,FALSE)+VLOOKUP(Table2[[#This Row],[Home/Neutral]],def_diff_lookup,6,FALSE))</f>
        <v>100.22436666666668</v>
      </c>
      <c r="N51" s="25"/>
      <c r="O51" s="25"/>
      <c r="P51">
        <f>VLOOKUP(Table2[[#This Row],[Home/Neutral]],pace_lookup,7,FALSE)</f>
        <v>94.7</v>
      </c>
      <c r="Q51" s="5">
        <f>VLOOKUP(Table2[[#This Row],[Visitor/Neutral]],pace_lookup,7,FALSE)</f>
        <v>92.5</v>
      </c>
      <c r="R51" s="9">
        <f t="shared" si="1"/>
        <v>-36</v>
      </c>
      <c r="V51" s="2">
        <f>-home-VLOOKUP(Table2[[#This Row],[Home/Neutral]],rtg_vlookup,4,FALSE)+VLOOKUP(Table2[[#This Row],[Visitor/Neutral]],rtg_vlookup,4,FALSE)</f>
        <v>-1.235118483412331</v>
      </c>
      <c r="W51" s="25"/>
      <c r="X51" s="2"/>
      <c r="Y51" s="2">
        <f>Table2[[#This Row],[Away EV]]-Table2[[#This Row],[Home EV]]</f>
        <v>-6.5531825630230855</v>
      </c>
      <c r="Z51" s="33"/>
      <c r="AA51" s="34"/>
      <c r="AB51" t="b">
        <f>IF(VLOOKUP(Table2[[#This Row],[Home/Neutral]],division_lookup,9,FALSE)=VLOOKUP(Table2[[#This Row],[Visitor/Neutral]],division_lookup,9,FALSE),TRUE,FALSE)</f>
        <v>0</v>
      </c>
      <c r="AC51" s="19" t="str">
        <f>VLOOKUP(Table2[[#This Row],[Home/Neutral]],division_lookup,9,FALSE)</f>
        <v>NW</v>
      </c>
      <c r="AD51" s="19"/>
      <c r="AE51" s="19" t="str">
        <f>IF(Table2[[#This Row],[Total EV ®]]&lt;Table2[[#This Row],[Total (V)]],"UNDER","OVER")</f>
        <v>OVER</v>
      </c>
      <c r="AF51" s="19"/>
      <c r="AG51" s="19"/>
      <c r="AH51" s="2"/>
      <c r="AI51" s="22">
        <f>Table2[[#This Row],[(A)]]-Table2[[#This Row],[Spread]]</f>
        <v>34.764881516587671</v>
      </c>
      <c r="AJ51" s="1">
        <f>Table2[[#This Row],[(A) Err]]^2</f>
        <v>1208.596986862379</v>
      </c>
      <c r="AK51" s="6">
        <f>Table2[[#This Row],[EV]]-Table2[[#This Row],[Spread]]</f>
        <v>29.446817436976914</v>
      </c>
      <c r="AL51" s="1">
        <f>Table2[[#This Row],[EV Err]]^2</f>
        <v>867.1150571666476</v>
      </c>
    </row>
    <row r="52" spans="1:38" x14ac:dyDescent="0.25">
      <c r="A52" t="s">
        <v>50</v>
      </c>
      <c r="B52" t="s">
        <v>34</v>
      </c>
      <c r="C52" t="s">
        <v>30</v>
      </c>
      <c r="E52">
        <v>113</v>
      </c>
      <c r="G52">
        <v>117</v>
      </c>
      <c r="H52" s="9">
        <f t="shared" si="0"/>
        <v>230</v>
      </c>
      <c r="K52" s="25">
        <f>(Table2[[#This Row],[Home Pace]]/100)*(VLOOKUP(Table2[[#This Row],[Home/Neutral]],home_lookup,8,FALSE)+VLOOKUP(Table2[[#This Row],[Home/Neutral]],OFR_lookup,2,FALSE)+VLOOKUP(Table2[[#This Row],[Visitor/Neutral]],def_diff_lookup,6,FALSE))</f>
        <v>106.80451864565556</v>
      </c>
      <c r="L52" s="25"/>
      <c r="M52" s="25">
        <f>(Table2[[#This Row],[Away Pace]]/100)*(VLOOKUP(Table2[[#This Row],[Visitor/Neutral]],OFR_lookup,2,FALSE)+VLOOKUP(Table2[[#This Row],[Home/Neutral]],def_diff_lookup,6,FALSE))</f>
        <v>102.09560533333334</v>
      </c>
      <c r="N52" s="25"/>
      <c r="O52" s="25"/>
      <c r="P52">
        <f>VLOOKUP(Table2[[#This Row],[Home/Neutral]],pace_lookup,7,FALSE)</f>
        <v>98.8</v>
      </c>
      <c r="Q52" s="5">
        <f>VLOOKUP(Table2[[#This Row],[Visitor/Neutral]],pace_lookup,7,FALSE)</f>
        <v>96.8</v>
      </c>
      <c r="R52" s="9">
        <f t="shared" si="1"/>
        <v>4</v>
      </c>
      <c r="V52" s="2">
        <f>-home-VLOOKUP(Table2[[#This Row],[Home/Neutral]],rtg_vlookup,4,FALSE)+VLOOKUP(Table2[[#This Row],[Visitor/Neutral]],rtg_vlookup,4,FALSE)</f>
        <v>-0.2051184834123303</v>
      </c>
      <c r="W52" s="25"/>
      <c r="X52" s="2"/>
      <c r="Y52" s="2">
        <f>Table2[[#This Row],[Away EV]]-Table2[[#This Row],[Home EV]]</f>
        <v>-4.708913312322224</v>
      </c>
      <c r="Z52" s="33"/>
      <c r="AA52" s="34"/>
      <c r="AB52" t="b">
        <f>IF(VLOOKUP(Table2[[#This Row],[Home/Neutral]],division_lookup,9,FALSE)=VLOOKUP(Table2[[#This Row],[Visitor/Neutral]],division_lookup,9,FALSE),TRUE,FALSE)</f>
        <v>0</v>
      </c>
      <c r="AC52" s="19" t="str">
        <f>VLOOKUP(Table2[[#This Row],[Home/Neutral]],division_lookup,9,FALSE)</f>
        <v>SW</v>
      </c>
      <c r="AD52" s="19"/>
      <c r="AE52" s="19" t="str">
        <f>IF(Table2[[#This Row],[Total EV ®]]&lt;Table2[[#This Row],[Total (V)]],"UNDER","OVER")</f>
        <v>OVER</v>
      </c>
      <c r="AF52" s="19"/>
      <c r="AG52" s="19"/>
      <c r="AH52" s="2"/>
      <c r="AI52" s="22">
        <f>Table2[[#This Row],[(A)]]-Table2[[#This Row],[Spread]]</f>
        <v>-4.2051184834123303</v>
      </c>
      <c r="AJ52" s="1">
        <f>Table2[[#This Row],[(A) Err]]^2</f>
        <v>17.683021459536018</v>
      </c>
      <c r="AK52" s="6">
        <f>Table2[[#This Row],[EV]]-Table2[[#This Row],[Spread]]</f>
        <v>-8.708913312322224</v>
      </c>
      <c r="AL52" s="1">
        <f>Table2[[#This Row],[EV Err]]^2</f>
        <v>75.845171081543256</v>
      </c>
    </row>
    <row r="53" spans="1:38" x14ac:dyDescent="0.25">
      <c r="A53" t="s">
        <v>50</v>
      </c>
      <c r="B53" t="s">
        <v>39</v>
      </c>
      <c r="C53" t="s">
        <v>38</v>
      </c>
      <c r="E53">
        <v>101</v>
      </c>
      <c r="G53">
        <v>103</v>
      </c>
      <c r="H53" s="9">
        <f t="shared" si="0"/>
        <v>204</v>
      </c>
      <c r="K53" s="25">
        <f>(Table2[[#This Row],[Home Pace]]/100)*(VLOOKUP(Table2[[#This Row],[Home/Neutral]],home_lookup,8,FALSE)+VLOOKUP(Table2[[#This Row],[Home/Neutral]],OFR_lookup,2,FALSE)+VLOOKUP(Table2[[#This Row],[Visitor/Neutral]],def_diff_lookup,6,FALSE))</f>
        <v>108.42002211468578</v>
      </c>
      <c r="L53" s="25"/>
      <c r="M53" s="25">
        <f>(Table2[[#This Row],[Away Pace]]/100)*(VLOOKUP(Table2[[#This Row],[Visitor/Neutral]],OFR_lookup,2,FALSE)+VLOOKUP(Table2[[#This Row],[Home/Neutral]],def_diff_lookup,6,FALSE))</f>
        <v>95.858548000000013</v>
      </c>
      <c r="N53" s="25"/>
      <c r="O53" s="25"/>
      <c r="P53">
        <f>VLOOKUP(Table2[[#This Row],[Home/Neutral]],pace_lookup,7,FALSE)</f>
        <v>97.5</v>
      </c>
      <c r="Q53" s="5">
        <f>VLOOKUP(Table2[[#This Row],[Visitor/Neutral]],pace_lookup,7,FALSE)</f>
        <v>94.2</v>
      </c>
      <c r="R53" s="9">
        <f t="shared" si="1"/>
        <v>2</v>
      </c>
      <c r="V53" s="2">
        <f>-home-VLOOKUP(Table2[[#This Row],[Home/Neutral]],rtg_vlookup,4,FALSE)+VLOOKUP(Table2[[#This Row],[Visitor/Neutral]],rtg_vlookup,4,FALSE)</f>
        <v>-2.1451184834123307</v>
      </c>
      <c r="W53" s="25"/>
      <c r="X53" s="2"/>
      <c r="Y53" s="2">
        <f>Table2[[#This Row],[Away EV]]-Table2[[#This Row],[Home EV]]</f>
        <v>-12.561474114685765</v>
      </c>
      <c r="Z53" s="33"/>
      <c r="AA53" s="34"/>
      <c r="AB53" t="b">
        <f>IF(VLOOKUP(Table2[[#This Row],[Home/Neutral]],division_lookup,9,FALSE)=VLOOKUP(Table2[[#This Row],[Visitor/Neutral]],division_lookup,9,FALSE),TRUE,FALSE)</f>
        <v>0</v>
      </c>
      <c r="AC53" s="19" t="str">
        <f>VLOOKUP(Table2[[#This Row],[Home/Neutral]],division_lookup,9,FALSE)</f>
        <v>A</v>
      </c>
      <c r="AD53" s="19"/>
      <c r="AE53" s="19" t="str">
        <f>IF(Table2[[#This Row],[Total EV ®]]&lt;Table2[[#This Row],[Total (V)]],"UNDER","OVER")</f>
        <v>OVER</v>
      </c>
      <c r="AF53" s="19"/>
      <c r="AG53" s="19"/>
      <c r="AH53" s="2"/>
      <c r="AI53" s="22">
        <f>Table2[[#This Row],[(A)]]-Table2[[#This Row],[Spread]]</f>
        <v>-4.1451184834123307</v>
      </c>
      <c r="AJ53" s="1">
        <f>Table2[[#This Row],[(A) Err]]^2</f>
        <v>17.182007241526541</v>
      </c>
      <c r="AK53" s="6">
        <f>Table2[[#This Row],[EV]]-Table2[[#This Row],[Spread]]</f>
        <v>-14.561474114685765</v>
      </c>
      <c r="AL53" s="1">
        <f>Table2[[#This Row],[EV Err]]^2</f>
        <v>212.0365283926636</v>
      </c>
    </row>
    <row r="54" spans="1:38" x14ac:dyDescent="0.25">
      <c r="A54" t="s">
        <v>50</v>
      </c>
      <c r="B54" t="s">
        <v>32</v>
      </c>
      <c r="C54" t="s">
        <v>10</v>
      </c>
      <c r="E54">
        <v>104</v>
      </c>
      <c r="G54">
        <v>127</v>
      </c>
      <c r="H54" s="9">
        <f t="shared" si="0"/>
        <v>231</v>
      </c>
      <c r="K54" s="25">
        <f>(Table2[[#This Row],[Home Pace]]/100)*(VLOOKUP(Table2[[#This Row],[Home/Neutral]],home_lookup,8,FALSE)+VLOOKUP(Table2[[#This Row],[Home/Neutral]],OFR_lookup,2,FALSE)+VLOOKUP(Table2[[#This Row],[Visitor/Neutral]],def_diff_lookup,6,FALSE))</f>
        <v>110.76627112001839</v>
      </c>
      <c r="L54" s="25"/>
      <c r="M54" s="25">
        <f>(Table2[[#This Row],[Away Pace]]/100)*(VLOOKUP(Table2[[#This Row],[Visitor/Neutral]],OFR_lookup,2,FALSE)+VLOOKUP(Table2[[#This Row],[Home/Neutral]],def_diff_lookup,6,FALSE))</f>
        <v>121.78492866666666</v>
      </c>
      <c r="N54" s="25"/>
      <c r="O54" s="25"/>
      <c r="P54">
        <f>VLOOKUP(Table2[[#This Row],[Home/Neutral]],pace_lookup,7,FALSE)</f>
        <v>98.6</v>
      </c>
      <c r="Q54" s="5">
        <f>VLOOKUP(Table2[[#This Row],[Visitor/Neutral]],pace_lookup,7,FALSE)</f>
        <v>100.3</v>
      </c>
      <c r="R54" s="9">
        <f t="shared" si="1"/>
        <v>23</v>
      </c>
      <c r="V54" s="2">
        <f>-home-VLOOKUP(Table2[[#This Row],[Home/Neutral]],rtg_vlookup,4,FALSE)+VLOOKUP(Table2[[#This Row],[Visitor/Neutral]],rtg_vlookup,4,FALSE)</f>
        <v>8.6348815165876687</v>
      </c>
      <c r="W54" s="25"/>
      <c r="X54" s="2"/>
      <c r="Y54" s="2">
        <f>Table2[[#This Row],[Away EV]]-Table2[[#This Row],[Home EV]]</f>
        <v>11.018657546648271</v>
      </c>
      <c r="Z54" s="33"/>
      <c r="AA54" s="34"/>
      <c r="AB54" t="b">
        <f>IF(VLOOKUP(Table2[[#This Row],[Home/Neutral]],division_lookup,9,FALSE)=VLOOKUP(Table2[[#This Row],[Visitor/Neutral]],division_lookup,9,FALSE),TRUE,FALSE)</f>
        <v>0</v>
      </c>
      <c r="AC54" s="19" t="str">
        <f>VLOOKUP(Table2[[#This Row],[Home/Neutral]],division_lookup,9,FALSE)</f>
        <v>NW</v>
      </c>
      <c r="AD54" s="19"/>
      <c r="AE54" s="19" t="str">
        <f>IF(Table2[[#This Row],[Total EV ®]]&lt;Table2[[#This Row],[Total (V)]],"UNDER","OVER")</f>
        <v>OVER</v>
      </c>
      <c r="AF54" s="19"/>
      <c r="AG54" s="19"/>
      <c r="AH54" s="2"/>
      <c r="AI54" s="22">
        <f>Table2[[#This Row],[(A)]]-Table2[[#This Row],[Spread]]</f>
        <v>-14.365118483412331</v>
      </c>
      <c r="AJ54" s="1">
        <f>Table2[[#This Row],[(A) Err]]^2</f>
        <v>206.35662904247459</v>
      </c>
      <c r="AK54" s="6">
        <f>Table2[[#This Row],[EV]]-Table2[[#This Row],[Spread]]</f>
        <v>-11.981342453351729</v>
      </c>
      <c r="AL54" s="1">
        <f>Table2[[#This Row],[EV Err]]^2</f>
        <v>143.55256698448844</v>
      </c>
    </row>
    <row r="55" spans="1:38" ht="15.75" thickBot="1" x14ac:dyDescent="0.3">
      <c r="A55" s="3" t="s">
        <v>50</v>
      </c>
      <c r="B55" s="3" t="s">
        <v>6</v>
      </c>
      <c r="C55" s="3" t="s">
        <v>20</v>
      </c>
      <c r="D55" s="3"/>
      <c r="E55" s="3">
        <v>91</v>
      </c>
      <c r="F55" s="3"/>
      <c r="G55" s="3">
        <v>106</v>
      </c>
      <c r="H55" s="10">
        <f t="shared" si="0"/>
        <v>197</v>
      </c>
      <c r="I55" s="3"/>
      <c r="J55" s="3"/>
      <c r="K55" s="26">
        <f>(Table2[[#This Row],[Home Pace]]/100)*(VLOOKUP(Table2[[#This Row],[Home/Neutral]],home_lookup,8,FALSE)+VLOOKUP(Table2[[#This Row],[Home/Neutral]],OFR_lookup,2,FALSE)+VLOOKUP(Table2[[#This Row],[Visitor/Neutral]],def_diff_lookup,6,FALSE))</f>
        <v>101.67230787062245</v>
      </c>
      <c r="L55" s="26"/>
      <c r="M55" s="26">
        <f>(Table2[[#This Row],[Away Pace]]/100)*(VLOOKUP(Table2[[#This Row],[Visitor/Neutral]],OFR_lookup,2,FALSE)+VLOOKUP(Table2[[#This Row],[Home/Neutral]],def_diff_lookup,6,FALSE))</f>
        <v>94.809306000000021</v>
      </c>
      <c r="N55" s="26"/>
      <c r="O55" s="26"/>
      <c r="P55" s="3">
        <f>VLOOKUP(Table2[[#This Row],[Home/Neutral]],pace_lookup,7,FALSE)</f>
        <v>93.1</v>
      </c>
      <c r="Q55" s="3">
        <f>VLOOKUP(Table2[[#This Row],[Visitor/Neutral]],pace_lookup,7,FALSE)</f>
        <v>90.9</v>
      </c>
      <c r="R55" s="10">
        <f t="shared" si="1"/>
        <v>15</v>
      </c>
      <c r="S55" s="3"/>
      <c r="T55" s="3"/>
      <c r="U55" s="3"/>
      <c r="V55" s="12">
        <f>-home-VLOOKUP(Table2[[#This Row],[Home/Neutral]],rtg_vlookup,4,FALSE)+VLOOKUP(Table2[[#This Row],[Visitor/Neutral]],rtg_vlookup,4,FALSE)</f>
        <v>-7.9851184834123305</v>
      </c>
      <c r="W55" s="26"/>
      <c r="X55" s="12"/>
      <c r="Y55" s="12">
        <f>Table2[[#This Row],[Away EV]]-Table2[[#This Row],[Home EV]]</f>
        <v>-6.8630018706224263</v>
      </c>
      <c r="Z55" s="35"/>
      <c r="AA55" s="36"/>
      <c r="AB55" s="3" t="b">
        <f>IF(VLOOKUP(Table2[[#This Row],[Home/Neutral]],division_lookup,9,FALSE)=VLOOKUP(Table2[[#This Row],[Visitor/Neutral]],division_lookup,9,FALSE),TRUE,FALSE)</f>
        <v>0</v>
      </c>
      <c r="AC55" s="20" t="str">
        <f>VLOOKUP(Table2[[#This Row],[Home/Neutral]],division_lookup,9,FALSE)</f>
        <v>SW</v>
      </c>
      <c r="AD55" s="20"/>
      <c r="AE55" s="20" t="str">
        <f>IF(Table2[[#This Row],[Total EV ®]]&lt;Table2[[#This Row],[Total (V)]],"UNDER","OVER")</f>
        <v>OVER</v>
      </c>
      <c r="AF55" s="21"/>
      <c r="AG55" s="20"/>
      <c r="AH55" s="12"/>
      <c r="AI55" s="23">
        <f>Table2[[#This Row],[(A)]]-Table2[[#This Row],[Spread]]</f>
        <v>-22.985118483412329</v>
      </c>
      <c r="AJ55" s="4">
        <f>Table2[[#This Row],[(A) Err]]^2</f>
        <v>528.31567169650305</v>
      </c>
      <c r="AK55" s="4">
        <f>Table2[[#This Row],[EV]]-Table2[[#This Row],[Spread]]</f>
        <v>-21.863001870622426</v>
      </c>
      <c r="AL55" s="4">
        <f>Table2[[#This Row],[EV Err]]^2</f>
        <v>477.99085079483973</v>
      </c>
    </row>
    <row r="56" spans="1:38" x14ac:dyDescent="0.25">
      <c r="A56" t="s">
        <v>51</v>
      </c>
      <c r="B56" t="s">
        <v>11</v>
      </c>
      <c r="C56" t="s">
        <v>24</v>
      </c>
      <c r="E56">
        <v>116</v>
      </c>
      <c r="G56">
        <v>123</v>
      </c>
      <c r="H56" s="9">
        <f t="shared" si="0"/>
        <v>239</v>
      </c>
      <c r="K56" s="25">
        <f>(Table2[[#This Row],[Home Pace]]/100)*(VLOOKUP(Table2[[#This Row],[Home/Neutral]],home_lookup,8,FALSE)+VLOOKUP(Table2[[#This Row],[Home/Neutral]],OFR_lookup,2,FALSE)+VLOOKUP(Table2[[#This Row],[Visitor/Neutral]],def_diff_lookup,6,FALSE))</f>
        <v>102.45849904407281</v>
      </c>
      <c r="L56" s="25"/>
      <c r="M56" s="25">
        <f>(Table2[[#This Row],[Away Pace]]/100)*(VLOOKUP(Table2[[#This Row],[Visitor/Neutral]],OFR_lookup,2,FALSE)+VLOOKUP(Table2[[#This Row],[Home/Neutral]],def_diff_lookup,6,FALSE))</f>
        <v>102.62793600000002</v>
      </c>
      <c r="N56" s="25"/>
      <c r="O56" s="25"/>
      <c r="P56">
        <f>VLOOKUP(Table2[[#This Row],[Home/Neutral]],pace_lookup,7,FALSE)</f>
        <v>99.7</v>
      </c>
      <c r="Q56" s="5">
        <f>VLOOKUP(Table2[[#This Row],[Visitor/Neutral]],pace_lookup,7,FALSE)</f>
        <v>99.9</v>
      </c>
      <c r="R56" s="9">
        <f t="shared" si="1"/>
        <v>7</v>
      </c>
      <c r="V56" s="2">
        <f>-home-VLOOKUP(Table2[[#This Row],[Home/Neutral]],rtg_vlookup,4,FALSE)+VLOOKUP(Table2[[#This Row],[Visitor/Neutral]],rtg_vlookup,4,FALSE)</f>
        <v>-8.7851184834123313</v>
      </c>
      <c r="W56" s="25"/>
      <c r="X56" s="2"/>
      <c r="Y56" s="2">
        <f>Table2[[#This Row],[Away EV]]-Table2[[#This Row],[Home EV]]</f>
        <v>0.16943695592721042</v>
      </c>
      <c r="Z56" s="33"/>
      <c r="AA56" s="34"/>
      <c r="AB56" t="b">
        <f>IF(VLOOKUP(Table2[[#This Row],[Home/Neutral]],division_lookup,9,FALSE)=VLOOKUP(Table2[[#This Row],[Visitor/Neutral]],division_lookup,9,FALSE),TRUE,FALSE)</f>
        <v>0</v>
      </c>
      <c r="AC56" s="19" t="str">
        <f>VLOOKUP(Table2[[#This Row],[Home/Neutral]],division_lookup,9,FALSE)</f>
        <v>SE</v>
      </c>
      <c r="AD56" s="19"/>
      <c r="AE56" s="19" t="str">
        <f>IF(Table2[[#This Row],[Total EV ®]]&lt;Table2[[#This Row],[Total (V)]],"UNDER","OVER")</f>
        <v>OVER</v>
      </c>
      <c r="AF56" s="19"/>
      <c r="AG56" s="19"/>
      <c r="AH56" s="2"/>
      <c r="AI56" s="22">
        <f>Table2[[#This Row],[(A)]]-Table2[[#This Row],[Spread]]</f>
        <v>-15.785118483412331</v>
      </c>
      <c r="AJ56" s="1">
        <f>Table2[[#This Row],[(A) Err]]^2</f>
        <v>249.16996553536561</v>
      </c>
      <c r="AK56" s="6">
        <f>Table2[[#This Row],[EV]]-Table2[[#This Row],[Spread]]</f>
        <v>-6.8305630440727896</v>
      </c>
      <c r="AL56" s="1">
        <f>Table2[[#This Row],[EV Err]]^2</f>
        <v>46.656591499052936</v>
      </c>
    </row>
    <row r="57" spans="1:38" x14ac:dyDescent="0.25">
      <c r="A57" t="s">
        <v>51</v>
      </c>
      <c r="B57" t="s">
        <v>26</v>
      </c>
      <c r="C57" t="s">
        <v>13</v>
      </c>
      <c r="E57">
        <v>107</v>
      </c>
      <c r="G57">
        <v>100</v>
      </c>
      <c r="H57" s="9">
        <f t="shared" si="0"/>
        <v>207</v>
      </c>
      <c r="K57" s="25">
        <f>(Table2[[#This Row],[Home Pace]]/100)*(VLOOKUP(Table2[[#This Row],[Home/Neutral]],home_lookup,8,FALSE)+VLOOKUP(Table2[[#This Row],[Home/Neutral]],OFR_lookup,2,FALSE)+VLOOKUP(Table2[[#This Row],[Visitor/Neutral]],def_diff_lookup,6,FALSE))</f>
        <v>106.1889635891816</v>
      </c>
      <c r="L57" s="25"/>
      <c r="M57" s="25">
        <f>(Table2[[#This Row],[Away Pace]]/100)*(VLOOKUP(Table2[[#This Row],[Visitor/Neutral]],OFR_lookup,2,FALSE)+VLOOKUP(Table2[[#This Row],[Home/Neutral]],def_diff_lookup,6,FALSE))</f>
        <v>106.79508000000001</v>
      </c>
      <c r="N57" s="25"/>
      <c r="O57" s="25"/>
      <c r="P57">
        <f>VLOOKUP(Table2[[#This Row],[Home/Neutral]],pace_lookup,7,FALSE)</f>
        <v>96</v>
      </c>
      <c r="Q57" s="5">
        <f>VLOOKUP(Table2[[#This Row],[Visitor/Neutral]],pace_lookup,7,FALSE)</f>
        <v>94.5</v>
      </c>
      <c r="R57" s="9">
        <f t="shared" si="1"/>
        <v>-7</v>
      </c>
      <c r="V57" s="2">
        <f>-home-VLOOKUP(Table2[[#This Row],[Home/Neutral]],rtg_vlookup,4,FALSE)+VLOOKUP(Table2[[#This Row],[Visitor/Neutral]],rtg_vlookup,4,FALSE)</f>
        <v>3.1348815165876687</v>
      </c>
      <c r="W57" s="25"/>
      <c r="X57" s="2"/>
      <c r="Y57" s="2">
        <f>Table2[[#This Row],[Away EV]]-Table2[[#This Row],[Home EV]]</f>
        <v>0.60611641081841583</v>
      </c>
      <c r="Z57" s="33"/>
      <c r="AA57" s="34"/>
      <c r="AB57" t="b">
        <f>IF(VLOOKUP(Table2[[#This Row],[Home/Neutral]],division_lookup,9,FALSE)=VLOOKUP(Table2[[#This Row],[Visitor/Neutral]],division_lookup,9,FALSE),TRUE,FALSE)</f>
        <v>0</v>
      </c>
      <c r="AC57" s="19" t="str">
        <f>VLOOKUP(Table2[[#This Row],[Home/Neutral]],division_lookup,9,FALSE)</f>
        <v>A</v>
      </c>
      <c r="AD57" s="19"/>
      <c r="AE57" s="19" t="str">
        <f>IF(Table2[[#This Row],[Total EV ®]]&lt;Table2[[#This Row],[Total (V)]],"UNDER","OVER")</f>
        <v>OVER</v>
      </c>
      <c r="AF57" s="19"/>
      <c r="AG57" s="19"/>
      <c r="AH57" s="2"/>
      <c r="AI57" s="22">
        <f>Table2[[#This Row],[(A)]]-Table2[[#This Row],[Spread]]</f>
        <v>10.134881516587669</v>
      </c>
      <c r="AJ57" s="1">
        <f>Table2[[#This Row],[(A) Err]]^2</f>
        <v>102.71582335527036</v>
      </c>
      <c r="AK57" s="6">
        <f>Table2[[#This Row],[EV]]-Table2[[#This Row],[Spread]]</f>
        <v>7.6061164108184158</v>
      </c>
      <c r="AL57" s="1">
        <f>Table2[[#This Row],[EV Err]]^2</f>
        <v>57.853006854921219</v>
      </c>
    </row>
    <row r="58" spans="1:38" x14ac:dyDescent="0.25">
      <c r="A58" t="s">
        <v>51</v>
      </c>
      <c r="B58" t="s">
        <v>35</v>
      </c>
      <c r="C58" t="s">
        <v>25</v>
      </c>
      <c r="E58">
        <v>109</v>
      </c>
      <c r="G58">
        <v>101</v>
      </c>
      <c r="H58" s="9">
        <f t="shared" si="0"/>
        <v>210</v>
      </c>
      <c r="K58" s="25">
        <f>(Table2[[#This Row],[Home Pace]]/100)*(VLOOKUP(Table2[[#This Row],[Home/Neutral]],home_lookup,8,FALSE)+VLOOKUP(Table2[[#This Row],[Home/Neutral]],OFR_lookup,2,FALSE)+VLOOKUP(Table2[[#This Row],[Visitor/Neutral]],def_diff_lookup,6,FALSE))</f>
        <v>103.84887121209626</v>
      </c>
      <c r="L58" s="25"/>
      <c r="M58" s="25">
        <f>(Table2[[#This Row],[Away Pace]]/100)*(VLOOKUP(Table2[[#This Row],[Visitor/Neutral]],OFR_lookup,2,FALSE)+VLOOKUP(Table2[[#This Row],[Home/Neutral]],def_diff_lookup,6,FALSE))</f>
        <v>100.23454933333333</v>
      </c>
      <c r="N58" s="25"/>
      <c r="O58" s="25"/>
      <c r="P58">
        <f>VLOOKUP(Table2[[#This Row],[Home/Neutral]],pace_lookup,7,FALSE)</f>
        <v>102.2</v>
      </c>
      <c r="Q58" s="5">
        <f>VLOOKUP(Table2[[#This Row],[Visitor/Neutral]],pace_lookup,7,FALSE)</f>
        <v>94.4</v>
      </c>
      <c r="R58" s="9">
        <f t="shared" si="1"/>
        <v>-8</v>
      </c>
      <c r="V58" s="2">
        <f>-home-VLOOKUP(Table2[[#This Row],[Home/Neutral]],rtg_vlookup,4,FALSE)+VLOOKUP(Table2[[#This Row],[Visitor/Neutral]],rtg_vlookup,4,FALSE)</f>
        <v>3.5748815165876691</v>
      </c>
      <c r="W58" s="25"/>
      <c r="X58" s="2"/>
      <c r="Y58" s="2">
        <f>Table2[[#This Row],[Away EV]]-Table2[[#This Row],[Home EV]]</f>
        <v>-3.6143218787629223</v>
      </c>
      <c r="Z58" s="33"/>
      <c r="AA58" s="34"/>
      <c r="AB58" t="b">
        <f>IF(VLOOKUP(Table2[[#This Row],[Home/Neutral]],division_lookup,9,FALSE)=VLOOKUP(Table2[[#This Row],[Visitor/Neutral]],division_lookup,9,FALSE),TRUE,FALSE)</f>
        <v>0</v>
      </c>
      <c r="AC58" s="19" t="str">
        <f>VLOOKUP(Table2[[#This Row],[Home/Neutral]],division_lookup,9,FALSE)</f>
        <v>A</v>
      </c>
      <c r="AD58" s="19"/>
      <c r="AE58" s="19" t="str">
        <f>IF(Table2[[#This Row],[Total EV ®]]&lt;Table2[[#This Row],[Total (V)]],"UNDER","OVER")</f>
        <v>OVER</v>
      </c>
      <c r="AF58" s="19"/>
      <c r="AG58" s="19"/>
      <c r="AH58" s="2"/>
      <c r="AI58" s="22">
        <f>Table2[[#This Row],[(A)]]-Table2[[#This Row],[Spread]]</f>
        <v>11.57488151658767</v>
      </c>
      <c r="AJ58" s="1">
        <f>Table2[[#This Row],[(A) Err]]^2</f>
        <v>133.97788212304289</v>
      </c>
      <c r="AK58" s="6">
        <f>Table2[[#This Row],[EV]]-Table2[[#This Row],[Spread]]</f>
        <v>4.3856781212370777</v>
      </c>
      <c r="AL58" s="1">
        <f>Table2[[#This Row],[EV Err]]^2</f>
        <v>19.234172583097582</v>
      </c>
    </row>
    <row r="59" spans="1:38" x14ac:dyDescent="0.25">
      <c r="A59" t="s">
        <v>51</v>
      </c>
      <c r="B59" t="s">
        <v>16</v>
      </c>
      <c r="C59" t="s">
        <v>39</v>
      </c>
      <c r="E59">
        <v>109</v>
      </c>
      <c r="G59">
        <v>93</v>
      </c>
      <c r="H59" s="9">
        <f t="shared" si="0"/>
        <v>202</v>
      </c>
      <c r="K59" s="25">
        <f>(Table2[[#This Row],[Home Pace]]/100)*(VLOOKUP(Table2[[#This Row],[Home/Neutral]],home_lookup,8,FALSE)+VLOOKUP(Table2[[#This Row],[Home/Neutral]],OFR_lookup,2,FALSE)+VLOOKUP(Table2[[#This Row],[Visitor/Neutral]],def_diff_lookup,6,FALSE))</f>
        <v>106.65860601115951</v>
      </c>
      <c r="L59" s="25"/>
      <c r="M59" s="25">
        <f>(Table2[[#This Row],[Away Pace]]/100)*(VLOOKUP(Table2[[#This Row],[Visitor/Neutral]],OFR_lookup,2,FALSE)+VLOOKUP(Table2[[#This Row],[Home/Neutral]],def_diff_lookup,6,FALSE))</f>
        <v>95.833400000000012</v>
      </c>
      <c r="N59" s="25"/>
      <c r="O59" s="25"/>
      <c r="P59">
        <f>VLOOKUP(Table2[[#This Row],[Home/Neutral]],pace_lookup,7,FALSE)</f>
        <v>97.5</v>
      </c>
      <c r="Q59" s="5">
        <f>VLOOKUP(Table2[[#This Row],[Visitor/Neutral]],pace_lookup,7,FALSE)</f>
        <v>97.5</v>
      </c>
      <c r="R59" s="9">
        <f t="shared" si="1"/>
        <v>-16</v>
      </c>
      <c r="V59" s="2">
        <f>-home-VLOOKUP(Table2[[#This Row],[Home/Neutral]],rtg_vlookup,4,FALSE)+VLOOKUP(Table2[[#This Row],[Visitor/Neutral]],rtg_vlookup,4,FALSE)</f>
        <v>-14.615118483412331</v>
      </c>
      <c r="W59" s="25"/>
      <c r="X59" s="2"/>
      <c r="Y59" s="2">
        <f>Table2[[#This Row],[Away EV]]-Table2[[#This Row],[Home EV]]</f>
        <v>-10.825206011159494</v>
      </c>
      <c r="Z59" s="33"/>
      <c r="AA59" s="34"/>
      <c r="AB59" t="b">
        <f>IF(VLOOKUP(Table2[[#This Row],[Home/Neutral]],division_lookup,9,FALSE)=VLOOKUP(Table2[[#This Row],[Visitor/Neutral]],division_lookup,9,FALSE),TRUE,FALSE)</f>
        <v>0</v>
      </c>
      <c r="AC59" s="19" t="str">
        <f>VLOOKUP(Table2[[#This Row],[Home/Neutral]],division_lookup,9,FALSE)</f>
        <v>SE</v>
      </c>
      <c r="AD59" s="19"/>
      <c r="AE59" s="19" t="str">
        <f>IF(Table2[[#This Row],[Total EV ®]]&lt;Table2[[#This Row],[Total (V)]],"UNDER","OVER")</f>
        <v>OVER</v>
      </c>
      <c r="AF59" s="19"/>
      <c r="AG59" s="19"/>
      <c r="AH59" s="2"/>
      <c r="AI59" s="22">
        <f>Table2[[#This Row],[(A)]]-Table2[[#This Row],[Spread]]</f>
        <v>1.3848815165876687</v>
      </c>
      <c r="AJ59" s="1">
        <f>Table2[[#This Row],[(A) Err]]^2</f>
        <v>1.9178968149861613</v>
      </c>
      <c r="AK59" s="6">
        <f>Table2[[#This Row],[EV]]-Table2[[#This Row],[Spread]]</f>
        <v>5.1747939888405057</v>
      </c>
      <c r="AL59" s="1">
        <f>Table2[[#This Row],[EV Err]]^2</f>
        <v>26.778492826939832</v>
      </c>
    </row>
    <row r="60" spans="1:38" x14ac:dyDescent="0.25">
      <c r="A60" t="s">
        <v>51</v>
      </c>
      <c r="B60" t="s">
        <v>4</v>
      </c>
      <c r="C60" t="s">
        <v>18</v>
      </c>
      <c r="E60">
        <v>83</v>
      </c>
      <c r="G60">
        <v>85</v>
      </c>
      <c r="H60" s="9">
        <f t="shared" si="0"/>
        <v>168</v>
      </c>
      <c r="K60" s="25">
        <f>(Table2[[#This Row],[Home Pace]]/100)*(VLOOKUP(Table2[[#This Row],[Home/Neutral]],home_lookup,8,FALSE)+VLOOKUP(Table2[[#This Row],[Home/Neutral]],OFR_lookup,2,FALSE)+VLOOKUP(Table2[[#This Row],[Visitor/Neutral]],def_diff_lookup,6,FALSE))</f>
        <v>98.27286781393444</v>
      </c>
      <c r="L60" s="25"/>
      <c r="M60" s="25">
        <f>(Table2[[#This Row],[Away Pace]]/100)*(VLOOKUP(Table2[[#This Row],[Visitor/Neutral]],OFR_lookup,2,FALSE)+VLOOKUP(Table2[[#This Row],[Home/Neutral]],def_diff_lookup,6,FALSE))</f>
        <v>97.878813333333341</v>
      </c>
      <c r="N60" s="25"/>
      <c r="O60" s="25"/>
      <c r="P60">
        <f>VLOOKUP(Table2[[#This Row],[Home/Neutral]],pace_lookup,7,FALSE)</f>
        <v>96.6</v>
      </c>
      <c r="Q60" s="5">
        <f>VLOOKUP(Table2[[#This Row],[Visitor/Neutral]],pace_lookup,7,FALSE)</f>
        <v>99.5</v>
      </c>
      <c r="R60" s="9">
        <f t="shared" si="1"/>
        <v>2</v>
      </c>
      <c r="V60" s="2">
        <f>-home-VLOOKUP(Table2[[#This Row],[Home/Neutral]],rtg_vlookup,4,FALSE)+VLOOKUP(Table2[[#This Row],[Visitor/Neutral]],rtg_vlookup,4,FALSE)</f>
        <v>-15.035118483412331</v>
      </c>
      <c r="W60" s="25"/>
      <c r="X60" s="2"/>
      <c r="Y60" s="2">
        <f>Table2[[#This Row],[Away EV]]-Table2[[#This Row],[Home EV]]</f>
        <v>-0.39405448060109904</v>
      </c>
      <c r="Z60" s="33"/>
      <c r="AA60" s="34"/>
      <c r="AB60" t="b">
        <f>IF(VLOOKUP(Table2[[#This Row],[Home/Neutral]],division_lookup,9,FALSE)=VLOOKUP(Table2[[#This Row],[Visitor/Neutral]],division_lookup,9,FALSE),TRUE,FALSE)</f>
        <v>0</v>
      </c>
      <c r="AC60" s="19" t="str">
        <f>VLOOKUP(Table2[[#This Row],[Home/Neutral]],division_lookup,9,FALSE)</f>
        <v>P</v>
      </c>
      <c r="AD60" s="19"/>
      <c r="AE60" s="19" t="str">
        <f>IF(Table2[[#This Row],[Total EV ®]]&lt;Table2[[#This Row],[Total (V)]],"UNDER","OVER")</f>
        <v>OVER</v>
      </c>
      <c r="AF60" s="19"/>
      <c r="AG60" s="19"/>
      <c r="AH60" s="2"/>
      <c r="AI60" s="22">
        <f>Table2[[#This Row],[(A)]]-Table2[[#This Row],[Spread]]</f>
        <v>-17.035118483412333</v>
      </c>
      <c r="AJ60" s="1">
        <f>Table2[[#This Row],[(A) Err]]^2</f>
        <v>290.19526174389648</v>
      </c>
      <c r="AK60" s="6">
        <f>Table2[[#This Row],[EV]]-Table2[[#This Row],[Spread]]</f>
        <v>-2.394054480601099</v>
      </c>
      <c r="AL60" s="1">
        <f>Table2[[#This Row],[EV Err]]^2</f>
        <v>5.7314968560861983</v>
      </c>
    </row>
    <row r="61" spans="1:38" x14ac:dyDescent="0.25">
      <c r="A61" t="s">
        <v>51</v>
      </c>
      <c r="B61" t="s">
        <v>23</v>
      </c>
      <c r="C61" t="s">
        <v>34</v>
      </c>
      <c r="E61">
        <v>89</v>
      </c>
      <c r="G61">
        <v>83</v>
      </c>
      <c r="H61" s="9">
        <f t="shared" si="0"/>
        <v>172</v>
      </c>
      <c r="K61" s="25">
        <f>(Table2[[#This Row],[Home Pace]]/100)*(VLOOKUP(Table2[[#This Row],[Home/Neutral]],home_lookup,8,FALSE)+VLOOKUP(Table2[[#This Row],[Home/Neutral]],OFR_lookup,2,FALSE)+VLOOKUP(Table2[[#This Row],[Visitor/Neutral]],def_diff_lookup,6,FALSE))</f>
        <v>101.69388735871358</v>
      </c>
      <c r="L61" s="25"/>
      <c r="M61" s="25">
        <f>(Table2[[#This Row],[Away Pace]]/100)*(VLOOKUP(Table2[[#This Row],[Visitor/Neutral]],OFR_lookup,2,FALSE)+VLOOKUP(Table2[[#This Row],[Home/Neutral]],def_diff_lookup,6,FALSE))</f>
        <v>95.480978666666672</v>
      </c>
      <c r="N61" s="25"/>
      <c r="O61" s="25"/>
      <c r="P61">
        <f>VLOOKUP(Table2[[#This Row],[Home/Neutral]],pace_lookup,7,FALSE)</f>
        <v>92.5</v>
      </c>
      <c r="Q61" s="5">
        <f>VLOOKUP(Table2[[#This Row],[Visitor/Neutral]],pace_lookup,7,FALSE)</f>
        <v>98.8</v>
      </c>
      <c r="R61" s="9">
        <f t="shared" si="1"/>
        <v>-6</v>
      </c>
      <c r="V61" s="2">
        <f>-home-VLOOKUP(Table2[[#This Row],[Home/Neutral]],rtg_vlookup,4,FALSE)+VLOOKUP(Table2[[#This Row],[Visitor/Neutral]],rtg_vlookup,4,FALSE)</f>
        <v>-10.15511848341233</v>
      </c>
      <c r="W61" s="25"/>
      <c r="X61" s="2"/>
      <c r="Y61" s="2">
        <f>Table2[[#This Row],[Away EV]]-Table2[[#This Row],[Home EV]]</f>
        <v>-6.2129086920469092</v>
      </c>
      <c r="Z61" s="33"/>
      <c r="AA61" s="34"/>
      <c r="AB61" t="b">
        <f>IF(VLOOKUP(Table2[[#This Row],[Home/Neutral]],division_lookup,9,FALSE)=VLOOKUP(Table2[[#This Row],[Visitor/Neutral]],division_lookup,9,FALSE),TRUE,FALSE)</f>
        <v>1</v>
      </c>
      <c r="AC61" s="19" t="str">
        <f>VLOOKUP(Table2[[#This Row],[Home/Neutral]],division_lookup,9,FALSE)</f>
        <v>SW</v>
      </c>
      <c r="AD61" s="19"/>
      <c r="AE61" s="19" t="str">
        <f>IF(Table2[[#This Row],[Total EV ®]]&lt;Table2[[#This Row],[Total (V)]],"UNDER","OVER")</f>
        <v>OVER</v>
      </c>
      <c r="AF61" s="19"/>
      <c r="AG61" s="19"/>
      <c r="AH61" s="2"/>
      <c r="AI61" s="22">
        <f>Table2[[#This Row],[(A)]]-Table2[[#This Row],[Spread]]</f>
        <v>-4.1551184834123305</v>
      </c>
      <c r="AJ61" s="1">
        <f>Table2[[#This Row],[(A) Err]]^2</f>
        <v>17.265009611194785</v>
      </c>
      <c r="AK61" s="6">
        <f>Table2[[#This Row],[EV]]-Table2[[#This Row],[Spread]]</f>
        <v>-0.21290869204690921</v>
      </c>
      <c r="AL61" s="1">
        <f>Table2[[#This Row],[EV Err]]^2</f>
        <v>4.5330111149125621E-2</v>
      </c>
    </row>
    <row r="62" spans="1:38" x14ac:dyDescent="0.25">
      <c r="A62" t="s">
        <v>51</v>
      </c>
      <c r="B62" t="s">
        <v>31</v>
      </c>
      <c r="C62" t="s">
        <v>17</v>
      </c>
      <c r="E62">
        <v>99</v>
      </c>
      <c r="G62">
        <v>118</v>
      </c>
      <c r="H62" s="9">
        <f t="shared" si="0"/>
        <v>217</v>
      </c>
      <c r="K62" s="25">
        <f>(Table2[[#This Row],[Home Pace]]/100)*(VLOOKUP(Table2[[#This Row],[Home/Neutral]],home_lookup,8,FALSE)+VLOOKUP(Table2[[#This Row],[Home/Neutral]],OFR_lookup,2,FALSE)+VLOOKUP(Table2[[#This Row],[Visitor/Neutral]],def_diff_lookup,6,FALSE))</f>
        <v>113.5005743021789</v>
      </c>
      <c r="L62" s="25"/>
      <c r="M62" s="25">
        <f>(Table2[[#This Row],[Away Pace]]/100)*(VLOOKUP(Table2[[#This Row],[Visitor/Neutral]],OFR_lookup,2,FALSE)+VLOOKUP(Table2[[#This Row],[Home/Neutral]],def_diff_lookup,6,FALSE))</f>
        <v>114.63849466666669</v>
      </c>
      <c r="N62" s="25"/>
      <c r="O62" s="25"/>
      <c r="P62">
        <f>VLOOKUP(Table2[[#This Row],[Home/Neutral]],pace_lookup,7,FALSE)</f>
        <v>96</v>
      </c>
      <c r="Q62" s="5">
        <f>VLOOKUP(Table2[[#This Row],[Visitor/Neutral]],pace_lookup,7,FALSE)</f>
        <v>96.7</v>
      </c>
      <c r="R62" s="9">
        <f t="shared" si="1"/>
        <v>19</v>
      </c>
      <c r="V62" s="2">
        <f>-home-VLOOKUP(Table2[[#This Row],[Home/Neutral]],rtg_vlookup,4,FALSE)+VLOOKUP(Table2[[#This Row],[Visitor/Neutral]],rtg_vlookup,4,FALSE)</f>
        <v>3.7548815165876697</v>
      </c>
      <c r="W62" s="25"/>
      <c r="X62" s="2"/>
      <c r="Y62" s="2">
        <f>Table2[[#This Row],[Away EV]]-Table2[[#This Row],[Home EV]]</f>
        <v>1.1379203644877833</v>
      </c>
      <c r="Z62" s="33"/>
      <c r="AA62" s="34"/>
      <c r="AB62" t="b">
        <f>IF(VLOOKUP(Table2[[#This Row],[Home/Neutral]],division_lookup,9,FALSE)=VLOOKUP(Table2[[#This Row],[Visitor/Neutral]],division_lookup,9,FALSE),TRUE,FALSE)</f>
        <v>0</v>
      </c>
      <c r="AC62" s="19" t="str">
        <f>VLOOKUP(Table2[[#This Row],[Home/Neutral]],division_lookup,9,FALSE)</f>
        <v>A</v>
      </c>
      <c r="AD62" s="19"/>
      <c r="AE62" s="19" t="str">
        <f>IF(Table2[[#This Row],[Total EV ®]]&lt;Table2[[#This Row],[Total (V)]],"UNDER","OVER")</f>
        <v>OVER</v>
      </c>
      <c r="AF62" s="19"/>
      <c r="AG62" s="19"/>
      <c r="AH62" s="2"/>
      <c r="AI62" s="22">
        <f>Table2[[#This Row],[(A)]]-Table2[[#This Row],[Spread]]</f>
        <v>-15.24511848341233</v>
      </c>
      <c r="AJ62" s="1">
        <f>Table2[[#This Row],[(A) Err]]^2</f>
        <v>232.41363757328028</v>
      </c>
      <c r="AK62" s="6">
        <f>Table2[[#This Row],[EV]]-Table2[[#This Row],[Spread]]</f>
        <v>-17.862079635512217</v>
      </c>
      <c r="AL62" s="1">
        <f>Table2[[#This Row],[EV Err]]^2</f>
        <v>319.05388890538023</v>
      </c>
    </row>
    <row r="63" spans="1:38" x14ac:dyDescent="0.25">
      <c r="A63" t="s">
        <v>51</v>
      </c>
      <c r="B63" t="s">
        <v>36</v>
      </c>
      <c r="C63" t="s">
        <v>32</v>
      </c>
      <c r="E63">
        <v>118</v>
      </c>
      <c r="G63">
        <v>115</v>
      </c>
      <c r="H63" s="9">
        <f t="shared" si="0"/>
        <v>233</v>
      </c>
      <c r="K63" s="25">
        <f>(Table2[[#This Row],[Home Pace]]/100)*(VLOOKUP(Table2[[#This Row],[Home/Neutral]],home_lookup,8,FALSE)+VLOOKUP(Table2[[#This Row],[Home/Neutral]],OFR_lookup,2,FALSE)+VLOOKUP(Table2[[#This Row],[Visitor/Neutral]],def_diff_lookup,6,FALSE))</f>
        <v>112.65371156604043</v>
      </c>
      <c r="L63" s="25"/>
      <c r="M63" s="25">
        <f>(Table2[[#This Row],[Away Pace]]/100)*(VLOOKUP(Table2[[#This Row],[Visitor/Neutral]],OFR_lookup,2,FALSE)+VLOOKUP(Table2[[#This Row],[Home/Neutral]],def_diff_lookup,6,FALSE))</f>
        <v>109.77203733333334</v>
      </c>
      <c r="N63" s="25"/>
      <c r="O63" s="25"/>
      <c r="P63">
        <f>VLOOKUP(Table2[[#This Row],[Home/Neutral]],pace_lookup,7,FALSE)</f>
        <v>102.2</v>
      </c>
      <c r="Q63" s="5">
        <f>VLOOKUP(Table2[[#This Row],[Visitor/Neutral]],pace_lookup,7,FALSE)</f>
        <v>98.6</v>
      </c>
      <c r="R63" s="9">
        <f t="shared" si="1"/>
        <v>-3</v>
      </c>
      <c r="V63" s="2">
        <f>-home-VLOOKUP(Table2[[#This Row],[Home/Neutral]],rtg_vlookup,4,FALSE)+VLOOKUP(Table2[[#This Row],[Visitor/Neutral]],rtg_vlookup,4,FALSE)</f>
        <v>0.59488151658766952</v>
      </c>
      <c r="W63" s="25"/>
      <c r="X63" s="2"/>
      <c r="Y63" s="2">
        <f>Table2[[#This Row],[Away EV]]-Table2[[#This Row],[Home EV]]</f>
        <v>-2.8816742327070841</v>
      </c>
      <c r="Z63" s="33"/>
      <c r="AA63" s="34"/>
      <c r="AB63" t="b">
        <f>IF(VLOOKUP(Table2[[#This Row],[Home/Neutral]],division_lookup,9,FALSE)=VLOOKUP(Table2[[#This Row],[Visitor/Neutral]],division_lookup,9,FALSE),TRUE,FALSE)</f>
        <v>0</v>
      </c>
      <c r="AC63" s="19" t="str">
        <f>VLOOKUP(Table2[[#This Row],[Home/Neutral]],division_lookup,9,FALSE)</f>
        <v>P</v>
      </c>
      <c r="AD63" s="19"/>
      <c r="AE63" s="19" t="str">
        <f>IF(Table2[[#This Row],[Total EV ®]]&lt;Table2[[#This Row],[Total (V)]],"UNDER","OVER")</f>
        <v>OVER</v>
      </c>
      <c r="AF63" s="19"/>
      <c r="AG63" s="19"/>
      <c r="AH63" s="2"/>
      <c r="AI63" s="22">
        <f>Table2[[#This Row],[(A)]]-Table2[[#This Row],[Spread]]</f>
        <v>3.5948815165876695</v>
      </c>
      <c r="AJ63" s="1">
        <f>Table2[[#This Row],[(A) Err]]^2</f>
        <v>12.923173118303662</v>
      </c>
      <c r="AK63" s="6">
        <f>Table2[[#This Row],[EV]]-Table2[[#This Row],[Spread]]</f>
        <v>0.11832576729291588</v>
      </c>
      <c r="AL63" s="1">
        <f>Table2[[#This Row],[EV Err]]^2</f>
        <v>1.4000987205457283E-2</v>
      </c>
    </row>
    <row r="64" spans="1:38" x14ac:dyDescent="0.25">
      <c r="A64" s="5" t="s">
        <v>51</v>
      </c>
      <c r="B64" s="5" t="s">
        <v>20</v>
      </c>
      <c r="C64" s="5" t="s">
        <v>37</v>
      </c>
      <c r="D64" s="5"/>
      <c r="E64" s="5">
        <v>97</v>
      </c>
      <c r="F64" s="5"/>
      <c r="G64" s="5">
        <v>81</v>
      </c>
      <c r="H64" s="9">
        <f t="shared" si="0"/>
        <v>178</v>
      </c>
      <c r="I64" s="5"/>
      <c r="J64" s="5"/>
      <c r="K64" s="27">
        <f>(Table2[[#This Row],[Home Pace]]/100)*(VLOOKUP(Table2[[#This Row],[Home/Neutral]],home_lookup,8,FALSE)+VLOOKUP(Table2[[#This Row],[Home/Neutral]],OFR_lookup,2,FALSE)+VLOOKUP(Table2[[#This Row],[Visitor/Neutral]],def_diff_lookup,6,FALSE))</f>
        <v>101.12906528915177</v>
      </c>
      <c r="L64" s="27"/>
      <c r="M64" s="27">
        <f>(Table2[[#This Row],[Away Pace]]/100)*(VLOOKUP(Table2[[#This Row],[Visitor/Neutral]],OFR_lookup,2,FALSE)+VLOOKUP(Table2[[#This Row],[Home/Neutral]],def_diff_lookup,6,FALSE))</f>
        <v>86.850914000000017</v>
      </c>
      <c r="N64" s="27"/>
      <c r="O64" s="27"/>
      <c r="P64" s="5">
        <f>VLOOKUP(Table2[[#This Row],[Home/Neutral]],pace_lookup,7,FALSE)</f>
        <v>90.9</v>
      </c>
      <c r="Q64" s="5">
        <f>VLOOKUP(Table2[[#This Row],[Visitor/Neutral]],pace_lookup,7,FALSE)</f>
        <v>92.1</v>
      </c>
      <c r="R64" s="9">
        <f t="shared" si="1"/>
        <v>-16</v>
      </c>
      <c r="S64" s="5"/>
      <c r="T64" s="5"/>
      <c r="U64" s="5"/>
      <c r="V64" s="13">
        <f>-home-VLOOKUP(Table2[[#This Row],[Home/Neutral]],rtg_vlookup,4,FALSE)+VLOOKUP(Table2[[#This Row],[Visitor/Neutral]],rtg_vlookup,4,FALSE)</f>
        <v>-11.945118483412331</v>
      </c>
      <c r="W64" s="27"/>
      <c r="X64" s="13"/>
      <c r="Y64" s="13">
        <f>Table2[[#This Row],[Away EV]]-Table2[[#This Row],[Home EV]]</f>
        <v>-14.278151289151751</v>
      </c>
      <c r="Z64" s="33"/>
      <c r="AA64" s="34"/>
      <c r="AB64" t="b">
        <f>IF(VLOOKUP(Table2[[#This Row],[Home/Neutral]],division_lookup,9,FALSE)=VLOOKUP(Table2[[#This Row],[Visitor/Neutral]],division_lookup,9,FALSE),TRUE,FALSE)</f>
        <v>0</v>
      </c>
      <c r="AC64" s="19" t="str">
        <f>VLOOKUP(Table2[[#This Row],[Home/Neutral]],division_lookup,9,FALSE)</f>
        <v>NW</v>
      </c>
      <c r="AD64" s="19"/>
      <c r="AE64" s="19" t="str">
        <f>IF(Table2[[#This Row],[Total EV ®]]&lt;Table2[[#This Row],[Total (V)]],"UNDER","OVER")</f>
        <v>OVER</v>
      </c>
      <c r="AF64" s="19"/>
      <c r="AG64" s="19"/>
      <c r="AH64" s="2"/>
      <c r="AI64" s="22">
        <f>Table2[[#This Row],[(A)]]-Table2[[#This Row],[Spread]]</f>
        <v>4.0548815165876686</v>
      </c>
      <c r="AJ64" s="6">
        <f>Table2[[#This Row],[(A) Err]]^2</f>
        <v>16.44206411356431</v>
      </c>
      <c r="AK64" s="6">
        <f>Table2[[#This Row],[EV]]-Table2[[#This Row],[Spread]]</f>
        <v>1.7218487108482492</v>
      </c>
      <c r="AL64" s="1">
        <f>Table2[[#This Row],[EV Err]]^2</f>
        <v>2.9647629830497775</v>
      </c>
    </row>
    <row r="65" spans="1:38" ht="15.75" thickBot="1" x14ac:dyDescent="0.3">
      <c r="A65" s="3" t="s">
        <v>51</v>
      </c>
      <c r="B65" s="3" t="s">
        <v>28</v>
      </c>
      <c r="C65" s="3" t="s">
        <v>14</v>
      </c>
      <c r="D65" s="3"/>
      <c r="E65" s="3">
        <v>103</v>
      </c>
      <c r="F65" s="3"/>
      <c r="G65" s="3">
        <v>113</v>
      </c>
      <c r="H65" s="10">
        <f t="shared" si="0"/>
        <v>216</v>
      </c>
      <c r="I65" s="3"/>
      <c r="J65" s="3"/>
      <c r="K65" s="26">
        <f>(Table2[[#This Row],[Home Pace]]/100)*(VLOOKUP(Table2[[#This Row],[Home/Neutral]],home_lookup,8,FALSE)+VLOOKUP(Table2[[#This Row],[Home/Neutral]],OFR_lookup,2,FALSE)+VLOOKUP(Table2[[#This Row],[Visitor/Neutral]],def_diff_lookup,6,FALSE))</f>
        <v>110.14511553204274</v>
      </c>
      <c r="L65" s="26"/>
      <c r="M65" s="26">
        <f>(Table2[[#This Row],[Away Pace]]/100)*(VLOOKUP(Table2[[#This Row],[Visitor/Neutral]],OFR_lookup,2,FALSE)+VLOOKUP(Table2[[#This Row],[Home/Neutral]],def_diff_lookup,6,FALSE))</f>
        <v>111.39807933333336</v>
      </c>
      <c r="N65" s="26"/>
      <c r="O65" s="26"/>
      <c r="P65" s="3">
        <f>VLOOKUP(Table2[[#This Row],[Home/Neutral]],pace_lookup,7,FALSE)</f>
        <v>96.3</v>
      </c>
      <c r="Q65" s="3">
        <f>VLOOKUP(Table2[[#This Row],[Visitor/Neutral]],pace_lookup,7,FALSE)</f>
        <v>95.9</v>
      </c>
      <c r="R65" s="10">
        <f t="shared" si="1"/>
        <v>10</v>
      </c>
      <c r="S65" s="3"/>
      <c r="T65" s="3"/>
      <c r="U65" s="3"/>
      <c r="V65" s="12">
        <f>-home-VLOOKUP(Table2[[#This Row],[Home/Neutral]],rtg_vlookup,4,FALSE)+VLOOKUP(Table2[[#This Row],[Visitor/Neutral]],rtg_vlookup,4,FALSE)</f>
        <v>4.1548815165876691</v>
      </c>
      <c r="W65" s="26"/>
      <c r="X65" s="12"/>
      <c r="Y65" s="12">
        <f>Table2[[#This Row],[Away EV]]-Table2[[#This Row],[Home EV]]</f>
        <v>1.252963801290619</v>
      </c>
      <c r="Z65" s="35"/>
      <c r="AA65" s="36"/>
      <c r="AB65" s="3" t="b">
        <f>IF(VLOOKUP(Table2[[#This Row],[Home/Neutral]],division_lookup,9,FALSE)=VLOOKUP(Table2[[#This Row],[Visitor/Neutral]],division_lookup,9,FALSE),TRUE,FALSE)</f>
        <v>0</v>
      </c>
      <c r="AC65" s="20" t="str">
        <f>VLOOKUP(Table2[[#This Row],[Home/Neutral]],division_lookup,9,FALSE)</f>
        <v>SE</v>
      </c>
      <c r="AD65" s="20"/>
      <c r="AE65" s="20" t="str">
        <f>IF(Table2[[#This Row],[Total EV ®]]&lt;Table2[[#This Row],[Total (V)]],"UNDER","OVER")</f>
        <v>OVER</v>
      </c>
      <c r="AF65" s="21"/>
      <c r="AG65" s="20"/>
      <c r="AH65" s="12"/>
      <c r="AI65" s="23">
        <f>Table2[[#This Row],[(A)]]-Table2[[#This Row],[Spread]]</f>
        <v>-5.8451184834123309</v>
      </c>
      <c r="AJ65" s="4">
        <f>Table2[[#This Row],[(A) Err]]^2</f>
        <v>34.165410085128464</v>
      </c>
      <c r="AK65" s="4">
        <f>Table2[[#This Row],[EV]]-Table2[[#This Row],[Spread]]</f>
        <v>-8.747036198709381</v>
      </c>
      <c r="AL65" s="4">
        <f>Table2[[#This Row],[EV Err]]^2</f>
        <v>76.510642261532254</v>
      </c>
    </row>
    <row r="66" spans="1:38" x14ac:dyDescent="0.25">
      <c r="A66" t="s">
        <v>52</v>
      </c>
      <c r="B66" t="s">
        <v>8</v>
      </c>
      <c r="C66" t="s">
        <v>26</v>
      </c>
      <c r="E66">
        <v>128</v>
      </c>
      <c r="G66">
        <v>122</v>
      </c>
      <c r="H66" s="9">
        <f t="shared" si="0"/>
        <v>250</v>
      </c>
      <c r="K66" s="25">
        <f>(Table2[[#This Row],[Home Pace]]/100)*(VLOOKUP(Table2[[#This Row],[Home/Neutral]],home_lookup,8,FALSE)+VLOOKUP(Table2[[#This Row],[Home/Neutral]],OFR_lookup,2,FALSE)+VLOOKUP(Table2[[#This Row],[Visitor/Neutral]],def_diff_lookup,6,FALSE))</f>
        <v>106.48770036898181</v>
      </c>
      <c r="L66" s="25"/>
      <c r="M66" s="25">
        <f>(Table2[[#This Row],[Away Pace]]/100)*(VLOOKUP(Table2[[#This Row],[Visitor/Neutral]],OFR_lookup,2,FALSE)+VLOOKUP(Table2[[#This Row],[Home/Neutral]],def_diff_lookup,6,FALSE))</f>
        <v>101.63584</v>
      </c>
      <c r="N66" s="25"/>
      <c r="O66" s="25"/>
      <c r="P66">
        <f>VLOOKUP(Table2[[#This Row],[Home/Neutral]],pace_lookup,7,FALSE)</f>
        <v>97.2</v>
      </c>
      <c r="Q66" s="5">
        <f>VLOOKUP(Table2[[#This Row],[Visitor/Neutral]],pace_lookup,7,FALSE)</f>
        <v>96</v>
      </c>
      <c r="R66" s="9">
        <f t="shared" si="1"/>
        <v>-6</v>
      </c>
      <c r="V66" s="2">
        <f>-home-VLOOKUP(Table2[[#This Row],[Home/Neutral]],rtg_vlookup,4,FALSE)+VLOOKUP(Table2[[#This Row],[Visitor/Neutral]],rtg_vlookup,4,FALSE)</f>
        <v>-9.8051184834123308</v>
      </c>
      <c r="W66" s="25"/>
      <c r="X66" s="2"/>
      <c r="Y66" s="2">
        <f>Table2[[#This Row],[Away EV]]-Table2[[#This Row],[Home EV]]</f>
        <v>-4.8518603689818036</v>
      </c>
      <c r="Z66" s="33"/>
      <c r="AA66" s="34"/>
      <c r="AB66" t="b">
        <f>IF(VLOOKUP(Table2[[#This Row],[Home/Neutral]],division_lookup,9,FALSE)=VLOOKUP(Table2[[#This Row],[Visitor/Neutral]],division_lookup,9,FALSE),TRUE,FALSE)</f>
        <v>0</v>
      </c>
      <c r="AC66" s="19" t="str">
        <f>VLOOKUP(Table2[[#This Row],[Home/Neutral]],division_lookup,9,FALSE)</f>
        <v>C</v>
      </c>
      <c r="AD66" s="19"/>
      <c r="AE66" s="19" t="str">
        <f>IF(Table2[[#This Row],[Total EV ®]]&lt;Table2[[#This Row],[Total (V)]],"UNDER","OVER")</f>
        <v>OVER</v>
      </c>
      <c r="AF66" s="19"/>
      <c r="AG66" s="19"/>
      <c r="AH66" s="2"/>
      <c r="AI66" s="22">
        <f>Table2[[#This Row],[(A)]]-Table2[[#This Row],[Spread]]</f>
        <v>-3.8051184834123308</v>
      </c>
      <c r="AJ66" s="1">
        <f>Table2[[#This Row],[(A) Err]]^2</f>
        <v>14.478926672806157</v>
      </c>
      <c r="AK66" s="6">
        <f>Table2[[#This Row],[EV]]-Table2[[#This Row],[Spread]]</f>
        <v>1.1481396310181964</v>
      </c>
      <c r="AL66" s="1">
        <f>Table2[[#This Row],[EV Err]]^2</f>
        <v>1.3182246123146002</v>
      </c>
    </row>
    <row r="67" spans="1:38" x14ac:dyDescent="0.25">
      <c r="A67" t="s">
        <v>52</v>
      </c>
      <c r="B67" t="s">
        <v>10</v>
      </c>
      <c r="C67" t="s">
        <v>18</v>
      </c>
      <c r="E67">
        <v>122</v>
      </c>
      <c r="G67">
        <v>96</v>
      </c>
      <c r="H67" s="9">
        <f t="shared" ref="H67:H130" si="2">E67+G67</f>
        <v>218</v>
      </c>
      <c r="K67" s="25">
        <f>(Table2[[#This Row],[Home Pace]]/100)*(VLOOKUP(Table2[[#This Row],[Home/Neutral]],home_lookup,8,FALSE)+VLOOKUP(Table2[[#This Row],[Home/Neutral]],OFR_lookup,2,FALSE)+VLOOKUP(Table2[[#This Row],[Visitor/Neutral]],def_diff_lookup,6,FALSE))</f>
        <v>103.00379853790561</v>
      </c>
      <c r="L67" s="25"/>
      <c r="M67" s="25">
        <f>(Table2[[#This Row],[Away Pace]]/100)*(VLOOKUP(Table2[[#This Row],[Visitor/Neutral]],OFR_lookup,2,FALSE)+VLOOKUP(Table2[[#This Row],[Home/Neutral]],def_diff_lookup,6,FALSE))</f>
        <v>105.50051333333334</v>
      </c>
      <c r="N67" s="25"/>
      <c r="O67" s="25"/>
      <c r="P67">
        <f>VLOOKUP(Table2[[#This Row],[Home/Neutral]],pace_lookup,7,FALSE)</f>
        <v>100.3</v>
      </c>
      <c r="Q67" s="5">
        <f>VLOOKUP(Table2[[#This Row],[Visitor/Neutral]],pace_lookup,7,FALSE)</f>
        <v>99.5</v>
      </c>
      <c r="R67" s="9">
        <f t="shared" ref="R67:R130" si="3">G67-E67</f>
        <v>-26</v>
      </c>
      <c r="V67" s="2">
        <f>-home-VLOOKUP(Table2[[#This Row],[Home/Neutral]],rtg_vlookup,4,FALSE)+VLOOKUP(Table2[[#This Row],[Visitor/Neutral]],rtg_vlookup,4,FALSE)</f>
        <v>-8.8751184834123311</v>
      </c>
      <c r="W67" s="25"/>
      <c r="X67" s="2"/>
      <c r="Y67" s="2">
        <f>Table2[[#This Row],[Away EV]]-Table2[[#This Row],[Home EV]]</f>
        <v>2.4967147954277351</v>
      </c>
      <c r="Z67" s="33"/>
      <c r="AA67" s="34"/>
      <c r="AB67" t="b">
        <f>IF(VLOOKUP(Table2[[#This Row],[Home/Neutral]],division_lookup,9,FALSE)=VLOOKUP(Table2[[#This Row],[Visitor/Neutral]],division_lookup,9,FALSE),TRUE,FALSE)</f>
        <v>0</v>
      </c>
      <c r="AC67" s="19" t="str">
        <f>VLOOKUP(Table2[[#This Row],[Home/Neutral]],division_lookup,9,FALSE)</f>
        <v>P</v>
      </c>
      <c r="AD67" s="19"/>
      <c r="AE67" s="19" t="str">
        <f>IF(Table2[[#This Row],[Total EV ®]]&lt;Table2[[#This Row],[Total (V)]],"UNDER","OVER")</f>
        <v>OVER</v>
      </c>
      <c r="AF67" s="19"/>
      <c r="AG67" s="19"/>
      <c r="AH67" s="2"/>
      <c r="AI67" s="22">
        <f>Table2[[#This Row],[(A)]]-Table2[[#This Row],[Spread]]</f>
        <v>17.124881516587671</v>
      </c>
      <c r="AJ67" s="1">
        <f>Table2[[#This Row],[(A) Err]]^2</f>
        <v>293.26156695716605</v>
      </c>
      <c r="AK67" s="6">
        <f>Table2[[#This Row],[EV]]-Table2[[#This Row],[Spread]]</f>
        <v>28.496714795427735</v>
      </c>
      <c r="AL67" s="1">
        <f>Table2[[#This Row],[EV Err]]^2</f>
        <v>812.06275413194999</v>
      </c>
    </row>
    <row r="68" spans="1:38" x14ac:dyDescent="0.25">
      <c r="A68" t="s">
        <v>52</v>
      </c>
      <c r="B68" t="s">
        <v>30</v>
      </c>
      <c r="C68" t="s">
        <v>33</v>
      </c>
      <c r="E68">
        <v>125</v>
      </c>
      <c r="G68">
        <v>107</v>
      </c>
      <c r="H68" s="9">
        <f t="shared" si="2"/>
        <v>232</v>
      </c>
      <c r="K68" s="25">
        <f>(Table2[[#This Row],[Home Pace]]/100)*(VLOOKUP(Table2[[#This Row],[Home/Neutral]],home_lookup,8,FALSE)+VLOOKUP(Table2[[#This Row],[Home/Neutral]],OFR_lookup,2,FALSE)+VLOOKUP(Table2[[#This Row],[Visitor/Neutral]],def_diff_lookup,6,FALSE))</f>
        <v>110.51296034993645</v>
      </c>
      <c r="L68" s="25"/>
      <c r="M68" s="25">
        <f>(Table2[[#This Row],[Away Pace]]/100)*(VLOOKUP(Table2[[#This Row],[Visitor/Neutral]],OFR_lookup,2,FALSE)+VLOOKUP(Table2[[#This Row],[Home/Neutral]],def_diff_lookup,6,FALSE))</f>
        <v>103.58201466666668</v>
      </c>
      <c r="N68" s="25"/>
      <c r="O68" s="25"/>
      <c r="P68">
        <f>VLOOKUP(Table2[[#This Row],[Home/Neutral]],pace_lookup,7,FALSE)</f>
        <v>96.8</v>
      </c>
      <c r="Q68" s="5">
        <f>VLOOKUP(Table2[[#This Row],[Visitor/Neutral]],pace_lookup,7,FALSE)</f>
        <v>98.2</v>
      </c>
      <c r="R68" s="9">
        <f t="shared" si="3"/>
        <v>-18</v>
      </c>
      <c r="V68" s="2">
        <f>-home-VLOOKUP(Table2[[#This Row],[Home/Neutral]],rtg_vlookup,4,FALSE)+VLOOKUP(Table2[[#This Row],[Visitor/Neutral]],rtg_vlookup,4,FALSE)</f>
        <v>-5.4551184834123312</v>
      </c>
      <c r="W68" s="25"/>
      <c r="X68" s="2"/>
      <c r="Y68" s="2">
        <f>Table2[[#This Row],[Away EV]]-Table2[[#This Row],[Home EV]]</f>
        <v>-6.9309456832697691</v>
      </c>
      <c r="Z68" s="33"/>
      <c r="AA68" s="34"/>
      <c r="AB68" t="b">
        <f>IF(VLOOKUP(Table2[[#This Row],[Home/Neutral]],division_lookup,9,FALSE)=VLOOKUP(Table2[[#This Row],[Visitor/Neutral]],division_lookup,9,FALSE),TRUE,FALSE)</f>
        <v>1</v>
      </c>
      <c r="AC68" s="19" t="str">
        <f>VLOOKUP(Table2[[#This Row],[Home/Neutral]],division_lookup,9,FALSE)</f>
        <v>C</v>
      </c>
      <c r="AD68" s="19"/>
      <c r="AE68" s="19" t="str">
        <f>IF(Table2[[#This Row],[Total EV ®]]&lt;Table2[[#This Row],[Total (V)]],"UNDER","OVER")</f>
        <v>OVER</v>
      </c>
      <c r="AF68" s="19"/>
      <c r="AG68" s="19"/>
      <c r="AH68" s="2"/>
      <c r="AI68" s="22">
        <f>Table2[[#This Row],[(A)]]-Table2[[#This Row],[Spread]]</f>
        <v>12.544881516587669</v>
      </c>
      <c r="AJ68" s="1">
        <f>Table2[[#This Row],[(A) Err]]^2</f>
        <v>157.37405226522293</v>
      </c>
      <c r="AK68" s="6">
        <f>Table2[[#This Row],[EV]]-Table2[[#This Row],[Spread]]</f>
        <v>11.069054316730231</v>
      </c>
      <c r="AL68" s="1">
        <f>Table2[[#This Row],[EV Err]]^2</f>
        <v>122.52396346672415</v>
      </c>
    </row>
    <row r="69" spans="1:38" x14ac:dyDescent="0.25">
      <c r="A69" t="s">
        <v>52</v>
      </c>
      <c r="B69" t="s">
        <v>22</v>
      </c>
      <c r="C69" t="s">
        <v>27</v>
      </c>
      <c r="E69">
        <v>99</v>
      </c>
      <c r="G69">
        <v>102</v>
      </c>
      <c r="H69" s="9">
        <f t="shared" si="2"/>
        <v>201</v>
      </c>
      <c r="K69" s="25">
        <f>(Table2[[#This Row],[Home Pace]]/100)*(VLOOKUP(Table2[[#This Row],[Home/Neutral]],home_lookup,8,FALSE)+VLOOKUP(Table2[[#This Row],[Home/Neutral]],OFR_lookup,2,FALSE)+VLOOKUP(Table2[[#This Row],[Visitor/Neutral]],def_diff_lookup,6,FALSE))</f>
        <v>110.52766922968976</v>
      </c>
      <c r="L69" s="25"/>
      <c r="M69" s="25">
        <f>(Table2[[#This Row],[Away Pace]]/100)*(VLOOKUP(Table2[[#This Row],[Visitor/Neutral]],OFR_lookup,2,FALSE)+VLOOKUP(Table2[[#This Row],[Home/Neutral]],def_diff_lookup,6,FALSE))</f>
        <v>108.23736000000001</v>
      </c>
      <c r="N69" s="25"/>
      <c r="O69" s="25"/>
      <c r="P69">
        <f>VLOOKUP(Table2[[#This Row],[Home/Neutral]],pace_lookup,7,FALSE)</f>
        <v>94.7</v>
      </c>
      <c r="Q69" s="5">
        <f>VLOOKUP(Table2[[#This Row],[Visitor/Neutral]],pace_lookup,7,FALSE)</f>
        <v>99</v>
      </c>
      <c r="R69" s="9">
        <f t="shared" si="3"/>
        <v>3</v>
      </c>
      <c r="V69" s="2">
        <f>-home-VLOOKUP(Table2[[#This Row],[Home/Neutral]],rtg_vlookup,4,FALSE)+VLOOKUP(Table2[[#This Row],[Visitor/Neutral]],rtg_vlookup,4,FALSE)</f>
        <v>-4.2251184834123308</v>
      </c>
      <c r="W69" s="25"/>
      <c r="X69" s="2"/>
      <c r="Y69" s="2">
        <f>Table2[[#This Row],[Away EV]]-Table2[[#This Row],[Home EV]]</f>
        <v>-2.290309229689754</v>
      </c>
      <c r="Z69" s="33"/>
      <c r="AA69" s="34"/>
      <c r="AB69" t="b">
        <f>IF(VLOOKUP(Table2[[#This Row],[Home/Neutral]],division_lookup,9,FALSE)=VLOOKUP(Table2[[#This Row],[Visitor/Neutral]],division_lookup,9,FALSE),TRUE,FALSE)</f>
        <v>1</v>
      </c>
      <c r="AC69" s="19" t="str">
        <f>VLOOKUP(Table2[[#This Row],[Home/Neutral]],division_lookup,9,FALSE)</f>
        <v>NW</v>
      </c>
      <c r="AD69" s="19"/>
      <c r="AE69" s="19" t="str">
        <f>IF(Table2[[#This Row],[Total EV ®]]&lt;Table2[[#This Row],[Total (V)]],"UNDER","OVER")</f>
        <v>OVER</v>
      </c>
      <c r="AF69" s="19"/>
      <c r="AG69" s="19"/>
      <c r="AH69" s="2"/>
      <c r="AI69" s="22">
        <f>Table2[[#This Row],[(A)]]-Table2[[#This Row],[Spread]]</f>
        <v>-7.2251184834123308</v>
      </c>
      <c r="AJ69" s="1">
        <f>Table2[[#This Row],[(A) Err]]^2</f>
        <v>52.202337099346501</v>
      </c>
      <c r="AK69" s="6">
        <f>Table2[[#This Row],[EV]]-Table2[[#This Row],[Spread]]</f>
        <v>-5.290309229689754</v>
      </c>
      <c r="AL69" s="1">
        <f>Table2[[#This Row],[EV Err]]^2</f>
        <v>27.987371745740599</v>
      </c>
    </row>
    <row r="70" spans="1:38" ht="15.75" thickBot="1" x14ac:dyDescent="0.3">
      <c r="A70" s="7" t="s">
        <v>52</v>
      </c>
      <c r="B70" s="7" t="s">
        <v>38</v>
      </c>
      <c r="C70" s="7" t="s">
        <v>29</v>
      </c>
      <c r="D70" s="7"/>
      <c r="E70" s="7">
        <v>102</v>
      </c>
      <c r="F70" s="7"/>
      <c r="G70" s="7">
        <v>94</v>
      </c>
      <c r="H70" s="11">
        <f t="shared" si="2"/>
        <v>196</v>
      </c>
      <c r="I70" s="7"/>
      <c r="J70" s="7"/>
      <c r="K70" s="28">
        <f>(Table2[[#This Row],[Home Pace]]/100)*(VLOOKUP(Table2[[#This Row],[Home/Neutral]],home_lookup,8,FALSE)+VLOOKUP(Table2[[#This Row],[Home/Neutral]],OFR_lookup,2,FALSE)+VLOOKUP(Table2[[#This Row],[Visitor/Neutral]],def_diff_lookup,6,FALSE))</f>
        <v>109.12407167891479</v>
      </c>
      <c r="L70" s="28"/>
      <c r="M70" s="28">
        <f>(Table2[[#This Row],[Away Pace]]/100)*(VLOOKUP(Table2[[#This Row],[Visitor/Neutral]],OFR_lookup,2,FALSE)+VLOOKUP(Table2[[#This Row],[Home/Neutral]],def_diff_lookup,6,FALSE))</f>
        <v>101.73610533333334</v>
      </c>
      <c r="N70" s="28"/>
      <c r="O70" s="28"/>
      <c r="P70" s="7">
        <f>VLOOKUP(Table2[[#This Row],[Home/Neutral]],pace_lookup,7,FALSE)</f>
        <v>94.2</v>
      </c>
      <c r="Q70" s="7">
        <f>VLOOKUP(Table2[[#This Row],[Visitor/Neutral]],pace_lookup,7,FALSE)</f>
        <v>93.8</v>
      </c>
      <c r="R70" s="11">
        <f t="shared" si="3"/>
        <v>-8</v>
      </c>
      <c r="S70" s="7"/>
      <c r="T70" s="7"/>
      <c r="U70" s="7"/>
      <c r="V70" s="14">
        <f>-home-VLOOKUP(Table2[[#This Row],[Home/Neutral]],rtg_vlookup,4,FALSE)+VLOOKUP(Table2[[#This Row],[Visitor/Neutral]],rtg_vlookup,4,FALSE)</f>
        <v>3.6748815165876687</v>
      </c>
      <c r="W70" s="28"/>
      <c r="X70" s="14"/>
      <c r="Y70" s="14">
        <f>Table2[[#This Row],[Away EV]]-Table2[[#This Row],[Home EV]]</f>
        <v>-7.3879663455814466</v>
      </c>
      <c r="Z70" s="35"/>
      <c r="AA70" s="36"/>
      <c r="AB70" s="3" t="b">
        <f>IF(VLOOKUP(Table2[[#This Row],[Home/Neutral]],division_lookup,9,FALSE)=VLOOKUP(Table2[[#This Row],[Visitor/Neutral]],division_lookup,9,FALSE),TRUE,FALSE)</f>
        <v>0</v>
      </c>
      <c r="AC70" s="20" t="str">
        <f>VLOOKUP(Table2[[#This Row],[Home/Neutral]],division_lookup,9,FALSE)</f>
        <v>SE</v>
      </c>
      <c r="AD70" s="20"/>
      <c r="AE70" s="20" t="str">
        <f>IF(Table2[[#This Row],[Total EV ®]]&lt;Table2[[#This Row],[Total (V)]],"UNDER","OVER")</f>
        <v>OVER</v>
      </c>
      <c r="AF70" s="20"/>
      <c r="AG70" s="20"/>
      <c r="AH70" s="12"/>
      <c r="AI70" s="24">
        <f>Table2[[#This Row],[(A)]]-Table2[[#This Row],[Spread]]</f>
        <v>11.674881516587668</v>
      </c>
      <c r="AJ70" s="8">
        <f>Table2[[#This Row],[(A) Err]]^2</f>
        <v>136.30285842636036</v>
      </c>
      <c r="AK70" s="4">
        <f>Table2[[#This Row],[EV]]-Table2[[#This Row],[Spread]]</f>
        <v>0.6120336544185534</v>
      </c>
      <c r="AL70" s="4">
        <f>Table2[[#This Row],[EV Err]]^2</f>
        <v>0.37458519414092922</v>
      </c>
    </row>
    <row r="71" spans="1:38" x14ac:dyDescent="0.25">
      <c r="A71" t="s">
        <v>53</v>
      </c>
      <c r="B71" t="s">
        <v>35</v>
      </c>
      <c r="C71" t="s">
        <v>16</v>
      </c>
      <c r="E71">
        <v>95</v>
      </c>
      <c r="G71">
        <v>99</v>
      </c>
      <c r="H71" s="9">
        <f t="shared" si="2"/>
        <v>194</v>
      </c>
      <c r="K71" s="25">
        <f>(Table2[[#This Row],[Home Pace]]/100)*(VLOOKUP(Table2[[#This Row],[Home/Neutral]],home_lookup,8,FALSE)+VLOOKUP(Table2[[#This Row],[Home/Neutral]],OFR_lookup,2,FALSE)+VLOOKUP(Table2[[#This Row],[Visitor/Neutral]],def_diff_lookup,6,FALSE))</f>
        <v>105.81111121209626</v>
      </c>
      <c r="L71" s="25"/>
      <c r="M71" s="25">
        <f>(Table2[[#This Row],[Away Pace]]/100)*(VLOOKUP(Table2[[#This Row],[Visitor/Neutral]],OFR_lookup,2,FALSE)+VLOOKUP(Table2[[#This Row],[Home/Neutral]],def_diff_lookup,6,FALSE))</f>
        <v>107.9624</v>
      </c>
      <c r="N71" s="25"/>
      <c r="O71" s="25"/>
      <c r="P71">
        <f>VLOOKUP(Table2[[#This Row],[Home/Neutral]],pace_lookup,7,FALSE)</f>
        <v>102.2</v>
      </c>
      <c r="Q71" s="5">
        <f>VLOOKUP(Table2[[#This Row],[Visitor/Neutral]],pace_lookup,7,FALSE)</f>
        <v>97.5</v>
      </c>
      <c r="R71" s="9">
        <f t="shared" si="3"/>
        <v>4</v>
      </c>
      <c r="V71" s="2">
        <f>-home-VLOOKUP(Table2[[#This Row],[Home/Neutral]],rtg_vlookup,4,FALSE)+VLOOKUP(Table2[[#This Row],[Visitor/Neutral]],rtg_vlookup,4,FALSE)</f>
        <v>6.204881516587669</v>
      </c>
      <c r="W71" s="25"/>
      <c r="X71" s="2"/>
      <c r="Y71" s="2">
        <f>Table2[[#This Row],[Away EV]]-Table2[[#This Row],[Home EV]]</f>
        <v>2.1512887879037379</v>
      </c>
      <c r="Z71" s="33"/>
      <c r="AA71" s="34"/>
      <c r="AB71" t="b">
        <f>IF(VLOOKUP(Table2[[#This Row],[Home/Neutral]],division_lookup,9,FALSE)=VLOOKUP(Table2[[#This Row],[Visitor/Neutral]],division_lookup,9,FALSE),TRUE,FALSE)</f>
        <v>0</v>
      </c>
      <c r="AC71" s="19" t="str">
        <f>VLOOKUP(Table2[[#This Row],[Home/Neutral]],division_lookup,9,FALSE)</f>
        <v>A</v>
      </c>
      <c r="AD71" s="19"/>
      <c r="AE71" s="19" t="str">
        <f>IF(Table2[[#This Row],[Total EV ®]]&lt;Table2[[#This Row],[Total (V)]],"UNDER","OVER")</f>
        <v>OVER</v>
      </c>
      <c r="AF71" s="19"/>
      <c r="AG71" s="19"/>
      <c r="AH71" s="2"/>
      <c r="AI71" s="22">
        <f>Table2[[#This Row],[(A)]]-Table2[[#This Row],[Spread]]</f>
        <v>2.204881516587669</v>
      </c>
      <c r="AJ71" s="1">
        <f>Table2[[#This Row],[(A) Err]]^2</f>
        <v>4.8615025021899392</v>
      </c>
      <c r="AK71" s="6">
        <f>Table2[[#This Row],[EV]]-Table2[[#This Row],[Spread]]</f>
        <v>-1.8487112120962621</v>
      </c>
      <c r="AL71" s="1">
        <f>Table2[[#This Row],[EV Err]]^2</f>
        <v>3.4177331457304305</v>
      </c>
    </row>
    <row r="72" spans="1:38" x14ac:dyDescent="0.25">
      <c r="A72" t="s">
        <v>53</v>
      </c>
      <c r="B72" t="s">
        <v>13</v>
      </c>
      <c r="C72" t="s">
        <v>31</v>
      </c>
      <c r="E72">
        <v>104</v>
      </c>
      <c r="G72">
        <v>117</v>
      </c>
      <c r="H72" s="9">
        <f t="shared" si="2"/>
        <v>221</v>
      </c>
      <c r="K72" s="25">
        <f>(Table2[[#This Row],[Home Pace]]/100)*(VLOOKUP(Table2[[#This Row],[Home/Neutral]],home_lookup,8,FALSE)+VLOOKUP(Table2[[#This Row],[Home/Neutral]],OFR_lookup,2,FALSE)+VLOOKUP(Table2[[#This Row],[Visitor/Neutral]],def_diff_lookup,6,FALSE))</f>
        <v>109.85254108450401</v>
      </c>
      <c r="L72" s="25"/>
      <c r="M72" s="25">
        <f>(Table2[[#This Row],[Away Pace]]/100)*(VLOOKUP(Table2[[#This Row],[Visitor/Neutral]],OFR_lookup,2,FALSE)+VLOOKUP(Table2[[#This Row],[Home/Neutral]],def_diff_lookup,6,FALSE))</f>
        <v>103.76704000000001</v>
      </c>
      <c r="N72" s="25"/>
      <c r="O72" s="25"/>
      <c r="P72">
        <f>VLOOKUP(Table2[[#This Row],[Home/Neutral]],pace_lookup,7,FALSE)</f>
        <v>94.5</v>
      </c>
      <c r="Q72" s="5">
        <f>VLOOKUP(Table2[[#This Row],[Visitor/Neutral]],pace_lookup,7,FALSE)</f>
        <v>96</v>
      </c>
      <c r="R72" s="9">
        <f t="shared" si="3"/>
        <v>13</v>
      </c>
      <c r="V72" s="2">
        <f>-home-VLOOKUP(Table2[[#This Row],[Home/Neutral]],rtg_vlookup,4,FALSE)+VLOOKUP(Table2[[#This Row],[Visitor/Neutral]],rtg_vlookup,4,FALSE)</f>
        <v>-10.605118483412332</v>
      </c>
      <c r="W72" s="25"/>
      <c r="X72" s="2"/>
      <c r="Y72" s="2">
        <f>Table2[[#This Row],[Away EV]]-Table2[[#This Row],[Home EV]]</f>
        <v>-6.0855010845040027</v>
      </c>
      <c r="Z72" s="33"/>
      <c r="AA72" s="34"/>
      <c r="AB72" t="b">
        <f>IF(VLOOKUP(Table2[[#This Row],[Home/Neutral]],division_lookup,9,FALSE)=VLOOKUP(Table2[[#This Row],[Visitor/Neutral]],division_lookup,9,FALSE),TRUE,FALSE)</f>
        <v>0</v>
      </c>
      <c r="AC72" s="19" t="str">
        <f>VLOOKUP(Table2[[#This Row],[Home/Neutral]],division_lookup,9,FALSE)</f>
        <v>C</v>
      </c>
      <c r="AD72" s="19"/>
      <c r="AE72" s="19" t="str">
        <f>IF(Table2[[#This Row],[Total EV ®]]&lt;Table2[[#This Row],[Total (V)]],"UNDER","OVER")</f>
        <v>OVER</v>
      </c>
      <c r="AF72" s="19"/>
      <c r="AG72" s="19"/>
      <c r="AH72" s="2"/>
      <c r="AI72" s="22">
        <f>Table2[[#This Row],[(A)]]-Table2[[#This Row],[Spread]]</f>
        <v>-23.605118483412333</v>
      </c>
      <c r="AJ72" s="1">
        <f>Table2[[#This Row],[(A) Err]]^2</f>
        <v>557.20161861593454</v>
      </c>
      <c r="AK72" s="6">
        <f>Table2[[#This Row],[EV]]-Table2[[#This Row],[Spread]]</f>
        <v>-19.085501084504003</v>
      </c>
      <c r="AL72" s="1">
        <f>Table2[[#This Row],[EV Err]]^2</f>
        <v>364.25635164660349</v>
      </c>
    </row>
    <row r="73" spans="1:38" x14ac:dyDescent="0.25">
      <c r="A73" t="s">
        <v>53</v>
      </c>
      <c r="B73" t="s">
        <v>37</v>
      </c>
      <c r="C73" t="s">
        <v>32</v>
      </c>
      <c r="E73">
        <v>95</v>
      </c>
      <c r="G73">
        <v>105</v>
      </c>
      <c r="H73" s="9">
        <f t="shared" si="2"/>
        <v>200</v>
      </c>
      <c r="K73" s="25">
        <f>(Table2[[#This Row],[Home Pace]]/100)*(VLOOKUP(Table2[[#This Row],[Home/Neutral]],home_lookup,8,FALSE)+VLOOKUP(Table2[[#This Row],[Home/Neutral]],OFR_lookup,2,FALSE)+VLOOKUP(Table2[[#This Row],[Visitor/Neutral]],def_diff_lookup,6,FALSE))</f>
        <v>107.03687809362123</v>
      </c>
      <c r="L73" s="25"/>
      <c r="M73" s="25">
        <f>(Table2[[#This Row],[Away Pace]]/100)*(VLOOKUP(Table2[[#This Row],[Visitor/Neutral]],OFR_lookup,2,FALSE)+VLOOKUP(Table2[[#This Row],[Home/Neutral]],def_diff_lookup,6,FALSE))</f>
        <v>103.94477733333333</v>
      </c>
      <c r="N73" s="25"/>
      <c r="O73" s="25"/>
      <c r="P73">
        <f>VLOOKUP(Table2[[#This Row],[Home/Neutral]],pace_lookup,7,FALSE)</f>
        <v>92.1</v>
      </c>
      <c r="Q73" s="5">
        <f>VLOOKUP(Table2[[#This Row],[Visitor/Neutral]],pace_lookup,7,FALSE)</f>
        <v>98.6</v>
      </c>
      <c r="R73" s="9">
        <f t="shared" si="3"/>
        <v>10</v>
      </c>
      <c r="V73" s="2">
        <f>-home-VLOOKUP(Table2[[#This Row],[Home/Neutral]],rtg_vlookup,4,FALSE)+VLOOKUP(Table2[[#This Row],[Visitor/Neutral]],rtg_vlookup,4,FALSE)</f>
        <v>1.8748815165876698</v>
      </c>
      <c r="W73" s="25"/>
      <c r="X73" s="2"/>
      <c r="Y73" s="2">
        <f>Table2[[#This Row],[Away EV]]-Table2[[#This Row],[Home EV]]</f>
        <v>-3.0921007602878916</v>
      </c>
      <c r="Z73" s="33"/>
      <c r="AA73" s="34"/>
      <c r="AB73" t="b">
        <f>IF(VLOOKUP(Table2[[#This Row],[Home/Neutral]],division_lookup,9,FALSE)=VLOOKUP(Table2[[#This Row],[Visitor/Neutral]],division_lookup,9,FALSE),TRUE,FALSE)</f>
        <v>0</v>
      </c>
      <c r="AC73" s="19" t="str">
        <f>VLOOKUP(Table2[[#This Row],[Home/Neutral]],division_lookup,9,FALSE)</f>
        <v>SW</v>
      </c>
      <c r="AD73" s="19"/>
      <c r="AE73" s="19" t="str">
        <f>IF(Table2[[#This Row],[Total EV ®]]&lt;Table2[[#This Row],[Total (V)]],"UNDER","OVER")</f>
        <v>OVER</v>
      </c>
      <c r="AF73" s="19"/>
      <c r="AG73" s="19"/>
      <c r="AH73" s="2"/>
      <c r="AI73" s="22">
        <f>Table2[[#This Row],[(A)]]-Table2[[#This Row],[Spread]]</f>
        <v>-8.1251184834123293</v>
      </c>
      <c r="AJ73" s="1">
        <f>Table2[[#This Row],[(A) Err]]^2</f>
        <v>66.017550369488674</v>
      </c>
      <c r="AK73" s="6">
        <f>Table2[[#This Row],[EV]]-Table2[[#This Row],[Spread]]</f>
        <v>-13.092100760287892</v>
      </c>
      <c r="AL73" s="1">
        <f>Table2[[#This Row],[EV Err]]^2</f>
        <v>171.4031023175308</v>
      </c>
    </row>
    <row r="74" spans="1:38" x14ac:dyDescent="0.25">
      <c r="A74" t="s">
        <v>53</v>
      </c>
      <c r="B74" t="s">
        <v>24</v>
      </c>
      <c r="C74" t="s">
        <v>10</v>
      </c>
      <c r="E74">
        <v>117</v>
      </c>
      <c r="G74">
        <v>97</v>
      </c>
      <c r="H74" s="9">
        <f t="shared" si="2"/>
        <v>214</v>
      </c>
      <c r="K74" s="25">
        <f>(Table2[[#This Row],[Home Pace]]/100)*(VLOOKUP(Table2[[#This Row],[Home/Neutral]],home_lookup,8,FALSE)+VLOOKUP(Table2[[#This Row],[Home/Neutral]],OFR_lookup,2,FALSE)+VLOOKUP(Table2[[#This Row],[Visitor/Neutral]],def_diff_lookup,6,FALSE))</f>
        <v>110.7549343283094</v>
      </c>
      <c r="L74" s="25"/>
      <c r="M74" s="25">
        <f>(Table2[[#This Row],[Away Pace]]/100)*(VLOOKUP(Table2[[#This Row],[Visitor/Neutral]],OFR_lookup,2,FALSE)+VLOOKUP(Table2[[#This Row],[Home/Neutral]],def_diff_lookup,6,FALSE))</f>
        <v>120.68162866666665</v>
      </c>
      <c r="N74" s="25"/>
      <c r="O74" s="25"/>
      <c r="P74">
        <f>VLOOKUP(Table2[[#This Row],[Home/Neutral]],pace_lookup,7,FALSE)</f>
        <v>99.9</v>
      </c>
      <c r="Q74" s="5">
        <f>VLOOKUP(Table2[[#This Row],[Visitor/Neutral]],pace_lookup,7,FALSE)</f>
        <v>100.3</v>
      </c>
      <c r="R74" s="9">
        <f t="shared" si="3"/>
        <v>-20</v>
      </c>
      <c r="V74" s="2">
        <f>-home-VLOOKUP(Table2[[#This Row],[Home/Neutral]],rtg_vlookup,4,FALSE)+VLOOKUP(Table2[[#This Row],[Visitor/Neutral]],rtg_vlookup,4,FALSE)</f>
        <v>5.4948815165876699</v>
      </c>
      <c r="W74" s="25"/>
      <c r="X74" s="2"/>
      <c r="Y74" s="2">
        <f>Table2[[#This Row],[Away EV]]-Table2[[#This Row],[Home EV]]</f>
        <v>9.926694338357251</v>
      </c>
      <c r="Z74" s="33"/>
      <c r="AA74" s="34"/>
      <c r="AB74" t="b">
        <f>IF(VLOOKUP(Table2[[#This Row],[Home/Neutral]],division_lookup,9,FALSE)=VLOOKUP(Table2[[#This Row],[Visitor/Neutral]],division_lookup,9,FALSE),TRUE,FALSE)</f>
        <v>1</v>
      </c>
      <c r="AC74" s="19" t="str">
        <f>VLOOKUP(Table2[[#This Row],[Home/Neutral]],division_lookup,9,FALSE)</f>
        <v>P</v>
      </c>
      <c r="AD74" s="19"/>
      <c r="AE74" s="19" t="str">
        <f>IF(Table2[[#This Row],[Total EV ®]]&lt;Table2[[#This Row],[Total (V)]],"UNDER","OVER")</f>
        <v>OVER</v>
      </c>
      <c r="AF74" s="19"/>
      <c r="AG74" s="19"/>
      <c r="AH74" s="2"/>
      <c r="AI74" s="22">
        <f>Table2[[#This Row],[(A)]]-Table2[[#This Row],[Spread]]</f>
        <v>25.494881516587668</v>
      </c>
      <c r="AJ74" s="1">
        <f>Table2[[#This Row],[(A) Err]]^2</f>
        <v>649.98898354484356</v>
      </c>
      <c r="AK74" s="6">
        <f>Table2[[#This Row],[EV]]-Table2[[#This Row],[Spread]]</f>
        <v>29.926694338357251</v>
      </c>
      <c r="AL74" s="1">
        <f>Table2[[#This Row],[EV Err]]^2</f>
        <v>895.60703402146396</v>
      </c>
    </row>
    <row r="75" spans="1:38" x14ac:dyDescent="0.25">
      <c r="A75" t="s">
        <v>53</v>
      </c>
      <c r="B75" t="s">
        <v>23</v>
      </c>
      <c r="C75" t="s">
        <v>4</v>
      </c>
      <c r="E75">
        <v>88</v>
      </c>
      <c r="G75">
        <v>99</v>
      </c>
      <c r="H75" s="9">
        <f t="shared" si="2"/>
        <v>187</v>
      </c>
      <c r="K75" s="25">
        <f>(Table2[[#This Row],[Home Pace]]/100)*(VLOOKUP(Table2[[#This Row],[Home/Neutral]],home_lookup,8,FALSE)+VLOOKUP(Table2[[#This Row],[Home/Neutral]],OFR_lookup,2,FALSE)+VLOOKUP(Table2[[#This Row],[Visitor/Neutral]],def_diff_lookup,6,FALSE))</f>
        <v>96.301137358713589</v>
      </c>
      <c r="L75" s="25"/>
      <c r="M75" s="25">
        <f>(Table2[[#This Row],[Away Pace]]/100)*(VLOOKUP(Table2[[#This Row],[Visitor/Neutral]],OFR_lookup,2,FALSE)+VLOOKUP(Table2[[#This Row],[Home/Neutral]],def_diff_lookup,6,FALSE))</f>
        <v>106.72432400000001</v>
      </c>
      <c r="N75" s="25"/>
      <c r="O75" s="25"/>
      <c r="P75">
        <f>VLOOKUP(Table2[[#This Row],[Home/Neutral]],pace_lookup,7,FALSE)</f>
        <v>92.5</v>
      </c>
      <c r="Q75" s="5">
        <f>VLOOKUP(Table2[[#This Row],[Visitor/Neutral]],pace_lookup,7,FALSE)</f>
        <v>96.6</v>
      </c>
      <c r="R75" s="9">
        <f t="shared" si="3"/>
        <v>11</v>
      </c>
      <c r="V75" s="2">
        <f>-home-VLOOKUP(Table2[[#This Row],[Home/Neutral]],rtg_vlookup,4,FALSE)+VLOOKUP(Table2[[#This Row],[Visitor/Neutral]],rtg_vlookup,4,FALSE)</f>
        <v>9.5148815165876695</v>
      </c>
      <c r="W75" s="25"/>
      <c r="X75" s="2"/>
      <c r="Y75" s="2">
        <f>Table2[[#This Row],[Away EV]]-Table2[[#This Row],[Home EV]]</f>
        <v>10.423186641286421</v>
      </c>
      <c r="Z75" s="33"/>
      <c r="AA75" s="34"/>
      <c r="AB75" t="b">
        <f>IF(VLOOKUP(Table2[[#This Row],[Home/Neutral]],division_lookup,9,FALSE)=VLOOKUP(Table2[[#This Row],[Visitor/Neutral]],division_lookup,9,FALSE),TRUE,FALSE)</f>
        <v>0</v>
      </c>
      <c r="AC75" s="19" t="str">
        <f>VLOOKUP(Table2[[#This Row],[Home/Neutral]],division_lookup,9,FALSE)</f>
        <v>SW</v>
      </c>
      <c r="AD75" s="19"/>
      <c r="AE75" s="19" t="str">
        <f>IF(Table2[[#This Row],[Total EV ®]]&lt;Table2[[#This Row],[Total (V)]],"UNDER","OVER")</f>
        <v>OVER</v>
      </c>
      <c r="AF75" s="19"/>
      <c r="AG75" s="19"/>
      <c r="AH75" s="2"/>
      <c r="AI75" s="22">
        <f>Table2[[#This Row],[(A)]]-Table2[[#This Row],[Spread]]</f>
        <v>-1.4851184834123305</v>
      </c>
      <c r="AJ75" s="1">
        <f>Table2[[#This Row],[(A) Err]]^2</f>
        <v>2.2055769097729407</v>
      </c>
      <c r="AK75" s="6">
        <f>Table2[[#This Row],[EV]]-Table2[[#This Row],[Spread]]</f>
        <v>-0.57681335871357931</v>
      </c>
      <c r="AL75" s="1">
        <f>Table2[[#This Row],[EV Err]]^2</f>
        <v>0.3327136507904403</v>
      </c>
    </row>
    <row r="76" spans="1:38" x14ac:dyDescent="0.25">
      <c r="A76" t="s">
        <v>53</v>
      </c>
      <c r="B76" t="s">
        <v>34</v>
      </c>
      <c r="C76" t="s">
        <v>36</v>
      </c>
      <c r="E76">
        <v>111</v>
      </c>
      <c r="G76">
        <v>112</v>
      </c>
      <c r="H76" s="9">
        <f t="shared" si="2"/>
        <v>223</v>
      </c>
      <c r="K76" s="25">
        <f>(Table2[[#This Row],[Home Pace]]/100)*(VLOOKUP(Table2[[#This Row],[Home/Neutral]],home_lookup,8,FALSE)+VLOOKUP(Table2[[#This Row],[Home/Neutral]],OFR_lookup,2,FALSE)+VLOOKUP(Table2[[#This Row],[Visitor/Neutral]],def_diff_lookup,6,FALSE))</f>
        <v>107.71347864565556</v>
      </c>
      <c r="L76" s="25"/>
      <c r="M76" s="25">
        <f>(Table2[[#This Row],[Away Pace]]/100)*(VLOOKUP(Table2[[#This Row],[Visitor/Neutral]],OFR_lookup,2,FALSE)+VLOOKUP(Table2[[#This Row],[Home/Neutral]],def_diff_lookup,6,FALSE))</f>
        <v>104.96008133333335</v>
      </c>
      <c r="N76" s="25"/>
      <c r="O76" s="25"/>
      <c r="P76">
        <f>VLOOKUP(Table2[[#This Row],[Home/Neutral]],pace_lookup,7,FALSE)</f>
        <v>98.8</v>
      </c>
      <c r="Q76" s="5">
        <f>VLOOKUP(Table2[[#This Row],[Visitor/Neutral]],pace_lookup,7,FALSE)</f>
        <v>102.2</v>
      </c>
      <c r="R76" s="9">
        <f t="shared" si="3"/>
        <v>1</v>
      </c>
      <c r="V76" s="2">
        <f>-home-VLOOKUP(Table2[[#This Row],[Home/Neutral]],rtg_vlookup,4,FALSE)+VLOOKUP(Table2[[#This Row],[Visitor/Neutral]],rtg_vlookup,4,FALSE)</f>
        <v>-3.8951184834123307</v>
      </c>
      <c r="W76" s="25"/>
      <c r="X76" s="2"/>
      <c r="Y76" s="2">
        <f>Table2[[#This Row],[Away EV]]-Table2[[#This Row],[Home EV]]</f>
        <v>-2.7533973123222069</v>
      </c>
      <c r="Z76" s="33"/>
      <c r="AA76" s="34"/>
      <c r="AB76" t="b">
        <f>IF(VLOOKUP(Table2[[#This Row],[Home/Neutral]],division_lookup,9,FALSE)=VLOOKUP(Table2[[#This Row],[Visitor/Neutral]],division_lookup,9,FALSE),TRUE,FALSE)</f>
        <v>0</v>
      </c>
      <c r="AC76" s="19" t="str">
        <f>VLOOKUP(Table2[[#This Row],[Home/Neutral]],division_lookup,9,FALSE)</f>
        <v>SW</v>
      </c>
      <c r="AD76" s="19"/>
      <c r="AE76" s="19" t="str">
        <f>IF(Table2[[#This Row],[Total EV ®]]&lt;Table2[[#This Row],[Total (V)]],"UNDER","OVER")</f>
        <v>OVER</v>
      </c>
      <c r="AF76" s="19"/>
      <c r="AG76" s="19"/>
      <c r="AH76" s="2"/>
      <c r="AI76" s="22">
        <f>Table2[[#This Row],[(A)]]-Table2[[#This Row],[Spread]]</f>
        <v>-4.8951184834123307</v>
      </c>
      <c r="AJ76" s="1">
        <f>Table2[[#This Row],[(A) Err]]^2</f>
        <v>23.962184966645037</v>
      </c>
      <c r="AK76" s="6">
        <f>Table2[[#This Row],[EV]]-Table2[[#This Row],[Spread]]</f>
        <v>-3.7533973123222069</v>
      </c>
      <c r="AL76" s="1">
        <f>Table2[[#This Row],[EV Err]]^2</f>
        <v>14.087991384147566</v>
      </c>
    </row>
    <row r="77" spans="1:38" x14ac:dyDescent="0.25">
      <c r="A77" t="s">
        <v>53</v>
      </c>
      <c r="B77" t="s">
        <v>14</v>
      </c>
      <c r="C77" t="s">
        <v>21</v>
      </c>
      <c r="E77">
        <v>96</v>
      </c>
      <c r="G77">
        <v>87</v>
      </c>
      <c r="H77" s="9">
        <f t="shared" si="2"/>
        <v>183</v>
      </c>
      <c r="K77" s="25">
        <f>(Table2[[#This Row],[Home Pace]]/100)*(VLOOKUP(Table2[[#This Row],[Home/Neutral]],home_lookup,8,FALSE)+VLOOKUP(Table2[[#This Row],[Home/Neutral]],OFR_lookup,2,FALSE)+VLOOKUP(Table2[[#This Row],[Visitor/Neutral]],def_diff_lookup,6,FALSE))</f>
        <v>103.55235414241452</v>
      </c>
      <c r="L77" s="25"/>
      <c r="M77" s="25">
        <f>(Table2[[#This Row],[Away Pace]]/100)*(VLOOKUP(Table2[[#This Row],[Visitor/Neutral]],OFR_lookup,2,FALSE)+VLOOKUP(Table2[[#This Row],[Home/Neutral]],def_diff_lookup,6,FALSE))</f>
        <v>98.298328000000026</v>
      </c>
      <c r="N77" s="25"/>
      <c r="O77" s="25"/>
      <c r="P77">
        <f>VLOOKUP(Table2[[#This Row],[Home/Neutral]],pace_lookup,7,FALSE)</f>
        <v>95.9</v>
      </c>
      <c r="Q77" s="5">
        <f>VLOOKUP(Table2[[#This Row],[Visitor/Neutral]],pace_lookup,7,FALSE)</f>
        <v>94.2</v>
      </c>
      <c r="R77" s="9">
        <f t="shared" si="3"/>
        <v>-9</v>
      </c>
      <c r="V77" s="2">
        <f>-home-VLOOKUP(Table2[[#This Row],[Home/Neutral]],rtg_vlookup,4,FALSE)+VLOOKUP(Table2[[#This Row],[Visitor/Neutral]],rtg_vlookup,4,FALSE)</f>
        <v>-7.7851184834123304</v>
      </c>
      <c r="W77" s="25"/>
      <c r="X77" s="2"/>
      <c r="Y77" s="2">
        <f>Table2[[#This Row],[Away EV]]-Table2[[#This Row],[Home EV]]</f>
        <v>-5.2540261424144887</v>
      </c>
      <c r="Z77" s="33"/>
      <c r="AA77" s="34"/>
      <c r="AB77" t="b">
        <f>IF(VLOOKUP(Table2[[#This Row],[Home/Neutral]],division_lookup,9,FALSE)=VLOOKUP(Table2[[#This Row],[Visitor/Neutral]],division_lookup,9,FALSE),TRUE,FALSE)</f>
        <v>0</v>
      </c>
      <c r="AC77" s="19" t="str">
        <f>VLOOKUP(Table2[[#This Row],[Home/Neutral]],division_lookup,9,FALSE)</f>
        <v>A</v>
      </c>
      <c r="AD77" s="19"/>
      <c r="AE77" s="19" t="str">
        <f>IF(Table2[[#This Row],[Total EV ®]]&lt;Table2[[#This Row],[Total (V)]],"UNDER","OVER")</f>
        <v>OVER</v>
      </c>
      <c r="AF77" s="19"/>
      <c r="AG77" s="19"/>
      <c r="AH77" s="2"/>
      <c r="AI77" s="22">
        <f>Table2[[#This Row],[(A)]]-Table2[[#This Row],[Spread]]</f>
        <v>1.2148815165876696</v>
      </c>
      <c r="AJ77" s="1">
        <f>Table2[[#This Row],[(A) Err]]^2</f>
        <v>1.4759370993463563</v>
      </c>
      <c r="AK77" s="6">
        <f>Table2[[#This Row],[EV]]-Table2[[#This Row],[Spread]]</f>
        <v>3.7459738575855113</v>
      </c>
      <c r="AL77" s="1">
        <f>Table2[[#This Row],[EV Err]]^2</f>
        <v>14.032320141714075</v>
      </c>
    </row>
    <row r="78" spans="1:38" x14ac:dyDescent="0.25">
      <c r="A78" t="s">
        <v>53</v>
      </c>
      <c r="B78" t="s">
        <v>20</v>
      </c>
      <c r="C78" t="s">
        <v>6</v>
      </c>
      <c r="E78">
        <v>86</v>
      </c>
      <c r="G78">
        <v>100</v>
      </c>
      <c r="H78" s="9">
        <f t="shared" si="2"/>
        <v>186</v>
      </c>
      <c r="K78" s="25">
        <f>(Table2[[#This Row],[Home Pace]]/100)*(VLOOKUP(Table2[[#This Row],[Home/Neutral]],home_lookup,8,FALSE)+VLOOKUP(Table2[[#This Row],[Home/Neutral]],OFR_lookup,2,FALSE)+VLOOKUP(Table2[[#This Row],[Visitor/Neutral]],def_diff_lookup,6,FALSE))</f>
        <v>101.81990528915178</v>
      </c>
      <c r="L78" s="25"/>
      <c r="M78" s="25">
        <f>(Table2[[#This Row],[Away Pace]]/100)*(VLOOKUP(Table2[[#This Row],[Visitor/Neutral]],OFR_lookup,2,FALSE)+VLOOKUP(Table2[[#This Row],[Home/Neutral]],def_diff_lookup,6,FALSE))</f>
        <v>101.99167066666668</v>
      </c>
      <c r="N78" s="25"/>
      <c r="O78" s="25"/>
      <c r="P78">
        <f>VLOOKUP(Table2[[#This Row],[Home/Neutral]],pace_lookup,7,FALSE)</f>
        <v>90.9</v>
      </c>
      <c r="Q78" s="5">
        <f>VLOOKUP(Table2[[#This Row],[Visitor/Neutral]],pace_lookup,7,FALSE)</f>
        <v>93.1</v>
      </c>
      <c r="R78" s="9">
        <f t="shared" si="3"/>
        <v>14</v>
      </c>
      <c r="V78" s="2">
        <f>-home-VLOOKUP(Table2[[#This Row],[Home/Neutral]],rtg_vlookup,4,FALSE)+VLOOKUP(Table2[[#This Row],[Visitor/Neutral]],rtg_vlookup,4,FALSE)</f>
        <v>2.534881516587669</v>
      </c>
      <c r="W78" s="25"/>
      <c r="X78" s="2"/>
      <c r="Y78" s="2">
        <f>Table2[[#This Row],[Away EV]]-Table2[[#This Row],[Home EV]]</f>
        <v>0.17176537751490173</v>
      </c>
      <c r="Z78" s="33"/>
      <c r="AA78" s="34"/>
      <c r="AB78" t="b">
        <f>IF(VLOOKUP(Table2[[#This Row],[Home/Neutral]],division_lookup,9,FALSE)=VLOOKUP(Table2[[#This Row],[Visitor/Neutral]],division_lookup,9,FALSE),TRUE,FALSE)</f>
        <v>0</v>
      </c>
      <c r="AC78" s="19" t="str">
        <f>VLOOKUP(Table2[[#This Row],[Home/Neutral]],division_lookup,9,FALSE)</f>
        <v>NW</v>
      </c>
      <c r="AD78" s="19"/>
      <c r="AE78" s="19" t="str">
        <f>IF(Table2[[#This Row],[Total EV ®]]&lt;Table2[[#This Row],[Total (V)]],"UNDER","OVER")</f>
        <v>OVER</v>
      </c>
      <c r="AF78" s="19"/>
      <c r="AG78" s="19"/>
      <c r="AH78" s="2"/>
      <c r="AI78" s="22">
        <f>Table2[[#This Row],[(A)]]-Table2[[#This Row],[Spread]]</f>
        <v>-11.465118483412331</v>
      </c>
      <c r="AJ78" s="1">
        <f>Table2[[#This Row],[(A) Err]]^2</f>
        <v>131.44894183868306</v>
      </c>
      <c r="AK78" s="6">
        <f>Table2[[#This Row],[EV]]-Table2[[#This Row],[Spread]]</f>
        <v>-13.828234622485098</v>
      </c>
      <c r="AL78" s="1">
        <f>Table2[[#This Row],[EV Err]]^2</f>
        <v>191.22007277449558</v>
      </c>
    </row>
    <row r="79" spans="1:38" ht="15.75" thickBot="1" x14ac:dyDescent="0.3">
      <c r="A79" s="3" t="s">
        <v>53</v>
      </c>
      <c r="B79" s="3" t="s">
        <v>28</v>
      </c>
      <c r="C79" s="3" t="s">
        <v>11</v>
      </c>
      <c r="D79" s="3"/>
      <c r="E79" s="3">
        <v>95</v>
      </c>
      <c r="F79" s="3"/>
      <c r="G79" s="3">
        <v>92</v>
      </c>
      <c r="H79" s="10">
        <f t="shared" si="2"/>
        <v>187</v>
      </c>
      <c r="I79" s="3"/>
      <c r="J79" s="3"/>
      <c r="K79" s="26">
        <f>(Table2[[#This Row],[Home Pace]]/100)*(VLOOKUP(Table2[[#This Row],[Home/Neutral]],home_lookup,8,FALSE)+VLOOKUP(Table2[[#This Row],[Home/Neutral]],OFR_lookup,2,FALSE)+VLOOKUP(Table2[[#This Row],[Visitor/Neutral]],def_diff_lookup,6,FALSE))</f>
        <v>100.81364553204274</v>
      </c>
      <c r="L79" s="26"/>
      <c r="M79" s="26">
        <f>(Table2[[#This Row],[Away Pace]]/100)*(VLOOKUP(Table2[[#This Row],[Visitor/Neutral]],OFR_lookup,2,FALSE)+VLOOKUP(Table2[[#This Row],[Home/Neutral]],def_diff_lookup,6,FALSE))</f>
        <v>107.48723466666668</v>
      </c>
      <c r="N79" s="26"/>
      <c r="O79" s="26"/>
      <c r="P79" s="3">
        <f>VLOOKUP(Table2[[#This Row],[Home/Neutral]],pace_lookup,7,FALSE)</f>
        <v>96.3</v>
      </c>
      <c r="Q79" s="3">
        <f>VLOOKUP(Table2[[#This Row],[Visitor/Neutral]],pace_lookup,7,FALSE)</f>
        <v>99.7</v>
      </c>
      <c r="R79" s="10">
        <f t="shared" si="3"/>
        <v>-3</v>
      </c>
      <c r="S79" s="3"/>
      <c r="T79" s="3"/>
      <c r="U79" s="3"/>
      <c r="V79" s="12">
        <f>-home-VLOOKUP(Table2[[#This Row],[Home/Neutral]],rtg_vlookup,4,FALSE)+VLOOKUP(Table2[[#This Row],[Visitor/Neutral]],rtg_vlookup,4,FALSE)</f>
        <v>5.5048815165876697</v>
      </c>
      <c r="W79" s="26"/>
      <c r="X79" s="12"/>
      <c r="Y79" s="12">
        <f>Table2[[#This Row],[Away EV]]-Table2[[#This Row],[Home EV]]</f>
        <v>6.6735891346239384</v>
      </c>
      <c r="Z79" s="35"/>
      <c r="AA79" s="36"/>
      <c r="AB79" s="3" t="b">
        <f>IF(VLOOKUP(Table2[[#This Row],[Home/Neutral]],division_lookup,9,FALSE)=VLOOKUP(Table2[[#This Row],[Visitor/Neutral]],division_lookup,9,FALSE),TRUE,FALSE)</f>
        <v>1</v>
      </c>
      <c r="AC79" s="20" t="str">
        <f>VLOOKUP(Table2[[#This Row],[Home/Neutral]],division_lookup,9,FALSE)</f>
        <v>SE</v>
      </c>
      <c r="AD79" s="20"/>
      <c r="AE79" s="20" t="str">
        <f>IF(Table2[[#This Row],[Total EV ®]]&lt;Table2[[#This Row],[Total (V)]],"UNDER","OVER")</f>
        <v>OVER</v>
      </c>
      <c r="AF79" s="20"/>
      <c r="AG79" s="20"/>
      <c r="AH79" s="12"/>
      <c r="AI79" s="23">
        <f>Table2[[#This Row],[(A)]]-Table2[[#This Row],[Spread]]</f>
        <v>8.5048815165876697</v>
      </c>
      <c r="AJ79" s="4">
        <f>Table2[[#This Row],[(A) Err]]^2</f>
        <v>72.333009611194583</v>
      </c>
      <c r="AK79" s="4">
        <f>Table2[[#This Row],[EV]]-Table2[[#This Row],[Spread]]</f>
        <v>9.6735891346239384</v>
      </c>
      <c r="AL79" s="4">
        <f>Table2[[#This Row],[EV Err]]^2</f>
        <v>93.578326745514318</v>
      </c>
    </row>
    <row r="80" spans="1:38" x14ac:dyDescent="0.25">
      <c r="A80" t="s">
        <v>54</v>
      </c>
      <c r="B80" t="s">
        <v>11</v>
      </c>
      <c r="C80" t="s">
        <v>17</v>
      </c>
      <c r="E80">
        <v>112</v>
      </c>
      <c r="G80">
        <v>97</v>
      </c>
      <c r="H80" s="9">
        <f t="shared" si="2"/>
        <v>209</v>
      </c>
      <c r="K80" s="25">
        <f>(Table2[[#This Row],[Home Pace]]/100)*(VLOOKUP(Table2[[#This Row],[Home/Neutral]],home_lookup,8,FALSE)+VLOOKUP(Table2[[#This Row],[Home/Neutral]],OFR_lookup,2,FALSE)+VLOOKUP(Table2[[#This Row],[Visitor/Neutral]],def_diff_lookup,6,FALSE))</f>
        <v>101.78053904407282</v>
      </c>
      <c r="L80" s="25"/>
      <c r="M80" s="25">
        <f>(Table2[[#This Row],[Away Pace]]/100)*(VLOOKUP(Table2[[#This Row],[Visitor/Neutral]],OFR_lookup,2,FALSE)+VLOOKUP(Table2[[#This Row],[Home/Neutral]],def_diff_lookup,6,FALSE))</f>
        <v>102.53165466666668</v>
      </c>
      <c r="N80" s="25"/>
      <c r="O80" s="25"/>
      <c r="P80">
        <f>VLOOKUP(Table2[[#This Row],[Home/Neutral]],pace_lookup,7,FALSE)</f>
        <v>99.7</v>
      </c>
      <c r="Q80" s="5">
        <f>VLOOKUP(Table2[[#This Row],[Visitor/Neutral]],pace_lookup,7,FALSE)</f>
        <v>96.7</v>
      </c>
      <c r="R80" s="9">
        <f t="shared" si="3"/>
        <v>-15</v>
      </c>
      <c r="V80" s="2">
        <f>-home-VLOOKUP(Table2[[#This Row],[Home/Neutral]],rtg_vlookup,4,FALSE)+VLOOKUP(Table2[[#This Row],[Visitor/Neutral]],rtg_vlookup,4,FALSE)</f>
        <v>-4.8051184834123308</v>
      </c>
      <c r="W80" s="25"/>
      <c r="X80" s="2"/>
      <c r="Y80" s="2">
        <f>Table2[[#This Row],[Away EV]]-Table2[[#This Row],[Home EV]]</f>
        <v>0.75111562259385778</v>
      </c>
      <c r="Z80" s="33"/>
      <c r="AA80" s="34"/>
      <c r="AB80" t="b">
        <f>IF(VLOOKUP(Table2[[#This Row],[Home/Neutral]],division_lookup,9,FALSE)=VLOOKUP(Table2[[#This Row],[Visitor/Neutral]],division_lookup,9,FALSE),TRUE,FALSE)</f>
        <v>0</v>
      </c>
      <c r="AC80" s="19" t="str">
        <f>VLOOKUP(Table2[[#This Row],[Home/Neutral]],division_lookup,9,FALSE)</f>
        <v>SE</v>
      </c>
      <c r="AD80" s="19"/>
      <c r="AE80" s="19" t="str">
        <f>IF(Table2[[#This Row],[Total EV ®]]&lt;Table2[[#This Row],[Total (V)]],"UNDER","OVER")</f>
        <v>OVER</v>
      </c>
      <c r="AF80" s="19"/>
      <c r="AG80" s="19"/>
      <c r="AH80" s="2"/>
      <c r="AI80" s="22">
        <f>Table2[[#This Row],[(A)]]-Table2[[#This Row],[Spread]]</f>
        <v>10.194881516587669</v>
      </c>
      <c r="AJ80" s="1">
        <f>Table2[[#This Row],[(A) Err]]^2</f>
        <v>103.9356091372609</v>
      </c>
      <c r="AK80" s="6">
        <f>Table2[[#This Row],[EV]]-Table2[[#This Row],[Spread]]</f>
        <v>15.751115622593858</v>
      </c>
      <c r="AL80" s="1">
        <f>Table2[[#This Row],[EV Err]]^2</f>
        <v>248.0976433563203</v>
      </c>
    </row>
    <row r="81" spans="1:38" x14ac:dyDescent="0.25">
      <c r="A81" t="s">
        <v>54</v>
      </c>
      <c r="B81" t="s">
        <v>25</v>
      </c>
      <c r="C81" t="s">
        <v>27</v>
      </c>
      <c r="E81">
        <v>103</v>
      </c>
      <c r="G81">
        <v>86</v>
      </c>
      <c r="H81" s="9">
        <f t="shared" si="2"/>
        <v>189</v>
      </c>
      <c r="K81" s="25">
        <f>(Table2[[#This Row],[Home Pace]]/100)*(VLOOKUP(Table2[[#This Row],[Home/Neutral]],home_lookup,8,FALSE)+VLOOKUP(Table2[[#This Row],[Home/Neutral]],OFR_lookup,2,FALSE)+VLOOKUP(Table2[[#This Row],[Visitor/Neutral]],def_diff_lookup,6,FALSE))</f>
        <v>102.87566444427256</v>
      </c>
      <c r="L81" s="25"/>
      <c r="M81" s="25">
        <f>(Table2[[#This Row],[Away Pace]]/100)*(VLOOKUP(Table2[[#This Row],[Visitor/Neutral]],OFR_lookup,2,FALSE)+VLOOKUP(Table2[[#This Row],[Home/Neutral]],def_diff_lookup,6,FALSE))</f>
        <v>100.59456</v>
      </c>
      <c r="N81" s="25"/>
      <c r="O81" s="25"/>
      <c r="P81">
        <f>VLOOKUP(Table2[[#This Row],[Home/Neutral]],pace_lookup,7,FALSE)</f>
        <v>94.4</v>
      </c>
      <c r="Q81" s="5">
        <f>VLOOKUP(Table2[[#This Row],[Visitor/Neutral]],pace_lookup,7,FALSE)</f>
        <v>99</v>
      </c>
      <c r="R81" s="9">
        <f t="shared" si="3"/>
        <v>-17</v>
      </c>
      <c r="V81" s="2">
        <f>-home-VLOOKUP(Table2[[#This Row],[Home/Neutral]],rtg_vlookup,4,FALSE)+VLOOKUP(Table2[[#This Row],[Visitor/Neutral]],rtg_vlookup,4,FALSE)</f>
        <v>-3.3051184834123308</v>
      </c>
      <c r="W81" s="25"/>
      <c r="X81" s="2"/>
      <c r="Y81" s="2">
        <f>Table2[[#This Row],[Away EV]]-Table2[[#This Row],[Home EV]]</f>
        <v>-2.2811044442725574</v>
      </c>
      <c r="Z81" s="33"/>
      <c r="AA81" s="34"/>
      <c r="AB81" t="b">
        <f>IF(VLOOKUP(Table2[[#This Row],[Home/Neutral]],division_lookup,9,FALSE)=VLOOKUP(Table2[[#This Row],[Visitor/Neutral]],division_lookup,9,FALSE),TRUE,FALSE)</f>
        <v>0</v>
      </c>
      <c r="AC81" s="19" t="str">
        <f>VLOOKUP(Table2[[#This Row],[Home/Neutral]],division_lookup,9,FALSE)</f>
        <v>C</v>
      </c>
      <c r="AD81" s="19"/>
      <c r="AE81" s="19" t="str">
        <f>IF(Table2[[#This Row],[Total EV ®]]&lt;Table2[[#This Row],[Total (V)]],"UNDER","OVER")</f>
        <v>OVER</v>
      </c>
      <c r="AF81" s="19"/>
      <c r="AG81" s="19"/>
      <c r="AH81" s="2"/>
      <c r="AI81" s="22">
        <f>Table2[[#This Row],[(A)]]-Table2[[#This Row],[Spread]]</f>
        <v>13.694881516587669</v>
      </c>
      <c r="AJ81" s="1">
        <f>Table2[[#This Row],[(A) Err]]^2</f>
        <v>187.54977975337457</v>
      </c>
      <c r="AK81" s="6">
        <f>Table2[[#This Row],[EV]]-Table2[[#This Row],[Spread]]</f>
        <v>14.718895555727443</v>
      </c>
      <c r="AL81" s="1">
        <f>Table2[[#This Row],[EV Err]]^2</f>
        <v>216.64588638041306</v>
      </c>
    </row>
    <row r="82" spans="1:38" x14ac:dyDescent="0.25">
      <c r="A82" t="s">
        <v>54</v>
      </c>
      <c r="B82" t="s">
        <v>33</v>
      </c>
      <c r="C82" t="s">
        <v>13</v>
      </c>
      <c r="E82">
        <v>111</v>
      </c>
      <c r="G82">
        <v>94</v>
      </c>
      <c r="H82" s="9">
        <f t="shared" si="2"/>
        <v>205</v>
      </c>
      <c r="K82" s="25">
        <f>(Table2[[#This Row],[Home Pace]]/100)*(VLOOKUP(Table2[[#This Row],[Home/Neutral]],home_lookup,8,FALSE)+VLOOKUP(Table2[[#This Row],[Home/Neutral]],OFR_lookup,2,FALSE)+VLOOKUP(Table2[[#This Row],[Visitor/Neutral]],def_diff_lookup,6,FALSE))</f>
        <v>106.84141852057508</v>
      </c>
      <c r="L82" s="25"/>
      <c r="M82" s="25">
        <f>(Table2[[#This Row],[Away Pace]]/100)*(VLOOKUP(Table2[[#This Row],[Visitor/Neutral]],OFR_lookup,2,FALSE)+VLOOKUP(Table2[[#This Row],[Home/Neutral]],def_diff_lookup,6,FALSE))</f>
        <v>107.48493000000001</v>
      </c>
      <c r="N82" s="25"/>
      <c r="O82" s="25"/>
      <c r="P82">
        <f>VLOOKUP(Table2[[#This Row],[Home/Neutral]],pace_lookup,7,FALSE)</f>
        <v>98.2</v>
      </c>
      <c r="Q82" s="5">
        <f>VLOOKUP(Table2[[#This Row],[Visitor/Neutral]],pace_lookup,7,FALSE)</f>
        <v>94.5</v>
      </c>
      <c r="R82" s="9">
        <f t="shared" si="3"/>
        <v>-17</v>
      </c>
      <c r="V82" s="2">
        <f>-home-VLOOKUP(Table2[[#This Row],[Home/Neutral]],rtg_vlookup,4,FALSE)+VLOOKUP(Table2[[#This Row],[Visitor/Neutral]],rtg_vlookup,4,FALSE)</f>
        <v>8.1548815165876682</v>
      </c>
      <c r="W82" s="25"/>
      <c r="X82" s="2"/>
      <c r="Y82" s="2">
        <f>Table2[[#This Row],[Away EV]]-Table2[[#This Row],[Home EV]]</f>
        <v>0.64351147942493014</v>
      </c>
      <c r="Z82" s="33"/>
      <c r="AA82" s="34"/>
      <c r="AB82" t="b">
        <f>IF(VLOOKUP(Table2[[#This Row],[Home/Neutral]],division_lookup,9,FALSE)=VLOOKUP(Table2[[#This Row],[Visitor/Neutral]],division_lookup,9,FALSE),TRUE,FALSE)</f>
        <v>1</v>
      </c>
      <c r="AC82" s="19" t="str">
        <f>VLOOKUP(Table2[[#This Row],[Home/Neutral]],division_lookup,9,FALSE)</f>
        <v>C</v>
      </c>
      <c r="AD82" s="19"/>
      <c r="AE82" s="19" t="str">
        <f>IF(Table2[[#This Row],[Total EV ®]]&lt;Table2[[#This Row],[Total (V)]],"UNDER","OVER")</f>
        <v>OVER</v>
      </c>
      <c r="AF82" s="19"/>
      <c r="AG82" s="19"/>
      <c r="AH82" s="2"/>
      <c r="AI82" s="22">
        <f>Table2[[#This Row],[(A)]]-Table2[[#This Row],[Spread]]</f>
        <v>25.154881516587668</v>
      </c>
      <c r="AJ82" s="1">
        <f>Table2[[#This Row],[(A) Err]]^2</f>
        <v>632.76806411356392</v>
      </c>
      <c r="AK82" s="6">
        <f>Table2[[#This Row],[EV]]-Table2[[#This Row],[Spread]]</f>
        <v>17.64351147942493</v>
      </c>
      <c r="AL82" s="1">
        <f>Table2[[#This Row],[EV Err]]^2</f>
        <v>311.29349732459929</v>
      </c>
    </row>
    <row r="83" spans="1:38" x14ac:dyDescent="0.25">
      <c r="A83" t="s">
        <v>54</v>
      </c>
      <c r="B83" t="s">
        <v>30</v>
      </c>
      <c r="C83" t="s">
        <v>29</v>
      </c>
      <c r="E83">
        <v>117</v>
      </c>
      <c r="G83">
        <v>91</v>
      </c>
      <c r="H83" s="9">
        <f t="shared" si="2"/>
        <v>208</v>
      </c>
      <c r="K83" s="25">
        <f>(Table2[[#This Row],[Home Pace]]/100)*(VLOOKUP(Table2[[#This Row],[Home/Neutral]],home_lookup,8,FALSE)+VLOOKUP(Table2[[#This Row],[Home/Neutral]],OFR_lookup,2,FALSE)+VLOOKUP(Table2[[#This Row],[Visitor/Neutral]],def_diff_lookup,6,FALSE))</f>
        <v>111.32608034993643</v>
      </c>
      <c r="L83" s="25"/>
      <c r="M83" s="25">
        <f>(Table2[[#This Row],[Away Pace]]/100)*(VLOOKUP(Table2[[#This Row],[Visitor/Neutral]],OFR_lookup,2,FALSE)+VLOOKUP(Table2[[#This Row],[Home/Neutral]],def_diff_lookup,6,FALSE))</f>
        <v>102.50526533333336</v>
      </c>
      <c r="N83" s="25"/>
      <c r="O83" s="25"/>
      <c r="P83">
        <f>VLOOKUP(Table2[[#This Row],[Home/Neutral]],pace_lookup,7,FALSE)</f>
        <v>96.8</v>
      </c>
      <c r="Q83" s="5">
        <f>VLOOKUP(Table2[[#This Row],[Visitor/Neutral]],pace_lookup,7,FALSE)</f>
        <v>93.8</v>
      </c>
      <c r="R83" s="9">
        <f t="shared" si="3"/>
        <v>-26</v>
      </c>
      <c r="V83" s="2">
        <f>-home-VLOOKUP(Table2[[#This Row],[Home/Neutral]],rtg_vlookup,4,FALSE)+VLOOKUP(Table2[[#This Row],[Visitor/Neutral]],rtg_vlookup,4,FALSE)</f>
        <v>-2.505118483412331</v>
      </c>
      <c r="W83" s="25"/>
      <c r="X83" s="2"/>
      <c r="Y83" s="2">
        <f>Table2[[#This Row],[Away EV]]-Table2[[#This Row],[Home EV]]</f>
        <v>-8.8208150166030777</v>
      </c>
      <c r="Z83" s="33"/>
      <c r="AA83" s="34"/>
      <c r="AB83" t="b">
        <f>IF(VLOOKUP(Table2[[#This Row],[Home/Neutral]],division_lookup,9,FALSE)=VLOOKUP(Table2[[#This Row],[Visitor/Neutral]],division_lookup,9,FALSE),TRUE,FALSE)</f>
        <v>0</v>
      </c>
      <c r="AC83" s="19" t="str">
        <f>VLOOKUP(Table2[[#This Row],[Home/Neutral]],division_lookup,9,FALSE)</f>
        <v>C</v>
      </c>
      <c r="AD83" s="19"/>
      <c r="AE83" s="19" t="str">
        <f>IF(Table2[[#This Row],[Total EV ®]]&lt;Table2[[#This Row],[Total (V)]],"UNDER","OVER")</f>
        <v>OVER</v>
      </c>
      <c r="AF83" s="19"/>
      <c r="AG83" s="19"/>
      <c r="AH83" s="2"/>
      <c r="AI83" s="22">
        <f>Table2[[#This Row],[(A)]]-Table2[[#This Row],[Spread]]</f>
        <v>23.494881516587668</v>
      </c>
      <c r="AJ83" s="1">
        <f>Table2[[#This Row],[(A) Err]]^2</f>
        <v>552.00945747849289</v>
      </c>
      <c r="AK83" s="6">
        <f>Table2[[#This Row],[EV]]-Table2[[#This Row],[Spread]]</f>
        <v>17.179184983396922</v>
      </c>
      <c r="AL83" s="1">
        <f>Table2[[#This Row],[EV Err]]^2</f>
        <v>295.12439669377034</v>
      </c>
    </row>
    <row r="84" spans="1:38" x14ac:dyDescent="0.25">
      <c r="A84" t="s">
        <v>54</v>
      </c>
      <c r="B84" t="s">
        <v>18</v>
      </c>
      <c r="C84" t="s">
        <v>22</v>
      </c>
      <c r="E84">
        <v>112</v>
      </c>
      <c r="G84">
        <v>92</v>
      </c>
      <c r="H84" s="9">
        <f t="shared" si="2"/>
        <v>204</v>
      </c>
      <c r="K84" s="25">
        <f>(Table2[[#This Row],[Home Pace]]/100)*(VLOOKUP(Table2[[#This Row],[Home/Neutral]],home_lookup,8,FALSE)+VLOOKUP(Table2[[#This Row],[Home/Neutral]],OFR_lookup,2,FALSE)+VLOOKUP(Table2[[#This Row],[Visitor/Neutral]],def_diff_lookup,6,FALSE))</f>
        <v>106.88510616021132</v>
      </c>
      <c r="L84" s="25"/>
      <c r="M84" s="25">
        <f>(Table2[[#This Row],[Away Pace]]/100)*(VLOOKUP(Table2[[#This Row],[Visitor/Neutral]],OFR_lookup,2,FALSE)+VLOOKUP(Table2[[#This Row],[Home/Neutral]],def_diff_lookup,6,FALSE))</f>
        <v>101.38645133333335</v>
      </c>
      <c r="N84" s="25"/>
      <c r="O84" s="25"/>
      <c r="P84">
        <f>VLOOKUP(Table2[[#This Row],[Home/Neutral]],pace_lookup,7,FALSE)</f>
        <v>99.5</v>
      </c>
      <c r="Q84" s="5">
        <f>VLOOKUP(Table2[[#This Row],[Visitor/Neutral]],pace_lookup,7,FALSE)</f>
        <v>94.7</v>
      </c>
      <c r="R84" s="9">
        <f t="shared" si="3"/>
        <v>-20</v>
      </c>
      <c r="V84" s="2">
        <f>-home-VLOOKUP(Table2[[#This Row],[Home/Neutral]],rtg_vlookup,4,FALSE)+VLOOKUP(Table2[[#This Row],[Visitor/Neutral]],rtg_vlookup,4,FALSE)</f>
        <v>-4.1451184834123307</v>
      </c>
      <c r="W84" s="25"/>
      <c r="X84" s="2"/>
      <c r="Y84" s="2">
        <f>Table2[[#This Row],[Away EV]]-Table2[[#This Row],[Home EV]]</f>
        <v>-5.4986548268779671</v>
      </c>
      <c r="Z84" s="33"/>
      <c r="AA84" s="34"/>
      <c r="AB84" t="b">
        <f>IF(VLOOKUP(Table2[[#This Row],[Home/Neutral]],division_lookup,9,FALSE)=VLOOKUP(Table2[[#This Row],[Visitor/Neutral]],division_lookup,9,FALSE),TRUE,FALSE)</f>
        <v>1</v>
      </c>
      <c r="AC84" s="19" t="str">
        <f>VLOOKUP(Table2[[#This Row],[Home/Neutral]],division_lookup,9,FALSE)</f>
        <v>NW</v>
      </c>
      <c r="AD84" s="19"/>
      <c r="AE84" s="19" t="str">
        <f>IF(Table2[[#This Row],[Total EV ®]]&lt;Table2[[#This Row],[Total (V)]],"UNDER","OVER")</f>
        <v>OVER</v>
      </c>
      <c r="AF84" s="19"/>
      <c r="AG84" s="19"/>
      <c r="AH84" s="2"/>
      <c r="AI84" s="22">
        <f>Table2[[#This Row],[(A)]]-Table2[[#This Row],[Spread]]</f>
        <v>15.854881516587669</v>
      </c>
      <c r="AJ84" s="1">
        <f>Table2[[#This Row],[(A) Err]]^2</f>
        <v>251.37726790503331</v>
      </c>
      <c r="AK84" s="6">
        <f>Table2[[#This Row],[EV]]-Table2[[#This Row],[Spread]]</f>
        <v>14.501345173122033</v>
      </c>
      <c r="AL84" s="1">
        <f>Table2[[#This Row],[EV Err]]^2</f>
        <v>210.28901183002969</v>
      </c>
    </row>
    <row r="85" spans="1:38" x14ac:dyDescent="0.25">
      <c r="A85" t="s">
        <v>54</v>
      </c>
      <c r="B85" t="s">
        <v>38</v>
      </c>
      <c r="C85" t="s">
        <v>28</v>
      </c>
      <c r="E85">
        <v>88</v>
      </c>
      <c r="G85">
        <v>86</v>
      </c>
      <c r="H85" s="9">
        <f t="shared" si="2"/>
        <v>174</v>
      </c>
      <c r="K85" s="25">
        <f>(Table2[[#This Row],[Home Pace]]/100)*(VLOOKUP(Table2[[#This Row],[Home/Neutral]],home_lookup,8,FALSE)+VLOOKUP(Table2[[#This Row],[Home/Neutral]],OFR_lookup,2,FALSE)+VLOOKUP(Table2[[#This Row],[Visitor/Neutral]],def_diff_lookup,6,FALSE))</f>
        <v>108.80379167891481</v>
      </c>
      <c r="L85" s="25"/>
      <c r="M85" s="25">
        <f>(Table2[[#This Row],[Away Pace]]/100)*(VLOOKUP(Table2[[#This Row],[Visitor/Neutral]],OFR_lookup,2,FALSE)+VLOOKUP(Table2[[#This Row],[Home/Neutral]],def_diff_lookup,6,FALSE))</f>
        <v>104.476512</v>
      </c>
      <c r="N85" s="25"/>
      <c r="O85" s="25"/>
      <c r="P85">
        <f>VLOOKUP(Table2[[#This Row],[Home/Neutral]],pace_lookup,7,FALSE)</f>
        <v>94.2</v>
      </c>
      <c r="Q85" s="5">
        <f>VLOOKUP(Table2[[#This Row],[Visitor/Neutral]],pace_lookup,7,FALSE)</f>
        <v>96.3</v>
      </c>
      <c r="R85" s="9">
        <f t="shared" si="3"/>
        <v>-2</v>
      </c>
      <c r="V85" s="2">
        <f>-home-VLOOKUP(Table2[[#This Row],[Home/Neutral]],rtg_vlookup,4,FALSE)+VLOOKUP(Table2[[#This Row],[Visitor/Neutral]],rtg_vlookup,4,FALSE)</f>
        <v>4.0548815165876686</v>
      </c>
      <c r="W85" s="25"/>
      <c r="X85" s="2"/>
      <c r="Y85" s="2">
        <f>Table2[[#This Row],[Away EV]]-Table2[[#This Row],[Home EV]]</f>
        <v>-4.327279678914806</v>
      </c>
      <c r="Z85" s="33"/>
      <c r="AA85" s="34"/>
      <c r="AB85" t="b">
        <f>IF(VLOOKUP(Table2[[#This Row],[Home/Neutral]],division_lookup,9,FALSE)=VLOOKUP(Table2[[#This Row],[Visitor/Neutral]],division_lookup,9,FALSE),TRUE,FALSE)</f>
        <v>1</v>
      </c>
      <c r="AC85" s="19" t="str">
        <f>VLOOKUP(Table2[[#This Row],[Home/Neutral]],division_lookup,9,FALSE)</f>
        <v>SE</v>
      </c>
      <c r="AD85" s="19"/>
      <c r="AE85" s="19" t="str">
        <f>IF(Table2[[#This Row],[Total EV ®]]&lt;Table2[[#This Row],[Total (V)]],"UNDER","OVER")</f>
        <v>OVER</v>
      </c>
      <c r="AF85" s="19"/>
      <c r="AG85" s="19"/>
      <c r="AH85" s="2"/>
      <c r="AI85" s="22">
        <f>Table2[[#This Row],[(A)]]-Table2[[#This Row],[Spread]]</f>
        <v>6.0548815165876686</v>
      </c>
      <c r="AJ85" s="1">
        <f>Table2[[#This Row],[(A) Err]]^2</f>
        <v>36.661590179914988</v>
      </c>
      <c r="AK85" s="6">
        <f>Table2[[#This Row],[EV]]-Table2[[#This Row],[Spread]]</f>
        <v>-2.327279678914806</v>
      </c>
      <c r="AL85" s="1">
        <f>Table2[[#This Row],[EV Err]]^2</f>
        <v>5.416230703889803</v>
      </c>
    </row>
    <row r="86" spans="1:38" x14ac:dyDescent="0.25">
      <c r="A86" t="s">
        <v>54</v>
      </c>
      <c r="B86" t="s">
        <v>39</v>
      </c>
      <c r="C86" t="s">
        <v>8</v>
      </c>
      <c r="E86">
        <v>101</v>
      </c>
      <c r="G86">
        <v>102</v>
      </c>
      <c r="H86" s="9">
        <f t="shared" si="2"/>
        <v>203</v>
      </c>
      <c r="K86" s="25">
        <f>(Table2[[#This Row],[Home Pace]]/100)*(VLOOKUP(Table2[[#This Row],[Home/Neutral]],home_lookup,8,FALSE)+VLOOKUP(Table2[[#This Row],[Home/Neutral]],OFR_lookup,2,FALSE)+VLOOKUP(Table2[[#This Row],[Visitor/Neutral]],def_diff_lookup,6,FALSE))</f>
        <v>105.41702211468578</v>
      </c>
      <c r="L86" s="25"/>
      <c r="M86" s="25">
        <f>(Table2[[#This Row],[Away Pace]]/100)*(VLOOKUP(Table2[[#This Row],[Visitor/Neutral]],OFR_lookup,2,FALSE)+VLOOKUP(Table2[[#This Row],[Home/Neutral]],def_diff_lookup,6,FALSE))</f>
        <v>111.01276799999999</v>
      </c>
      <c r="N86" s="25"/>
      <c r="O86" s="25"/>
      <c r="P86">
        <f>VLOOKUP(Table2[[#This Row],[Home/Neutral]],pace_lookup,7,FALSE)</f>
        <v>97.5</v>
      </c>
      <c r="Q86" s="5">
        <f>VLOOKUP(Table2[[#This Row],[Visitor/Neutral]],pace_lookup,7,FALSE)</f>
        <v>97.2</v>
      </c>
      <c r="R86" s="9">
        <f t="shared" si="3"/>
        <v>1</v>
      </c>
      <c r="V86" s="2">
        <f>-home-VLOOKUP(Table2[[#This Row],[Home/Neutral]],rtg_vlookup,4,FALSE)+VLOOKUP(Table2[[#This Row],[Visitor/Neutral]],rtg_vlookup,4,FALSE)</f>
        <v>13.404881516587668</v>
      </c>
      <c r="W86" s="25"/>
      <c r="X86" s="2"/>
      <c r="Y86" s="2">
        <f>Table2[[#This Row],[Away EV]]-Table2[[#This Row],[Home EV]]</f>
        <v>5.5957458853142157</v>
      </c>
      <c r="Z86" s="33"/>
      <c r="AA86" s="34"/>
      <c r="AB86" t="b">
        <f>IF(VLOOKUP(Table2[[#This Row],[Home/Neutral]],division_lookup,9,FALSE)=VLOOKUP(Table2[[#This Row],[Visitor/Neutral]],division_lookup,9,FALSE),TRUE,FALSE)</f>
        <v>0</v>
      </c>
      <c r="AC86" s="19" t="str">
        <f>VLOOKUP(Table2[[#This Row],[Home/Neutral]],division_lookup,9,FALSE)</f>
        <v>A</v>
      </c>
      <c r="AD86" s="19"/>
      <c r="AE86" s="19" t="str">
        <f>IF(Table2[[#This Row],[Total EV ®]]&lt;Table2[[#This Row],[Total (V)]],"UNDER","OVER")</f>
        <v>OVER</v>
      </c>
      <c r="AF86" s="19"/>
      <c r="AG86" s="19"/>
      <c r="AH86" s="2"/>
      <c r="AI86" s="22">
        <f>Table2[[#This Row],[(A)]]-Table2[[#This Row],[Spread]]</f>
        <v>12.404881516587668</v>
      </c>
      <c r="AJ86" s="1">
        <f>Table2[[#This Row],[(A) Err]]^2</f>
        <v>153.88108544057837</v>
      </c>
      <c r="AK86" s="6">
        <f>Table2[[#This Row],[EV]]-Table2[[#This Row],[Spread]]</f>
        <v>4.5957458853142157</v>
      </c>
      <c r="AL86" s="1">
        <f>Table2[[#This Row],[EV Err]]^2</f>
        <v>21.120880242382544</v>
      </c>
    </row>
    <row r="87" spans="1:38" ht="15.75" thickBot="1" x14ac:dyDescent="0.3">
      <c r="A87" s="3" t="s">
        <v>54</v>
      </c>
      <c r="B87" s="3" t="s">
        <v>6</v>
      </c>
      <c r="C87" s="3" t="s">
        <v>4</v>
      </c>
      <c r="D87" s="3"/>
      <c r="E87" s="3">
        <v>92</v>
      </c>
      <c r="F87" s="3"/>
      <c r="G87" s="3">
        <v>116</v>
      </c>
      <c r="H87" s="10">
        <f t="shared" si="2"/>
        <v>208</v>
      </c>
      <c r="I87" s="3"/>
      <c r="J87" s="3"/>
      <c r="K87" s="26">
        <f>(Table2[[#This Row],[Home Pace]]/100)*(VLOOKUP(Table2[[#This Row],[Home/Neutral]],home_lookup,8,FALSE)+VLOOKUP(Table2[[#This Row],[Home/Neutral]],OFR_lookup,2,FALSE)+VLOOKUP(Table2[[#This Row],[Visitor/Neutral]],def_diff_lookup,6,FALSE))</f>
        <v>97.361777870622433</v>
      </c>
      <c r="L87" s="26"/>
      <c r="M87" s="26">
        <f>(Table2[[#This Row],[Away Pace]]/100)*(VLOOKUP(Table2[[#This Row],[Visitor/Neutral]],OFR_lookup,2,FALSE)+VLOOKUP(Table2[[#This Row],[Home/Neutral]],def_diff_lookup,6,FALSE))</f>
        <v>108.733604</v>
      </c>
      <c r="N87" s="26"/>
      <c r="O87" s="26"/>
      <c r="P87" s="3">
        <f>VLOOKUP(Table2[[#This Row],[Home/Neutral]],pace_lookup,7,FALSE)</f>
        <v>93.1</v>
      </c>
      <c r="Q87" s="3">
        <f>VLOOKUP(Table2[[#This Row],[Visitor/Neutral]],pace_lookup,7,FALSE)</f>
        <v>96.6</v>
      </c>
      <c r="R87" s="10">
        <f t="shared" si="3"/>
        <v>24</v>
      </c>
      <c r="S87" s="3"/>
      <c r="T87" s="3"/>
      <c r="U87" s="3"/>
      <c r="V87" s="12">
        <f>-home-VLOOKUP(Table2[[#This Row],[Home/Neutral]],rtg_vlookup,4,FALSE)+VLOOKUP(Table2[[#This Row],[Visitor/Neutral]],rtg_vlookup,4,FALSE)</f>
        <v>4.9148815165876698</v>
      </c>
      <c r="W87" s="26"/>
      <c r="X87" s="12"/>
      <c r="Y87" s="12">
        <f>Table2[[#This Row],[Away EV]]-Table2[[#This Row],[Home EV]]</f>
        <v>11.371826129377567</v>
      </c>
      <c r="Z87" s="35"/>
      <c r="AA87" s="36"/>
      <c r="AB87" s="3" t="b">
        <f>IF(VLOOKUP(Table2[[#This Row],[Home/Neutral]],division_lookup,9,FALSE)=VLOOKUP(Table2[[#This Row],[Visitor/Neutral]],division_lookup,9,FALSE),TRUE,FALSE)</f>
        <v>0</v>
      </c>
      <c r="AC87" s="20" t="str">
        <f>VLOOKUP(Table2[[#This Row],[Home/Neutral]],division_lookup,9,FALSE)</f>
        <v>SW</v>
      </c>
      <c r="AD87" s="20"/>
      <c r="AE87" s="20" t="str">
        <f>IF(Table2[[#This Row],[Total EV ®]]&lt;Table2[[#This Row],[Total (V)]],"UNDER","OVER")</f>
        <v>OVER</v>
      </c>
      <c r="AF87" s="20"/>
      <c r="AG87" s="20"/>
      <c r="AH87" s="12"/>
      <c r="AI87" s="23">
        <f>Table2[[#This Row],[(A)]]-Table2[[#This Row],[Spread]]</f>
        <v>-19.08511848341233</v>
      </c>
      <c r="AJ87" s="4">
        <f>Table2[[#This Row],[(A) Err]]^2</f>
        <v>364.24174752588698</v>
      </c>
      <c r="AK87" s="4">
        <f>Table2[[#This Row],[EV]]-Table2[[#This Row],[Spread]]</f>
        <v>-12.628173870622433</v>
      </c>
      <c r="AL87" s="4">
        <f>Table2[[#This Row],[EV Err]]^2</f>
        <v>159.47077530667116</v>
      </c>
    </row>
    <row r="88" spans="1:38" x14ac:dyDescent="0.25">
      <c r="A88" t="s">
        <v>55</v>
      </c>
      <c r="B88" t="s">
        <v>26</v>
      </c>
      <c r="C88" t="s">
        <v>27</v>
      </c>
      <c r="E88">
        <v>107</v>
      </c>
      <c r="G88">
        <v>123</v>
      </c>
      <c r="H88" s="9">
        <f t="shared" si="2"/>
        <v>230</v>
      </c>
      <c r="K88" s="25">
        <f>(Table2[[#This Row],[Home Pace]]/100)*(VLOOKUP(Table2[[#This Row],[Home/Neutral]],home_lookup,8,FALSE)+VLOOKUP(Table2[[#This Row],[Home/Neutral]],OFR_lookup,2,FALSE)+VLOOKUP(Table2[[#This Row],[Visitor/Neutral]],def_diff_lookup,6,FALSE))</f>
        <v>106.44816358918159</v>
      </c>
      <c r="L88" s="25"/>
      <c r="M88" s="25">
        <f>(Table2[[#This Row],[Away Pace]]/100)*(VLOOKUP(Table2[[#This Row],[Visitor/Neutral]],OFR_lookup,2,FALSE)+VLOOKUP(Table2[[#This Row],[Home/Neutral]],def_diff_lookup,6,FALSE))</f>
        <v>105.98016</v>
      </c>
      <c r="N88" s="25"/>
      <c r="O88" s="25"/>
      <c r="P88">
        <f>VLOOKUP(Table2[[#This Row],[Home/Neutral]],pace_lookup,7,FALSE)</f>
        <v>96</v>
      </c>
      <c r="Q88" s="5">
        <f>VLOOKUP(Table2[[#This Row],[Visitor/Neutral]],pace_lookup,7,FALSE)</f>
        <v>99</v>
      </c>
      <c r="R88" s="9">
        <f t="shared" si="3"/>
        <v>16</v>
      </c>
      <c r="V88" s="2">
        <f>-home-VLOOKUP(Table2[[#This Row],[Home/Neutral]],rtg_vlookup,4,FALSE)+VLOOKUP(Table2[[#This Row],[Visitor/Neutral]],rtg_vlookup,4,FALSE)</f>
        <v>-3.0951184834123309</v>
      </c>
      <c r="W88" s="25"/>
      <c r="X88" s="2"/>
      <c r="Y88" s="2">
        <f>Table2[[#This Row],[Away EV]]-Table2[[#This Row],[Home EV]]</f>
        <v>-0.46800358918159191</v>
      </c>
      <c r="Z88" s="33"/>
      <c r="AA88" s="34"/>
      <c r="AB88" t="b">
        <f>IF(VLOOKUP(Table2[[#This Row],[Home/Neutral]],division_lookup,9,FALSE)=VLOOKUP(Table2[[#This Row],[Visitor/Neutral]],division_lookup,9,FALSE),TRUE,FALSE)</f>
        <v>0</v>
      </c>
      <c r="AC88" s="19" t="str">
        <f>VLOOKUP(Table2[[#This Row],[Home/Neutral]],division_lookup,9,FALSE)</f>
        <v>A</v>
      </c>
      <c r="AD88" s="19"/>
      <c r="AE88" s="19" t="str">
        <f>IF(Table2[[#This Row],[Total EV ®]]&lt;Table2[[#This Row],[Total (V)]],"UNDER","OVER")</f>
        <v>OVER</v>
      </c>
      <c r="AF88" s="19"/>
      <c r="AG88" s="19"/>
      <c r="AH88" s="2"/>
      <c r="AI88" s="22">
        <f>Table2[[#This Row],[(A)]]-Table2[[#This Row],[Spread]]</f>
        <v>-19.095118483412332</v>
      </c>
      <c r="AJ88" s="1">
        <f>Table2[[#This Row],[(A) Err]]^2</f>
        <v>364.62354989555524</v>
      </c>
      <c r="AK88" s="6">
        <f>Table2[[#This Row],[EV]]-Table2[[#This Row],[Spread]]</f>
        <v>-16.468003589181592</v>
      </c>
      <c r="AL88" s="1">
        <f>Table2[[#This Row],[EV Err]]^2</f>
        <v>271.1951422132978</v>
      </c>
    </row>
    <row r="89" spans="1:38" x14ac:dyDescent="0.25">
      <c r="A89" t="s">
        <v>55</v>
      </c>
      <c r="B89" t="s">
        <v>37</v>
      </c>
      <c r="C89" t="s">
        <v>30</v>
      </c>
      <c r="E89">
        <v>86</v>
      </c>
      <c r="G89">
        <v>75</v>
      </c>
      <c r="H89" s="9">
        <f t="shared" si="2"/>
        <v>161</v>
      </c>
      <c r="K89" s="25">
        <f>(Table2[[#This Row],[Home Pace]]/100)*(VLOOKUP(Table2[[#This Row],[Home/Neutral]],home_lookup,8,FALSE)+VLOOKUP(Table2[[#This Row],[Home/Neutral]],OFR_lookup,2,FALSE)+VLOOKUP(Table2[[#This Row],[Visitor/Neutral]],def_diff_lookup,6,FALSE))</f>
        <v>104.15414809362123</v>
      </c>
      <c r="L89" s="25"/>
      <c r="M89" s="25">
        <f>(Table2[[#This Row],[Away Pace]]/100)*(VLOOKUP(Table2[[#This Row],[Visitor/Neutral]],OFR_lookup,2,FALSE)+VLOOKUP(Table2[[#This Row],[Home/Neutral]],def_diff_lookup,6,FALSE))</f>
        <v>99.385205333333346</v>
      </c>
      <c r="N89" s="25"/>
      <c r="O89" s="25"/>
      <c r="P89">
        <f>VLOOKUP(Table2[[#This Row],[Home/Neutral]],pace_lookup,7,FALSE)</f>
        <v>92.1</v>
      </c>
      <c r="Q89" s="5">
        <f>VLOOKUP(Table2[[#This Row],[Visitor/Neutral]],pace_lookup,7,FALSE)</f>
        <v>96.8</v>
      </c>
      <c r="R89" s="9">
        <f t="shared" si="3"/>
        <v>-11</v>
      </c>
      <c r="V89" s="2">
        <f>-home-VLOOKUP(Table2[[#This Row],[Home/Neutral]],rtg_vlookup,4,FALSE)+VLOOKUP(Table2[[#This Row],[Visitor/Neutral]],rtg_vlookup,4,FALSE)</f>
        <v>2.2448815165876699</v>
      </c>
      <c r="W89" s="25"/>
      <c r="X89" s="2"/>
      <c r="Y89" s="2">
        <f>Table2[[#This Row],[Away EV]]-Table2[[#This Row],[Home EV]]</f>
        <v>-4.7689427602878851</v>
      </c>
      <c r="Z89" s="33"/>
      <c r="AA89" s="34"/>
      <c r="AB89" t="b">
        <f>IF(VLOOKUP(Table2[[#This Row],[Home/Neutral]],division_lookup,9,FALSE)=VLOOKUP(Table2[[#This Row],[Visitor/Neutral]],division_lookup,9,FALSE),TRUE,FALSE)</f>
        <v>0</v>
      </c>
      <c r="AC89" s="19" t="str">
        <f>VLOOKUP(Table2[[#This Row],[Home/Neutral]],division_lookup,9,FALSE)</f>
        <v>SW</v>
      </c>
      <c r="AD89" s="19"/>
      <c r="AE89" s="19" t="str">
        <f>IF(Table2[[#This Row],[Total EV ®]]&lt;Table2[[#This Row],[Total (V)]],"UNDER","OVER")</f>
        <v>OVER</v>
      </c>
      <c r="AF89" s="19"/>
      <c r="AG89" s="19"/>
      <c r="AH89" s="2"/>
      <c r="AI89" s="22">
        <f>Table2[[#This Row],[(A)]]-Table2[[#This Row],[Spread]]</f>
        <v>13.24488151658767</v>
      </c>
      <c r="AJ89" s="1">
        <f>Table2[[#This Row],[(A) Err]]^2</f>
        <v>175.42688638844569</v>
      </c>
      <c r="AK89" s="6">
        <f>Table2[[#This Row],[EV]]-Table2[[#This Row],[Spread]]</f>
        <v>6.2310572397121149</v>
      </c>
      <c r="AL89" s="1">
        <f>Table2[[#This Row],[EV Err]]^2</f>
        <v>38.826074324568758</v>
      </c>
    </row>
    <row r="90" spans="1:38" x14ac:dyDescent="0.25">
      <c r="A90" t="s">
        <v>55</v>
      </c>
      <c r="B90" t="s">
        <v>24</v>
      </c>
      <c r="C90" t="s">
        <v>36</v>
      </c>
      <c r="E90">
        <v>119</v>
      </c>
      <c r="G90">
        <v>108</v>
      </c>
      <c r="H90" s="9">
        <f t="shared" si="2"/>
        <v>227</v>
      </c>
      <c r="K90" s="25">
        <f>(Table2[[#This Row],[Home Pace]]/100)*(VLOOKUP(Table2[[#This Row],[Home/Neutral]],home_lookup,8,FALSE)+VLOOKUP(Table2[[#This Row],[Home/Neutral]],OFR_lookup,2,FALSE)+VLOOKUP(Table2[[#This Row],[Visitor/Neutral]],def_diff_lookup,6,FALSE))</f>
        <v>112.0336543283094</v>
      </c>
      <c r="L90" s="25"/>
      <c r="M90" s="25">
        <f>(Table2[[#This Row],[Away Pace]]/100)*(VLOOKUP(Table2[[#This Row],[Visitor/Neutral]],OFR_lookup,2,FALSE)+VLOOKUP(Table2[[#This Row],[Home/Neutral]],def_diff_lookup,6,FALSE))</f>
        <v>109.27292133333334</v>
      </c>
      <c r="N90" s="25"/>
      <c r="O90" s="25"/>
      <c r="P90">
        <f>VLOOKUP(Table2[[#This Row],[Home/Neutral]],pace_lookup,7,FALSE)</f>
        <v>99.9</v>
      </c>
      <c r="Q90" s="5">
        <f>VLOOKUP(Table2[[#This Row],[Visitor/Neutral]],pace_lookup,7,FALSE)</f>
        <v>102.2</v>
      </c>
      <c r="R90" s="9">
        <f t="shared" si="3"/>
        <v>-11</v>
      </c>
      <c r="V90" s="2">
        <f>-home-VLOOKUP(Table2[[#This Row],[Home/Neutral]],rtg_vlookup,4,FALSE)+VLOOKUP(Table2[[#This Row],[Visitor/Neutral]],rtg_vlookup,4,FALSE)</f>
        <v>-9.1851184834123316</v>
      </c>
      <c r="W90" s="25"/>
      <c r="X90" s="2"/>
      <c r="Y90" s="2">
        <f>Table2[[#This Row],[Away EV]]-Table2[[#This Row],[Home EV]]</f>
        <v>-2.7607329949760526</v>
      </c>
      <c r="Z90" s="33"/>
      <c r="AA90" s="34"/>
      <c r="AB90" t="b">
        <f>IF(VLOOKUP(Table2[[#This Row],[Home/Neutral]],division_lookup,9,FALSE)=VLOOKUP(Table2[[#This Row],[Visitor/Neutral]],division_lookup,9,FALSE),TRUE,FALSE)</f>
        <v>1</v>
      </c>
      <c r="AC90" s="19" t="str">
        <f>VLOOKUP(Table2[[#This Row],[Home/Neutral]],division_lookup,9,FALSE)</f>
        <v>P</v>
      </c>
      <c r="AD90" s="19"/>
      <c r="AE90" s="19" t="str">
        <f>IF(Table2[[#This Row],[Total EV ®]]&lt;Table2[[#This Row],[Total (V)]],"UNDER","OVER")</f>
        <v>OVER</v>
      </c>
      <c r="AF90" s="19"/>
      <c r="AG90" s="19"/>
      <c r="AH90" s="2"/>
      <c r="AI90" s="22">
        <f>Table2[[#This Row],[(A)]]-Table2[[#This Row],[Spread]]</f>
        <v>1.8148815165876684</v>
      </c>
      <c r="AJ90" s="1">
        <f>Table2[[#This Row],[(A) Err]]^2</f>
        <v>3.2937949192515554</v>
      </c>
      <c r="AK90" s="6">
        <f>Table2[[#This Row],[EV]]-Table2[[#This Row],[Spread]]</f>
        <v>8.2392670050239474</v>
      </c>
      <c r="AL90" s="1">
        <f>Table2[[#This Row],[EV Err]]^2</f>
        <v>67.885520780076291</v>
      </c>
    </row>
    <row r="91" spans="1:38" x14ac:dyDescent="0.25">
      <c r="A91" t="s">
        <v>55</v>
      </c>
      <c r="B91" t="s">
        <v>23</v>
      </c>
      <c r="C91" t="s">
        <v>32</v>
      </c>
      <c r="E91">
        <v>94</v>
      </c>
      <c r="G91">
        <v>100</v>
      </c>
      <c r="H91" s="9">
        <f t="shared" si="2"/>
        <v>194</v>
      </c>
      <c r="K91" s="25">
        <f>(Table2[[#This Row],[Home Pace]]/100)*(VLOOKUP(Table2[[#This Row],[Home/Neutral]],home_lookup,8,FALSE)+VLOOKUP(Table2[[#This Row],[Home/Neutral]],OFR_lookup,2,FALSE)+VLOOKUP(Table2[[#This Row],[Visitor/Neutral]],def_diff_lookup,6,FALSE))</f>
        <v>106.61488735871359</v>
      </c>
      <c r="L91" s="25"/>
      <c r="M91" s="25">
        <f>(Table2[[#This Row],[Away Pace]]/100)*(VLOOKUP(Table2[[#This Row],[Visitor/Neutral]],OFR_lookup,2,FALSE)+VLOOKUP(Table2[[#This Row],[Home/Neutral]],def_diff_lookup,6,FALSE))</f>
        <v>102.64325733333335</v>
      </c>
      <c r="N91" s="25"/>
      <c r="O91" s="25"/>
      <c r="P91">
        <f>VLOOKUP(Table2[[#This Row],[Home/Neutral]],pace_lookup,7,FALSE)</f>
        <v>92.5</v>
      </c>
      <c r="Q91" s="5">
        <f>VLOOKUP(Table2[[#This Row],[Visitor/Neutral]],pace_lookup,7,FALSE)</f>
        <v>98.6</v>
      </c>
      <c r="R91" s="9">
        <f t="shared" si="3"/>
        <v>6</v>
      </c>
      <c r="V91" s="2">
        <f>-home-VLOOKUP(Table2[[#This Row],[Home/Neutral]],rtg_vlookup,4,FALSE)+VLOOKUP(Table2[[#This Row],[Visitor/Neutral]],rtg_vlookup,4,FALSE)</f>
        <v>-8.0051184834123319</v>
      </c>
      <c r="W91" s="25"/>
      <c r="X91" s="2"/>
      <c r="Y91" s="2">
        <f>Table2[[#This Row],[Away EV]]-Table2[[#This Row],[Home EV]]</f>
        <v>-3.9716300253802359</v>
      </c>
      <c r="Z91" s="33"/>
      <c r="AA91" s="34"/>
      <c r="AB91" t="b">
        <f>IF(VLOOKUP(Table2[[#This Row],[Home/Neutral]],division_lookup,9,FALSE)=VLOOKUP(Table2[[#This Row],[Visitor/Neutral]],division_lookup,9,FALSE),TRUE,FALSE)</f>
        <v>0</v>
      </c>
      <c r="AC91" s="19" t="str">
        <f>VLOOKUP(Table2[[#This Row],[Home/Neutral]],division_lookup,9,FALSE)</f>
        <v>SW</v>
      </c>
      <c r="AD91" s="19"/>
      <c r="AE91" s="19" t="str">
        <f>IF(Table2[[#This Row],[Total EV ®]]&lt;Table2[[#This Row],[Total (V)]],"UNDER","OVER")</f>
        <v>OVER</v>
      </c>
      <c r="AF91" s="19"/>
      <c r="AG91" s="19"/>
      <c r="AH91" s="2"/>
      <c r="AI91" s="22">
        <f>Table2[[#This Row],[(A)]]-Table2[[#This Row],[Spread]]</f>
        <v>-14.005118483412332</v>
      </c>
      <c r="AJ91" s="1">
        <f>Table2[[#This Row],[(A) Err]]^2</f>
        <v>196.14334373441773</v>
      </c>
      <c r="AK91" s="6">
        <f>Table2[[#This Row],[EV]]-Table2[[#This Row],[Spread]]</f>
        <v>-9.9716300253802359</v>
      </c>
      <c r="AL91" s="1">
        <f>Table2[[#This Row],[EV Err]]^2</f>
        <v>99.433405363064651</v>
      </c>
    </row>
    <row r="92" spans="1:38" x14ac:dyDescent="0.25">
      <c r="A92" t="s">
        <v>55</v>
      </c>
      <c r="B92" t="s">
        <v>31</v>
      </c>
      <c r="C92" t="s">
        <v>20</v>
      </c>
      <c r="E92">
        <v>109</v>
      </c>
      <c r="G92">
        <v>114</v>
      </c>
      <c r="H92" s="9">
        <f t="shared" si="2"/>
        <v>223</v>
      </c>
      <c r="K92" s="25">
        <f>(Table2[[#This Row],[Home Pace]]/100)*(VLOOKUP(Table2[[#This Row],[Home/Neutral]],home_lookup,8,FALSE)+VLOOKUP(Table2[[#This Row],[Home/Neutral]],OFR_lookup,2,FALSE)+VLOOKUP(Table2[[#This Row],[Visitor/Neutral]],def_diff_lookup,6,FALSE))</f>
        <v>108.95017430217891</v>
      </c>
      <c r="L92" s="25"/>
      <c r="M92" s="25">
        <f>(Table2[[#This Row],[Away Pace]]/100)*(VLOOKUP(Table2[[#This Row],[Visitor/Neutral]],OFR_lookup,2,FALSE)+VLOOKUP(Table2[[#This Row],[Home/Neutral]],def_diff_lookup,6,FALSE))</f>
        <v>101.19048600000002</v>
      </c>
      <c r="N92" s="25"/>
      <c r="O92" s="25"/>
      <c r="P92">
        <f>VLOOKUP(Table2[[#This Row],[Home/Neutral]],pace_lookup,7,FALSE)</f>
        <v>96</v>
      </c>
      <c r="Q92" s="5">
        <f>VLOOKUP(Table2[[#This Row],[Visitor/Neutral]],pace_lookup,7,FALSE)</f>
        <v>90.9</v>
      </c>
      <c r="R92" s="9">
        <f t="shared" si="3"/>
        <v>5</v>
      </c>
      <c r="V92" s="2">
        <f>-home-VLOOKUP(Table2[[#This Row],[Home/Neutral]],rtg_vlookup,4,FALSE)+VLOOKUP(Table2[[#This Row],[Visitor/Neutral]],rtg_vlookup,4,FALSE)</f>
        <v>1.2548815165876694</v>
      </c>
      <c r="W92" s="25"/>
      <c r="X92" s="2"/>
      <c r="Y92" s="2">
        <f>Table2[[#This Row],[Away EV]]-Table2[[#This Row],[Home EV]]</f>
        <v>-7.7596883021788869</v>
      </c>
      <c r="Z92" s="33"/>
      <c r="AA92" s="34"/>
      <c r="AB92" t="b">
        <f>IF(VLOOKUP(Table2[[#This Row],[Home/Neutral]],division_lookup,9,FALSE)=VLOOKUP(Table2[[#This Row],[Visitor/Neutral]],division_lookup,9,FALSE),TRUE,FALSE)</f>
        <v>0</v>
      </c>
      <c r="AC92" s="19" t="str">
        <f>VLOOKUP(Table2[[#This Row],[Home/Neutral]],division_lookup,9,FALSE)</f>
        <v>A</v>
      </c>
      <c r="AD92" s="19"/>
      <c r="AE92" s="19" t="str">
        <f>IF(Table2[[#This Row],[Total EV ®]]&lt;Table2[[#This Row],[Total (V)]],"UNDER","OVER")</f>
        <v>OVER</v>
      </c>
      <c r="AF92" s="19"/>
      <c r="AG92" s="19"/>
      <c r="AH92" s="2"/>
      <c r="AI92" s="22">
        <f>Table2[[#This Row],[(A)]]-Table2[[#This Row],[Spread]]</f>
        <v>-3.7451184834123303</v>
      </c>
      <c r="AJ92" s="1">
        <f>Table2[[#This Row],[(A) Err]]^2</f>
        <v>14.025912454796673</v>
      </c>
      <c r="AK92" s="6">
        <f>Table2[[#This Row],[EV]]-Table2[[#This Row],[Spread]]</f>
        <v>-12.759688302178887</v>
      </c>
      <c r="AL92" s="1">
        <f>Table2[[#This Row],[EV Err]]^2</f>
        <v>162.80964556876071</v>
      </c>
    </row>
    <row r="93" spans="1:38" ht="15.75" thickBot="1" x14ac:dyDescent="0.3">
      <c r="A93" s="3" t="s">
        <v>55</v>
      </c>
      <c r="B93" s="3" t="s">
        <v>14</v>
      </c>
      <c r="C93" s="3" t="s">
        <v>29</v>
      </c>
      <c r="D93" s="3"/>
      <c r="E93" s="3">
        <v>91</v>
      </c>
      <c r="F93" s="3"/>
      <c r="G93" s="3">
        <v>96</v>
      </c>
      <c r="H93" s="10">
        <f t="shared" si="2"/>
        <v>187</v>
      </c>
      <c r="I93" s="3"/>
      <c r="J93" s="3"/>
      <c r="K93" s="26">
        <f>(Table2[[#This Row],[Home Pace]]/100)*(VLOOKUP(Table2[[#This Row],[Home/Neutral]],home_lookup,8,FALSE)+VLOOKUP(Table2[[#This Row],[Home/Neutral]],OFR_lookup,2,FALSE)+VLOOKUP(Table2[[#This Row],[Visitor/Neutral]],def_diff_lookup,6,FALSE))</f>
        <v>110.35166414241451</v>
      </c>
      <c r="L93" s="26"/>
      <c r="M93" s="26">
        <f>(Table2[[#This Row],[Away Pace]]/100)*(VLOOKUP(Table2[[#This Row],[Visitor/Neutral]],OFR_lookup,2,FALSE)+VLOOKUP(Table2[[#This Row],[Home/Neutral]],def_diff_lookup,6,FALSE))</f>
        <v>102.46774533333334</v>
      </c>
      <c r="N93" s="26"/>
      <c r="O93" s="26"/>
      <c r="P93" s="3">
        <f>VLOOKUP(Table2[[#This Row],[Home/Neutral]],pace_lookup,7,FALSE)</f>
        <v>95.9</v>
      </c>
      <c r="Q93" s="3">
        <f>VLOOKUP(Table2[[#This Row],[Visitor/Neutral]],pace_lookup,7,FALSE)</f>
        <v>93.8</v>
      </c>
      <c r="R93" s="10">
        <f t="shared" si="3"/>
        <v>5</v>
      </c>
      <c r="S93" s="3"/>
      <c r="T93" s="3"/>
      <c r="U93" s="3"/>
      <c r="V93" s="12">
        <f>-home-VLOOKUP(Table2[[#This Row],[Home/Neutral]],rtg_vlookup,4,FALSE)+VLOOKUP(Table2[[#This Row],[Visitor/Neutral]],rtg_vlookup,4,FALSE)</f>
        <v>-9.9851184834123305</v>
      </c>
      <c r="W93" s="26"/>
      <c r="X93" s="12"/>
      <c r="Y93" s="12">
        <f>Table2[[#This Row],[Away EV]]-Table2[[#This Row],[Home EV]]</f>
        <v>-7.883918809081166</v>
      </c>
      <c r="Z93" s="35"/>
      <c r="AA93" s="36"/>
      <c r="AB93" s="3" t="b">
        <f>IF(VLOOKUP(Table2[[#This Row],[Home/Neutral]],division_lookup,9,FALSE)=VLOOKUP(Table2[[#This Row],[Visitor/Neutral]],division_lookup,9,FALSE),TRUE,FALSE)</f>
        <v>0</v>
      </c>
      <c r="AC93" s="20" t="str">
        <f>VLOOKUP(Table2[[#This Row],[Home/Neutral]],division_lookup,9,FALSE)</f>
        <v>A</v>
      </c>
      <c r="AD93" s="20"/>
      <c r="AE93" s="20" t="str">
        <f>IF(Table2[[#This Row],[Total EV ®]]&lt;Table2[[#This Row],[Total (V)]],"UNDER","OVER")</f>
        <v>OVER</v>
      </c>
      <c r="AF93" s="20"/>
      <c r="AG93" s="20"/>
      <c r="AH93" s="12"/>
      <c r="AI93" s="23">
        <f>Table2[[#This Row],[(A)]]-Table2[[#This Row],[Spread]]</f>
        <v>-14.985118483412331</v>
      </c>
      <c r="AJ93" s="4">
        <f>Table2[[#This Row],[(A) Err]]^2</f>
        <v>224.55377596190587</v>
      </c>
      <c r="AK93" s="4">
        <f>Table2[[#This Row],[EV]]-Table2[[#This Row],[Spread]]</f>
        <v>-12.883918809081166</v>
      </c>
      <c r="AL93" s="4">
        <f>Table2[[#This Row],[EV Err]]^2</f>
        <v>165.99536387899545</v>
      </c>
    </row>
    <row r="94" spans="1:38" x14ac:dyDescent="0.25">
      <c r="A94" t="s">
        <v>56</v>
      </c>
      <c r="B94" t="s">
        <v>13</v>
      </c>
      <c r="C94" t="s">
        <v>38</v>
      </c>
      <c r="E94">
        <v>112</v>
      </c>
      <c r="G94">
        <v>80</v>
      </c>
      <c r="H94" s="9">
        <f t="shared" si="2"/>
        <v>192</v>
      </c>
      <c r="K94" s="25">
        <f>(Table2[[#This Row],[Home Pace]]/100)*(VLOOKUP(Table2[[#This Row],[Home/Neutral]],home_lookup,8,FALSE)+VLOOKUP(Table2[[#This Row],[Home/Neutral]],OFR_lookup,2,FALSE)+VLOOKUP(Table2[[#This Row],[Visitor/Neutral]],def_diff_lookup,6,FALSE))</f>
        <v>106.44109108450401</v>
      </c>
      <c r="L94" s="25"/>
      <c r="M94" s="25">
        <f>(Table2[[#This Row],[Away Pace]]/100)*(VLOOKUP(Table2[[#This Row],[Visitor/Neutral]],OFR_lookup,2,FALSE)+VLOOKUP(Table2[[#This Row],[Home/Neutral]],def_diff_lookup,6,FALSE))</f>
        <v>92.363728000000023</v>
      </c>
      <c r="N94" s="25"/>
      <c r="O94" s="25"/>
      <c r="P94">
        <f>VLOOKUP(Table2[[#This Row],[Home/Neutral]],pace_lookup,7,FALSE)</f>
        <v>94.5</v>
      </c>
      <c r="Q94" s="5">
        <f>VLOOKUP(Table2[[#This Row],[Visitor/Neutral]],pace_lookup,7,FALSE)</f>
        <v>94.2</v>
      </c>
      <c r="R94" s="9">
        <f t="shared" si="3"/>
        <v>-32</v>
      </c>
      <c r="V94" s="2">
        <f>-home-VLOOKUP(Table2[[#This Row],[Home/Neutral]],rtg_vlookup,4,FALSE)+VLOOKUP(Table2[[#This Row],[Visitor/Neutral]],rtg_vlookup,4,FALSE)</f>
        <v>-17.055118483412329</v>
      </c>
      <c r="W94" s="25"/>
      <c r="X94" s="2"/>
      <c r="Y94" s="2">
        <f>Table2[[#This Row],[Away EV]]-Table2[[#This Row],[Home EV]]</f>
        <v>-14.077363084503986</v>
      </c>
      <c r="Z94" s="33"/>
      <c r="AA94" s="34"/>
      <c r="AB94" t="b">
        <f>IF(VLOOKUP(Table2[[#This Row],[Home/Neutral]],division_lookup,9,FALSE)=VLOOKUP(Table2[[#This Row],[Visitor/Neutral]],division_lookup,9,FALSE),TRUE,FALSE)</f>
        <v>0</v>
      </c>
      <c r="AC94" s="19" t="str">
        <f>VLOOKUP(Table2[[#This Row],[Home/Neutral]],division_lookup,9,FALSE)</f>
        <v>C</v>
      </c>
      <c r="AD94" s="19"/>
      <c r="AE94" s="19" t="str">
        <f>IF(Table2[[#This Row],[Total EV ®]]&lt;Table2[[#This Row],[Total (V)]],"UNDER","OVER")</f>
        <v>OVER</v>
      </c>
      <c r="AF94" s="19"/>
      <c r="AG94" s="19"/>
      <c r="AH94" s="2"/>
      <c r="AI94" s="22">
        <f>Table2[[#This Row],[(A)]]-Table2[[#This Row],[Spread]]</f>
        <v>14.944881516587671</v>
      </c>
      <c r="AJ94" s="1">
        <f>Table2[[#This Row],[(A) Err]]^2</f>
        <v>223.34948354484379</v>
      </c>
      <c r="AK94" s="6">
        <f>Table2[[#This Row],[EV]]-Table2[[#This Row],[Spread]]</f>
        <v>17.922636915496014</v>
      </c>
      <c r="AL94" s="1">
        <f>Table2[[#This Row],[EV Err]]^2</f>
        <v>321.22091400470049</v>
      </c>
    </row>
    <row r="95" spans="1:38" x14ac:dyDescent="0.25">
      <c r="A95" t="s">
        <v>56</v>
      </c>
      <c r="B95" t="s">
        <v>16</v>
      </c>
      <c r="C95" t="s">
        <v>33</v>
      </c>
      <c r="E95">
        <v>122</v>
      </c>
      <c r="G95">
        <v>100</v>
      </c>
      <c r="H95" s="9">
        <f t="shared" si="2"/>
        <v>222</v>
      </c>
      <c r="K95" s="25">
        <f>(Table2[[#This Row],[Home Pace]]/100)*(VLOOKUP(Table2[[#This Row],[Home/Neutral]],home_lookup,8,FALSE)+VLOOKUP(Table2[[#This Row],[Home/Neutral]],OFR_lookup,2,FALSE)+VLOOKUP(Table2[[#This Row],[Visitor/Neutral]],def_diff_lookup,6,FALSE))</f>
        <v>106.13210601115951</v>
      </c>
      <c r="L95" s="25"/>
      <c r="M95" s="25">
        <f>(Table2[[#This Row],[Away Pace]]/100)*(VLOOKUP(Table2[[#This Row],[Visitor/Neutral]],OFR_lookup,2,FALSE)+VLOOKUP(Table2[[#This Row],[Home/Neutral]],def_diff_lookup,6,FALSE))</f>
        <v>99.948614666666671</v>
      </c>
      <c r="N95" s="25"/>
      <c r="O95" s="25"/>
      <c r="P95">
        <f>VLOOKUP(Table2[[#This Row],[Home/Neutral]],pace_lookup,7,FALSE)</f>
        <v>97.5</v>
      </c>
      <c r="Q95" s="5">
        <f>VLOOKUP(Table2[[#This Row],[Visitor/Neutral]],pace_lookup,7,FALSE)</f>
        <v>98.2</v>
      </c>
      <c r="R95" s="9">
        <f t="shared" si="3"/>
        <v>-22</v>
      </c>
      <c r="V95" s="2">
        <f>-home-VLOOKUP(Table2[[#This Row],[Home/Neutral]],rtg_vlookup,4,FALSE)+VLOOKUP(Table2[[#This Row],[Visitor/Neutral]],rtg_vlookup,4,FALSE)</f>
        <v>-10.58511848341233</v>
      </c>
      <c r="W95" s="25"/>
      <c r="X95" s="2"/>
      <c r="Y95" s="2">
        <f>Table2[[#This Row],[Away EV]]-Table2[[#This Row],[Home EV]]</f>
        <v>-6.1834913444928361</v>
      </c>
      <c r="Z95" s="33"/>
      <c r="AA95" s="34"/>
      <c r="AB95" t="b">
        <f>IF(VLOOKUP(Table2[[#This Row],[Home/Neutral]],division_lookup,9,FALSE)=VLOOKUP(Table2[[#This Row],[Visitor/Neutral]],division_lookup,9,FALSE),TRUE,FALSE)</f>
        <v>0</v>
      </c>
      <c r="AC95" s="19" t="str">
        <f>VLOOKUP(Table2[[#This Row],[Home/Neutral]],division_lookup,9,FALSE)</f>
        <v>SE</v>
      </c>
      <c r="AD95" s="19"/>
      <c r="AE95" s="19" t="str">
        <f>IF(Table2[[#This Row],[Total EV ®]]&lt;Table2[[#This Row],[Total (V)]],"UNDER","OVER")</f>
        <v>OVER</v>
      </c>
      <c r="AF95" s="19"/>
      <c r="AG95" s="19"/>
      <c r="AH95" s="2"/>
      <c r="AI95" s="22">
        <f>Table2[[#This Row],[(A)]]-Table2[[#This Row],[Spread]]</f>
        <v>11.41488151658767</v>
      </c>
      <c r="AJ95" s="1">
        <f>Table2[[#This Row],[(A) Err]]^2</f>
        <v>130.29952003773482</v>
      </c>
      <c r="AK95" s="6">
        <f>Table2[[#This Row],[EV]]-Table2[[#This Row],[Spread]]</f>
        <v>15.816508655507164</v>
      </c>
      <c r="AL95" s="1">
        <f>Table2[[#This Row],[EV Err]]^2</f>
        <v>250.16194604973305</v>
      </c>
    </row>
    <row r="96" spans="1:38" x14ac:dyDescent="0.25">
      <c r="A96" t="s">
        <v>56</v>
      </c>
      <c r="B96" t="s">
        <v>10</v>
      </c>
      <c r="C96" t="s">
        <v>34</v>
      </c>
      <c r="E96">
        <v>116</v>
      </c>
      <c r="G96">
        <v>106</v>
      </c>
      <c r="H96" s="9">
        <f t="shared" si="2"/>
        <v>222</v>
      </c>
      <c r="K96" s="25">
        <f>(Table2[[#This Row],[Home Pace]]/100)*(VLOOKUP(Table2[[#This Row],[Home/Neutral]],home_lookup,8,FALSE)+VLOOKUP(Table2[[#This Row],[Home/Neutral]],OFR_lookup,2,FALSE)+VLOOKUP(Table2[[#This Row],[Visitor/Neutral]],def_diff_lookup,6,FALSE))</f>
        <v>106.93555853790561</v>
      </c>
      <c r="L96" s="25"/>
      <c r="M96" s="25">
        <f>(Table2[[#This Row],[Away Pace]]/100)*(VLOOKUP(Table2[[#This Row],[Visitor/Neutral]],OFR_lookup,2,FALSE)+VLOOKUP(Table2[[#This Row],[Home/Neutral]],def_diff_lookup,6,FALSE))</f>
        <v>101.35957866666666</v>
      </c>
      <c r="N96" s="25"/>
      <c r="O96" s="25"/>
      <c r="P96">
        <f>VLOOKUP(Table2[[#This Row],[Home/Neutral]],pace_lookup,7,FALSE)</f>
        <v>100.3</v>
      </c>
      <c r="Q96" s="5">
        <f>VLOOKUP(Table2[[#This Row],[Visitor/Neutral]],pace_lookup,7,FALSE)</f>
        <v>98.8</v>
      </c>
      <c r="R96" s="9">
        <f t="shared" si="3"/>
        <v>-10</v>
      </c>
      <c r="V96" s="2">
        <f>-home-VLOOKUP(Table2[[#This Row],[Home/Neutral]],rtg_vlookup,4,FALSE)+VLOOKUP(Table2[[#This Row],[Visitor/Neutral]],rtg_vlookup,4,FALSE)</f>
        <v>-16.235118483412332</v>
      </c>
      <c r="W96" s="25"/>
      <c r="X96" s="2"/>
      <c r="Y96" s="2">
        <f>Table2[[#This Row],[Away EV]]-Table2[[#This Row],[Home EV]]</f>
        <v>-5.5759798712389426</v>
      </c>
      <c r="Z96" s="33"/>
      <c r="AA96" s="34"/>
      <c r="AB96" t="b">
        <f>IF(VLOOKUP(Table2[[#This Row],[Home/Neutral]],division_lookup,9,FALSE)=VLOOKUP(Table2[[#This Row],[Visitor/Neutral]],division_lookup,9,FALSE),TRUE,FALSE)</f>
        <v>0</v>
      </c>
      <c r="AC96" s="19" t="str">
        <f>VLOOKUP(Table2[[#This Row],[Home/Neutral]],division_lookup,9,FALSE)</f>
        <v>P</v>
      </c>
      <c r="AD96" s="19"/>
      <c r="AE96" s="19" t="str">
        <f>IF(Table2[[#This Row],[Total EV ®]]&lt;Table2[[#This Row],[Total (V)]],"UNDER","OVER")</f>
        <v>OVER</v>
      </c>
      <c r="AF96" s="19"/>
      <c r="AG96" s="19"/>
      <c r="AH96" s="2"/>
      <c r="AI96" s="22">
        <f>Table2[[#This Row],[(A)]]-Table2[[#This Row],[Spread]]</f>
        <v>-6.2351184834123323</v>
      </c>
      <c r="AJ96" s="1">
        <f>Table2[[#This Row],[(A) Err]]^2</f>
        <v>38.876702502190106</v>
      </c>
      <c r="AK96" s="6">
        <f>Table2[[#This Row],[EV]]-Table2[[#This Row],[Spread]]</f>
        <v>4.4240201287610574</v>
      </c>
      <c r="AL96" s="1">
        <f>Table2[[#This Row],[EV Err]]^2</f>
        <v>19.571954099683005</v>
      </c>
    </row>
    <row r="97" spans="1:38" x14ac:dyDescent="0.25">
      <c r="A97" t="s">
        <v>56</v>
      </c>
      <c r="B97" t="s">
        <v>4</v>
      </c>
      <c r="C97" t="s">
        <v>25</v>
      </c>
      <c r="E97">
        <v>114</v>
      </c>
      <c r="G97">
        <v>82</v>
      </c>
      <c r="H97" s="9">
        <f t="shared" si="2"/>
        <v>196</v>
      </c>
      <c r="K97" s="25">
        <f>(Table2[[#This Row],[Home Pace]]/100)*(VLOOKUP(Table2[[#This Row],[Home/Neutral]],home_lookup,8,FALSE)+VLOOKUP(Table2[[#This Row],[Home/Neutral]],OFR_lookup,2,FALSE)+VLOOKUP(Table2[[#This Row],[Visitor/Neutral]],def_diff_lookup,6,FALSE))</f>
        <v>98.746207813934447</v>
      </c>
      <c r="L97" s="25"/>
      <c r="M97" s="25">
        <f>(Table2[[#This Row],[Away Pace]]/100)*(VLOOKUP(Table2[[#This Row],[Visitor/Neutral]],OFR_lookup,2,FALSE)+VLOOKUP(Table2[[#This Row],[Home/Neutral]],def_diff_lookup,6,FALSE))</f>
        <v>91.11550933333335</v>
      </c>
      <c r="N97" s="25"/>
      <c r="O97" s="25"/>
      <c r="P97">
        <f>VLOOKUP(Table2[[#This Row],[Home/Neutral]],pace_lookup,7,FALSE)</f>
        <v>96.6</v>
      </c>
      <c r="Q97" s="5">
        <f>VLOOKUP(Table2[[#This Row],[Visitor/Neutral]],pace_lookup,7,FALSE)</f>
        <v>94.4</v>
      </c>
      <c r="R97" s="9">
        <f t="shared" si="3"/>
        <v>-32</v>
      </c>
      <c r="V97" s="2">
        <f>-home-VLOOKUP(Table2[[#This Row],[Home/Neutral]],rtg_vlookup,4,FALSE)+VLOOKUP(Table2[[#This Row],[Visitor/Neutral]],rtg_vlookup,4,FALSE)</f>
        <v>-17.375118483412333</v>
      </c>
      <c r="W97" s="25"/>
      <c r="X97" s="2"/>
      <c r="Y97" s="2">
        <f>Table2[[#This Row],[Away EV]]-Table2[[#This Row],[Home EV]]</f>
        <v>-7.6306984806010973</v>
      </c>
      <c r="Z97" s="33"/>
      <c r="AA97" s="34"/>
      <c r="AB97" t="b">
        <f>IF(VLOOKUP(Table2[[#This Row],[Home/Neutral]],division_lookup,9,FALSE)=VLOOKUP(Table2[[#This Row],[Visitor/Neutral]],division_lookup,9,FALSE),TRUE,FALSE)</f>
        <v>0</v>
      </c>
      <c r="AC97" s="19" t="str">
        <f>VLOOKUP(Table2[[#This Row],[Home/Neutral]],division_lookup,9,FALSE)</f>
        <v>P</v>
      </c>
      <c r="AD97" s="19"/>
      <c r="AE97" s="19" t="str">
        <f>IF(Table2[[#This Row],[Total EV ®]]&lt;Table2[[#This Row],[Total (V)]],"UNDER","OVER")</f>
        <v>OVER</v>
      </c>
      <c r="AF97" s="19"/>
      <c r="AG97" s="19"/>
      <c r="AH97" s="2"/>
      <c r="AI97" s="22">
        <f>Table2[[#This Row],[(A)]]-Table2[[#This Row],[Spread]]</f>
        <v>14.624881516587667</v>
      </c>
      <c r="AJ97" s="1">
        <f>Table2[[#This Row],[(A) Err]]^2</f>
        <v>213.88715937422759</v>
      </c>
      <c r="AK97" s="6">
        <f>Table2[[#This Row],[EV]]-Table2[[#This Row],[Spread]]</f>
        <v>24.369301519398903</v>
      </c>
      <c r="AL97" s="1">
        <f>Table2[[#This Row],[EV Err]]^2</f>
        <v>593.86285654337769</v>
      </c>
    </row>
    <row r="98" spans="1:38" x14ac:dyDescent="0.25">
      <c r="A98" t="s">
        <v>56</v>
      </c>
      <c r="B98" t="s">
        <v>18</v>
      </c>
      <c r="C98" t="s">
        <v>21</v>
      </c>
      <c r="E98">
        <v>97</v>
      </c>
      <c r="G98">
        <v>85</v>
      </c>
      <c r="H98" s="9">
        <f t="shared" si="2"/>
        <v>182</v>
      </c>
      <c r="K98" s="25">
        <f>(Table2[[#This Row],[Home Pace]]/100)*(VLOOKUP(Table2[[#This Row],[Home/Neutral]],home_lookup,8,FALSE)+VLOOKUP(Table2[[#This Row],[Home/Neutral]],OFR_lookup,2,FALSE)+VLOOKUP(Table2[[#This Row],[Visitor/Neutral]],def_diff_lookup,6,FALSE))</f>
        <v>99.124106160211326</v>
      </c>
      <c r="L98" s="25"/>
      <c r="M98" s="25">
        <f>(Table2[[#This Row],[Away Pace]]/100)*(VLOOKUP(Table2[[#This Row],[Visitor/Neutral]],OFR_lookup,2,FALSE)+VLOOKUP(Table2[[#This Row],[Home/Neutral]],def_diff_lookup,6,FALSE))</f>
        <v>92.580388000000013</v>
      </c>
      <c r="N98" s="25"/>
      <c r="O98" s="25"/>
      <c r="P98">
        <f>VLOOKUP(Table2[[#This Row],[Home/Neutral]],pace_lookup,7,FALSE)</f>
        <v>99.5</v>
      </c>
      <c r="Q98" s="5">
        <f>VLOOKUP(Table2[[#This Row],[Visitor/Neutral]],pace_lookup,7,FALSE)</f>
        <v>94.2</v>
      </c>
      <c r="R98" s="9">
        <f t="shared" si="3"/>
        <v>-12</v>
      </c>
      <c r="V98" s="2">
        <f>-home-VLOOKUP(Table2[[#This Row],[Home/Neutral]],rtg_vlookup,4,FALSE)+VLOOKUP(Table2[[#This Row],[Visitor/Neutral]],rtg_vlookup,4,FALSE)</f>
        <v>-5.1451184834123307</v>
      </c>
      <c r="W98" s="25"/>
      <c r="X98" s="2"/>
      <c r="Y98" s="2">
        <f>Table2[[#This Row],[Away EV]]-Table2[[#This Row],[Home EV]]</f>
        <v>-6.5437181602113128</v>
      </c>
      <c r="Z98" s="33"/>
      <c r="AA98" s="34"/>
      <c r="AB98" t="b">
        <f>IF(VLOOKUP(Table2[[#This Row],[Home/Neutral]],division_lookup,9,FALSE)=VLOOKUP(Table2[[#This Row],[Visitor/Neutral]],division_lookup,9,FALSE),TRUE,FALSE)</f>
        <v>0</v>
      </c>
      <c r="AC98" s="19" t="str">
        <f>VLOOKUP(Table2[[#This Row],[Home/Neutral]],division_lookup,9,FALSE)</f>
        <v>NW</v>
      </c>
      <c r="AD98" s="19"/>
      <c r="AE98" s="19" t="str">
        <f>IF(Table2[[#This Row],[Total EV ®]]&lt;Table2[[#This Row],[Total (V)]],"UNDER","OVER")</f>
        <v>OVER</v>
      </c>
      <c r="AF98" s="19"/>
      <c r="AG98" s="19"/>
      <c r="AH98" s="2"/>
      <c r="AI98" s="22">
        <f>Table2[[#This Row],[(A)]]-Table2[[#This Row],[Spread]]</f>
        <v>6.8548815165876693</v>
      </c>
      <c r="AJ98" s="1">
        <f>Table2[[#This Row],[(A) Err]]^2</f>
        <v>46.989400606455263</v>
      </c>
      <c r="AK98" s="6">
        <f>Table2[[#This Row],[EV]]-Table2[[#This Row],[Spread]]</f>
        <v>5.4562818397886872</v>
      </c>
      <c r="AL98" s="1">
        <f>Table2[[#This Row],[EV Err]]^2</f>
        <v>29.771011515207821</v>
      </c>
    </row>
    <row r="99" spans="1:38" x14ac:dyDescent="0.25">
      <c r="A99" t="s">
        <v>56</v>
      </c>
      <c r="B99" t="s">
        <v>39</v>
      </c>
      <c r="C99" t="s">
        <v>20</v>
      </c>
      <c r="E99">
        <v>84</v>
      </c>
      <c r="G99">
        <v>109</v>
      </c>
      <c r="H99" s="9">
        <f t="shared" si="2"/>
        <v>193</v>
      </c>
      <c r="K99" s="25">
        <f>(Table2[[#This Row],[Home Pace]]/100)*(VLOOKUP(Table2[[#This Row],[Home/Neutral]],home_lookup,8,FALSE)+VLOOKUP(Table2[[#This Row],[Home/Neutral]],OFR_lookup,2,FALSE)+VLOOKUP(Table2[[#This Row],[Visitor/Neutral]],def_diff_lookup,6,FALSE))</f>
        <v>105.91427211468579</v>
      </c>
      <c r="L99" s="25"/>
      <c r="M99" s="25">
        <f>(Table2[[#This Row],[Away Pace]]/100)*(VLOOKUP(Table2[[#This Row],[Visitor/Neutral]],OFR_lookup,2,FALSE)+VLOOKUP(Table2[[#This Row],[Home/Neutral]],def_diff_lookup,6,FALSE))</f>
        <v>99.64518600000001</v>
      </c>
      <c r="N99" s="25"/>
      <c r="O99" s="25"/>
      <c r="P99">
        <f>VLOOKUP(Table2[[#This Row],[Home/Neutral]],pace_lookup,7,FALSE)</f>
        <v>97.5</v>
      </c>
      <c r="Q99" s="5">
        <f>VLOOKUP(Table2[[#This Row],[Visitor/Neutral]],pace_lookup,7,FALSE)</f>
        <v>90.9</v>
      </c>
      <c r="R99" s="9">
        <f t="shared" si="3"/>
        <v>25</v>
      </c>
      <c r="V99" s="2">
        <f>-home-VLOOKUP(Table2[[#This Row],[Home/Neutral]],rtg_vlookup,4,FALSE)+VLOOKUP(Table2[[#This Row],[Visitor/Neutral]],rtg_vlookup,4,FALSE)</f>
        <v>8.284881516587669</v>
      </c>
      <c r="W99" s="25"/>
      <c r="X99" s="2"/>
      <c r="Y99" s="2">
        <f>Table2[[#This Row],[Away EV]]-Table2[[#This Row],[Home EV]]</f>
        <v>-6.269086114685777</v>
      </c>
      <c r="Z99" s="33"/>
      <c r="AA99" s="34"/>
      <c r="AB99" t="b">
        <f>IF(VLOOKUP(Table2[[#This Row],[Home/Neutral]],division_lookup,9,FALSE)=VLOOKUP(Table2[[#This Row],[Visitor/Neutral]],division_lookup,9,FALSE),TRUE,FALSE)</f>
        <v>0</v>
      </c>
      <c r="AC99" s="19" t="str">
        <f>VLOOKUP(Table2[[#This Row],[Home/Neutral]],division_lookup,9,FALSE)</f>
        <v>A</v>
      </c>
      <c r="AD99" s="19"/>
      <c r="AE99" s="19" t="str">
        <f>IF(Table2[[#This Row],[Total EV ®]]&lt;Table2[[#This Row],[Total (V)]],"UNDER","OVER")</f>
        <v>OVER</v>
      </c>
      <c r="AF99" s="19"/>
      <c r="AG99" s="19"/>
      <c r="AH99" s="2"/>
      <c r="AI99" s="22">
        <f>Table2[[#This Row],[(A)]]-Table2[[#This Row],[Spread]]</f>
        <v>-16.715118483412333</v>
      </c>
      <c r="AJ99" s="1">
        <f>Table2[[#This Row],[(A) Err]]^2</f>
        <v>279.39518591451258</v>
      </c>
      <c r="AK99" s="6">
        <f>Table2[[#This Row],[EV]]-Table2[[#This Row],[Spread]]</f>
        <v>-31.269086114685777</v>
      </c>
      <c r="AL99" s="1">
        <f>Table2[[#This Row],[EV Err]]^2</f>
        <v>977.75574644763492</v>
      </c>
    </row>
    <row r="100" spans="1:38" ht="15.75" thickBot="1" x14ac:dyDescent="0.3">
      <c r="A100" s="3" t="s">
        <v>56</v>
      </c>
      <c r="B100" s="3" t="s">
        <v>28</v>
      </c>
      <c r="C100" s="3" t="s">
        <v>17</v>
      </c>
      <c r="D100" s="3"/>
      <c r="E100" s="3">
        <v>106</v>
      </c>
      <c r="F100" s="3"/>
      <c r="G100" s="3">
        <v>114</v>
      </c>
      <c r="H100" s="10">
        <f t="shared" si="2"/>
        <v>220</v>
      </c>
      <c r="I100" s="3"/>
      <c r="J100" s="3"/>
      <c r="K100" s="26">
        <f>(Table2[[#This Row],[Home Pace]]/100)*(VLOOKUP(Table2[[#This Row],[Home/Neutral]],home_lookup,8,FALSE)+VLOOKUP(Table2[[#This Row],[Home/Neutral]],OFR_lookup,2,FALSE)+VLOOKUP(Table2[[#This Row],[Visitor/Neutral]],def_diff_lookup,6,FALSE))</f>
        <v>111.48368553204274</v>
      </c>
      <c r="L100" s="26"/>
      <c r="M100" s="26">
        <f>(Table2[[#This Row],[Away Pace]]/100)*(VLOOKUP(Table2[[#This Row],[Visitor/Neutral]],OFR_lookup,2,FALSE)+VLOOKUP(Table2[[#This Row],[Home/Neutral]],def_diff_lookup,6,FALSE))</f>
        <v>112.95591466666669</v>
      </c>
      <c r="N100" s="26"/>
      <c r="O100" s="26"/>
      <c r="P100" s="3">
        <f>VLOOKUP(Table2[[#This Row],[Home/Neutral]],pace_lookup,7,FALSE)</f>
        <v>96.3</v>
      </c>
      <c r="Q100" s="3">
        <f>VLOOKUP(Table2[[#This Row],[Visitor/Neutral]],pace_lookup,7,FALSE)</f>
        <v>96.7</v>
      </c>
      <c r="R100" s="10">
        <f t="shared" si="3"/>
        <v>8</v>
      </c>
      <c r="S100" s="3"/>
      <c r="T100" s="3"/>
      <c r="U100" s="3"/>
      <c r="V100" s="12">
        <f>-home-VLOOKUP(Table2[[#This Row],[Home/Neutral]],rtg_vlookup,4,FALSE)+VLOOKUP(Table2[[#This Row],[Visitor/Neutral]],rtg_vlookup,4,FALSE)</f>
        <v>3.4248815165876696</v>
      </c>
      <c r="W100" s="26"/>
      <c r="X100" s="12"/>
      <c r="Y100" s="12">
        <f>Table2[[#This Row],[Away EV]]-Table2[[#This Row],[Home EV]]</f>
        <v>1.4722291346239444</v>
      </c>
      <c r="Z100" s="35"/>
      <c r="AA100" s="36"/>
      <c r="AB100" s="3" t="b">
        <f>IF(VLOOKUP(Table2[[#This Row],[Home/Neutral]],division_lookup,9,FALSE)=VLOOKUP(Table2[[#This Row],[Visitor/Neutral]],division_lookup,9,FALSE),TRUE,FALSE)</f>
        <v>0</v>
      </c>
      <c r="AC100" s="20" t="str">
        <f>VLOOKUP(Table2[[#This Row],[Home/Neutral]],division_lookup,9,FALSE)</f>
        <v>SE</v>
      </c>
      <c r="AD100" s="20"/>
      <c r="AE100" s="20" t="str">
        <f>IF(Table2[[#This Row],[Total EV ®]]&lt;Table2[[#This Row],[Total (V)]],"UNDER","OVER")</f>
        <v>OVER</v>
      </c>
      <c r="AF100" s="20"/>
      <c r="AG100" s="20"/>
      <c r="AH100" s="12"/>
      <c r="AI100" s="23">
        <f>Table2[[#This Row],[(A)]]-Table2[[#This Row],[Spread]]</f>
        <v>-4.5751184834123304</v>
      </c>
      <c r="AJ100" s="4">
        <f>Table2[[#This Row],[(A) Err]]^2</f>
        <v>20.931709137261141</v>
      </c>
      <c r="AK100" s="4">
        <f>Table2[[#This Row],[EV]]-Table2[[#This Row],[Spread]]</f>
        <v>-6.5277708653760556</v>
      </c>
      <c r="AL100" s="4">
        <f>Table2[[#This Row],[EV Err]]^2</f>
        <v>42.611792470852457</v>
      </c>
    </row>
    <row r="101" spans="1:38" x14ac:dyDescent="0.25">
      <c r="A101" t="s">
        <v>57</v>
      </c>
      <c r="B101" t="s">
        <v>35</v>
      </c>
      <c r="C101" t="s">
        <v>22</v>
      </c>
      <c r="E101">
        <v>119</v>
      </c>
      <c r="G101">
        <v>110</v>
      </c>
      <c r="H101" s="9">
        <f t="shared" si="2"/>
        <v>229</v>
      </c>
      <c r="K101" s="25">
        <f>(Table2[[#This Row],[Home Pace]]/100)*(VLOOKUP(Table2[[#This Row],[Home/Neutral]],home_lookup,8,FALSE)+VLOOKUP(Table2[[#This Row],[Home/Neutral]],OFR_lookup,2,FALSE)+VLOOKUP(Table2[[#This Row],[Visitor/Neutral]],def_diff_lookup,6,FALSE))</f>
        <v>111.73871121209625</v>
      </c>
      <c r="L101" s="25"/>
      <c r="M101" s="25">
        <f>(Table2[[#This Row],[Away Pace]]/100)*(VLOOKUP(Table2[[#This Row],[Visitor/Neutral]],OFR_lookup,2,FALSE)+VLOOKUP(Table2[[#This Row],[Home/Neutral]],def_diff_lookup,6,FALSE))</f>
        <v>108.72570133333335</v>
      </c>
      <c r="N101" s="25"/>
      <c r="O101" s="25"/>
      <c r="P101">
        <f>VLOOKUP(Table2[[#This Row],[Home/Neutral]],pace_lookup,7,FALSE)</f>
        <v>102.2</v>
      </c>
      <c r="Q101" s="5">
        <f>VLOOKUP(Table2[[#This Row],[Visitor/Neutral]],pace_lookup,7,FALSE)</f>
        <v>94.7</v>
      </c>
      <c r="R101" s="9">
        <f t="shared" si="3"/>
        <v>-9</v>
      </c>
      <c r="V101" s="2">
        <f>-home-VLOOKUP(Table2[[#This Row],[Home/Neutral]],rtg_vlookup,4,FALSE)+VLOOKUP(Table2[[#This Row],[Visitor/Neutral]],rtg_vlookup,4,FALSE)</f>
        <v>4.494881516587669</v>
      </c>
      <c r="W101" s="25"/>
      <c r="X101" s="2"/>
      <c r="Y101" s="2">
        <f>Table2[[#This Row],[Away EV]]-Table2[[#This Row],[Home EV]]</f>
        <v>-3.0130098787629009</v>
      </c>
      <c r="Z101" s="33"/>
      <c r="AA101" s="34"/>
      <c r="AB101" t="b">
        <f>IF(VLOOKUP(Table2[[#This Row],[Home/Neutral]],division_lookup,9,FALSE)=VLOOKUP(Table2[[#This Row],[Visitor/Neutral]],division_lookup,9,FALSE),TRUE,FALSE)</f>
        <v>0</v>
      </c>
      <c r="AC101" s="19" t="str">
        <f>VLOOKUP(Table2[[#This Row],[Home/Neutral]],division_lookup,9,FALSE)</f>
        <v>A</v>
      </c>
      <c r="AD101" s="19"/>
      <c r="AE101" s="19" t="str">
        <f>IF(Table2[[#This Row],[Total EV ®]]&lt;Table2[[#This Row],[Total (V)]],"UNDER","OVER")</f>
        <v>OVER</v>
      </c>
      <c r="AF101" s="19"/>
      <c r="AG101" s="19"/>
      <c r="AH101" s="2"/>
      <c r="AI101" s="22">
        <f>Table2[[#This Row],[(A)]]-Table2[[#This Row],[Spread]]</f>
        <v>13.494881516587668</v>
      </c>
      <c r="AJ101" s="1">
        <f>Table2[[#This Row],[(A) Err]]^2</f>
        <v>182.11182714673947</v>
      </c>
      <c r="AK101" s="6">
        <f>Table2[[#This Row],[EV]]-Table2[[#This Row],[Spread]]</f>
        <v>5.9869901212370991</v>
      </c>
      <c r="AL101" s="1">
        <f>Table2[[#This Row],[EV Err]]^2</f>
        <v>35.844050711790615</v>
      </c>
    </row>
    <row r="102" spans="1:38" x14ac:dyDescent="0.25">
      <c r="A102" t="s">
        <v>57</v>
      </c>
      <c r="B102" t="s">
        <v>8</v>
      </c>
      <c r="C102" t="s">
        <v>11</v>
      </c>
      <c r="E102">
        <v>106</v>
      </c>
      <c r="G102">
        <v>110</v>
      </c>
      <c r="H102" s="9">
        <f t="shared" si="2"/>
        <v>216</v>
      </c>
      <c r="K102" s="25">
        <f>(Table2[[#This Row],[Home Pace]]/100)*(VLOOKUP(Table2[[#This Row],[Home/Neutral]],home_lookup,8,FALSE)+VLOOKUP(Table2[[#This Row],[Home/Neutral]],OFR_lookup,2,FALSE)+VLOOKUP(Table2[[#This Row],[Visitor/Neutral]],def_diff_lookup,6,FALSE))</f>
        <v>97.205100368981803</v>
      </c>
      <c r="L102" s="25"/>
      <c r="M102" s="25">
        <f>(Table2[[#This Row],[Away Pace]]/100)*(VLOOKUP(Table2[[#This Row],[Visitor/Neutral]],OFR_lookup,2,FALSE)+VLOOKUP(Table2[[#This Row],[Home/Neutral]],def_diff_lookup,6,FALSE))</f>
        <v>102.55208466666667</v>
      </c>
      <c r="N102" s="25"/>
      <c r="O102" s="25"/>
      <c r="P102">
        <f>VLOOKUP(Table2[[#This Row],[Home/Neutral]],pace_lookup,7,FALSE)</f>
        <v>97.2</v>
      </c>
      <c r="Q102" s="5">
        <f>VLOOKUP(Table2[[#This Row],[Visitor/Neutral]],pace_lookup,7,FALSE)</f>
        <v>99.7</v>
      </c>
      <c r="R102" s="9">
        <f t="shared" si="3"/>
        <v>4</v>
      </c>
      <c r="V102" s="2">
        <f>-home-VLOOKUP(Table2[[#This Row],[Home/Neutral]],rtg_vlookup,4,FALSE)+VLOOKUP(Table2[[#This Row],[Visitor/Neutral]],rtg_vlookup,4,FALSE)</f>
        <v>-3.2651184834123299</v>
      </c>
      <c r="W102" s="25"/>
      <c r="X102" s="2"/>
      <c r="Y102" s="2">
        <f>Table2[[#This Row],[Away EV]]-Table2[[#This Row],[Home EV]]</f>
        <v>5.3469842976848696</v>
      </c>
      <c r="Z102" s="33"/>
      <c r="AA102" s="34"/>
      <c r="AB102" t="b">
        <f>IF(VLOOKUP(Table2[[#This Row],[Home/Neutral]],division_lookup,9,FALSE)=VLOOKUP(Table2[[#This Row],[Visitor/Neutral]],division_lookup,9,FALSE),TRUE,FALSE)</f>
        <v>0</v>
      </c>
      <c r="AC102" s="19" t="str">
        <f>VLOOKUP(Table2[[#This Row],[Home/Neutral]],division_lookup,9,FALSE)</f>
        <v>C</v>
      </c>
      <c r="AD102" s="19"/>
      <c r="AE102" s="19" t="str">
        <f>IF(Table2[[#This Row],[Total EV ®]]&lt;Table2[[#This Row],[Total (V)]],"UNDER","OVER")</f>
        <v>OVER</v>
      </c>
      <c r="AF102" s="19"/>
      <c r="AG102" s="19"/>
      <c r="AH102" s="2"/>
      <c r="AI102" s="22">
        <f>Table2[[#This Row],[(A)]]-Table2[[#This Row],[Spread]]</f>
        <v>-7.2651184834123299</v>
      </c>
      <c r="AJ102" s="1">
        <f>Table2[[#This Row],[(A) Err]]^2</f>
        <v>52.781946578019472</v>
      </c>
      <c r="AK102" s="6">
        <f>Table2[[#This Row],[EV]]-Table2[[#This Row],[Spread]]</f>
        <v>1.3469842976848696</v>
      </c>
      <c r="AL102" s="1">
        <f>Table2[[#This Row],[EV Err]]^2</f>
        <v>1.8143666982096014</v>
      </c>
    </row>
    <row r="103" spans="1:38" x14ac:dyDescent="0.25">
      <c r="A103" t="s">
        <v>57</v>
      </c>
      <c r="B103" t="s">
        <v>24</v>
      </c>
      <c r="C103" t="s">
        <v>37</v>
      </c>
      <c r="E103">
        <v>97</v>
      </c>
      <c r="G103">
        <v>109</v>
      </c>
      <c r="H103" s="9">
        <f t="shared" si="2"/>
        <v>206</v>
      </c>
      <c r="K103" s="25">
        <f>(Table2[[#This Row],[Home Pace]]/100)*(VLOOKUP(Table2[[#This Row],[Home/Neutral]],home_lookup,8,FALSE)+VLOOKUP(Table2[[#This Row],[Home/Neutral]],OFR_lookup,2,FALSE)+VLOOKUP(Table2[[#This Row],[Visitor/Neutral]],def_diff_lookup,6,FALSE))</f>
        <v>106.1295643283094</v>
      </c>
      <c r="L103" s="25"/>
      <c r="M103" s="25">
        <f>(Table2[[#This Row],[Away Pace]]/100)*(VLOOKUP(Table2[[#This Row],[Visitor/Neutral]],OFR_lookup,2,FALSE)+VLOOKUP(Table2[[#This Row],[Home/Neutral]],def_diff_lookup,6,FALSE))</f>
        <v>91.842733999999993</v>
      </c>
      <c r="N103" s="25"/>
      <c r="O103" s="25"/>
      <c r="P103">
        <f>VLOOKUP(Table2[[#This Row],[Home/Neutral]],pace_lookup,7,FALSE)</f>
        <v>99.9</v>
      </c>
      <c r="Q103" s="5">
        <f>VLOOKUP(Table2[[#This Row],[Visitor/Neutral]],pace_lookup,7,FALSE)</f>
        <v>92.1</v>
      </c>
      <c r="R103" s="9">
        <f t="shared" si="3"/>
        <v>12</v>
      </c>
      <c r="V103" s="2">
        <f>-home-VLOOKUP(Table2[[#This Row],[Home/Neutral]],rtg_vlookup,4,FALSE)+VLOOKUP(Table2[[#This Row],[Visitor/Neutral]],rtg_vlookup,4,FALSE)</f>
        <v>-10.465118483412331</v>
      </c>
      <c r="W103" s="25"/>
      <c r="X103" s="2"/>
      <c r="Y103" s="2">
        <f>Table2[[#This Row],[Away EV]]-Table2[[#This Row],[Home EV]]</f>
        <v>-14.286830328309406</v>
      </c>
      <c r="Z103" s="33"/>
      <c r="AA103" s="34"/>
      <c r="AB103" t="b">
        <f>IF(VLOOKUP(Table2[[#This Row],[Home/Neutral]],division_lookup,9,FALSE)=VLOOKUP(Table2[[#This Row],[Visitor/Neutral]],division_lookup,9,FALSE),TRUE,FALSE)</f>
        <v>0</v>
      </c>
      <c r="AC103" s="19" t="str">
        <f>VLOOKUP(Table2[[#This Row],[Home/Neutral]],division_lookup,9,FALSE)</f>
        <v>P</v>
      </c>
      <c r="AD103" s="19"/>
      <c r="AE103" s="19" t="str">
        <f>IF(Table2[[#This Row],[Total EV ®]]&lt;Table2[[#This Row],[Total (V)]],"UNDER","OVER")</f>
        <v>OVER</v>
      </c>
      <c r="AF103" s="19"/>
      <c r="AG103" s="19"/>
      <c r="AH103" s="2"/>
      <c r="AI103" s="22">
        <f>Table2[[#This Row],[(A)]]-Table2[[#This Row],[Spread]]</f>
        <v>-22.465118483412333</v>
      </c>
      <c r="AJ103" s="1">
        <f>Table2[[#This Row],[(A) Err]]^2</f>
        <v>504.68154847375445</v>
      </c>
      <c r="AK103" s="6">
        <f>Table2[[#This Row],[EV]]-Table2[[#This Row],[Spread]]</f>
        <v>-26.286830328309406</v>
      </c>
      <c r="AL103" s="1">
        <f>Table2[[#This Row],[EV Err]]^2</f>
        <v>690.99744870932727</v>
      </c>
    </row>
    <row r="104" spans="1:38" x14ac:dyDescent="0.25">
      <c r="A104" t="s">
        <v>57</v>
      </c>
      <c r="B104" t="s">
        <v>23</v>
      </c>
      <c r="C104" t="s">
        <v>27</v>
      </c>
      <c r="E104">
        <v>108</v>
      </c>
      <c r="G104">
        <v>107</v>
      </c>
      <c r="H104" s="9">
        <f t="shared" si="2"/>
        <v>215</v>
      </c>
      <c r="K104" s="25">
        <f>(Table2[[#This Row],[Home Pace]]/100)*(VLOOKUP(Table2[[#This Row],[Home/Neutral]],home_lookup,8,FALSE)+VLOOKUP(Table2[[#This Row],[Home/Neutral]],OFR_lookup,2,FALSE)+VLOOKUP(Table2[[#This Row],[Visitor/Neutral]],def_diff_lookup,6,FALSE))</f>
        <v>101.54588735871359</v>
      </c>
      <c r="L104" s="25"/>
      <c r="M104" s="25">
        <f>(Table2[[#This Row],[Away Pace]]/100)*(VLOOKUP(Table2[[#This Row],[Visitor/Neutral]],OFR_lookup,2,FALSE)+VLOOKUP(Table2[[#This Row],[Home/Neutral]],def_diff_lookup,6,FALSE))</f>
        <v>99.911460000000005</v>
      </c>
      <c r="N104" s="25"/>
      <c r="O104" s="25"/>
      <c r="P104">
        <f>VLOOKUP(Table2[[#This Row],[Home/Neutral]],pace_lookup,7,FALSE)</f>
        <v>92.5</v>
      </c>
      <c r="Q104" s="5">
        <f>VLOOKUP(Table2[[#This Row],[Visitor/Neutral]],pace_lookup,7,FALSE)</f>
        <v>99</v>
      </c>
      <c r="R104" s="9">
        <f t="shared" si="3"/>
        <v>-1</v>
      </c>
      <c r="V104" s="2">
        <f>-home-VLOOKUP(Table2[[#This Row],[Home/Neutral]],rtg_vlookup,4,FALSE)+VLOOKUP(Table2[[#This Row],[Visitor/Neutral]],rtg_vlookup,4,FALSE)</f>
        <v>-5.715118483412331</v>
      </c>
      <c r="W104" s="25"/>
      <c r="X104" s="2"/>
      <c r="Y104" s="2">
        <f>Table2[[#This Row],[Away EV]]-Table2[[#This Row],[Home EV]]</f>
        <v>-1.6344273587135802</v>
      </c>
      <c r="Z104" s="33"/>
      <c r="AA104" s="34"/>
      <c r="AB104" t="b">
        <f>IF(VLOOKUP(Table2[[#This Row],[Home/Neutral]],division_lookup,9,FALSE)=VLOOKUP(Table2[[#This Row],[Visitor/Neutral]],division_lookup,9,FALSE),TRUE,FALSE)</f>
        <v>0</v>
      </c>
      <c r="AC104" s="19" t="str">
        <f>VLOOKUP(Table2[[#This Row],[Home/Neutral]],division_lookup,9,FALSE)</f>
        <v>SW</v>
      </c>
      <c r="AD104" s="19"/>
      <c r="AE104" s="19" t="str">
        <f>IF(Table2[[#This Row],[Total EV ®]]&lt;Table2[[#This Row],[Total (V)]],"UNDER","OVER")</f>
        <v>OVER</v>
      </c>
      <c r="AF104" s="19"/>
      <c r="AG104" s="19"/>
      <c r="AH104" s="2"/>
      <c r="AI104" s="22">
        <f>Table2[[#This Row],[(A)]]-Table2[[#This Row],[Spread]]</f>
        <v>-4.715118483412331</v>
      </c>
      <c r="AJ104" s="1">
        <f>Table2[[#This Row],[(A) Err]]^2</f>
        <v>22.232342312616598</v>
      </c>
      <c r="AK104" s="6">
        <f>Table2[[#This Row],[EV]]-Table2[[#This Row],[Spread]]</f>
        <v>-0.63442735871358025</v>
      </c>
      <c r="AL104" s="1">
        <f>Table2[[#This Row],[EV Err]]^2</f>
        <v>0.40249807348428984</v>
      </c>
    </row>
    <row r="105" spans="1:38" x14ac:dyDescent="0.25">
      <c r="A105" t="s">
        <v>57</v>
      </c>
      <c r="B105" t="s">
        <v>32</v>
      </c>
      <c r="C105" t="s">
        <v>36</v>
      </c>
      <c r="E105">
        <v>124</v>
      </c>
      <c r="G105">
        <v>121</v>
      </c>
      <c r="H105" s="9">
        <f t="shared" si="2"/>
        <v>245</v>
      </c>
      <c r="K105" s="25">
        <f>(Table2[[#This Row],[Home Pace]]/100)*(VLOOKUP(Table2[[#This Row],[Home/Neutral]],home_lookup,8,FALSE)+VLOOKUP(Table2[[#This Row],[Home/Neutral]],OFR_lookup,2,FALSE)+VLOOKUP(Table2[[#This Row],[Visitor/Neutral]],def_diff_lookup,6,FALSE))</f>
        <v>112.02835112001839</v>
      </c>
      <c r="L105" s="25"/>
      <c r="M105" s="25">
        <f>(Table2[[#This Row],[Away Pace]]/100)*(VLOOKUP(Table2[[#This Row],[Visitor/Neutral]],OFR_lookup,2,FALSE)+VLOOKUP(Table2[[#This Row],[Home/Neutral]],def_diff_lookup,6,FALSE))</f>
        <v>110.39712133333336</v>
      </c>
      <c r="N105" s="25"/>
      <c r="O105" s="25"/>
      <c r="P105">
        <f>VLOOKUP(Table2[[#This Row],[Home/Neutral]],pace_lookup,7,FALSE)</f>
        <v>98.6</v>
      </c>
      <c r="Q105" s="5">
        <f>VLOOKUP(Table2[[#This Row],[Visitor/Neutral]],pace_lookup,7,FALSE)</f>
        <v>102.2</v>
      </c>
      <c r="R105" s="9">
        <f t="shared" si="3"/>
        <v>-3</v>
      </c>
      <c r="V105" s="2">
        <f>-home-VLOOKUP(Table2[[#This Row],[Home/Neutral]],rtg_vlookup,4,FALSE)+VLOOKUP(Table2[[#This Row],[Visitor/Neutral]],rtg_vlookup,4,FALSE)</f>
        <v>-6.045118483412331</v>
      </c>
      <c r="W105" s="25"/>
      <c r="X105" s="2"/>
      <c r="Y105" s="2">
        <f>Table2[[#This Row],[Away EV]]-Table2[[#This Row],[Home EV]]</f>
        <v>-1.6312297866850258</v>
      </c>
      <c r="Z105" s="33"/>
      <c r="AA105" s="34"/>
      <c r="AB105" t="b">
        <f>IF(VLOOKUP(Table2[[#This Row],[Home/Neutral]],division_lookup,9,FALSE)=VLOOKUP(Table2[[#This Row],[Visitor/Neutral]],division_lookup,9,FALSE),TRUE,FALSE)</f>
        <v>0</v>
      </c>
      <c r="AC105" s="19" t="str">
        <f>VLOOKUP(Table2[[#This Row],[Home/Neutral]],division_lookup,9,FALSE)</f>
        <v>NW</v>
      </c>
      <c r="AD105" s="19"/>
      <c r="AE105" s="19" t="str">
        <f>IF(Table2[[#This Row],[Total EV ®]]&lt;Table2[[#This Row],[Total (V)]],"UNDER","OVER")</f>
        <v>OVER</v>
      </c>
      <c r="AF105" s="19"/>
      <c r="AG105" s="19"/>
      <c r="AH105" s="2"/>
      <c r="AI105" s="22">
        <f>Table2[[#This Row],[(A)]]-Table2[[#This Row],[Spread]]</f>
        <v>-3.045118483412331</v>
      </c>
      <c r="AJ105" s="1">
        <f>Table2[[#This Row],[(A) Err]]^2</f>
        <v>9.2727465780194152</v>
      </c>
      <c r="AK105" s="6">
        <f>Table2[[#This Row],[EV]]-Table2[[#This Row],[Spread]]</f>
        <v>1.3687702133149742</v>
      </c>
      <c r="AL105" s="1">
        <f>Table2[[#This Row],[EV Err]]^2</f>
        <v>1.8735318968583199</v>
      </c>
    </row>
    <row r="106" spans="1:38" ht="15.75" thickBot="1" x14ac:dyDescent="0.3">
      <c r="A106" s="3" t="s">
        <v>57</v>
      </c>
      <c r="B106" s="3" t="s">
        <v>29</v>
      </c>
      <c r="C106" s="3" t="s">
        <v>34</v>
      </c>
      <c r="D106" s="3"/>
      <c r="E106" s="3">
        <v>102</v>
      </c>
      <c r="F106" s="3"/>
      <c r="G106" s="3">
        <v>94</v>
      </c>
      <c r="H106" s="10">
        <f t="shared" si="2"/>
        <v>196</v>
      </c>
      <c r="I106" s="3"/>
      <c r="J106" s="3"/>
      <c r="K106" s="26">
        <f>(Table2[[#This Row],[Home Pace]]/100)*(VLOOKUP(Table2[[#This Row],[Home/Neutral]],home_lookup,8,FALSE)+VLOOKUP(Table2[[#This Row],[Home/Neutral]],OFR_lookup,2,FALSE)+VLOOKUP(Table2[[#This Row],[Visitor/Neutral]],def_diff_lookup,6,FALSE))</f>
        <v>108.71720926898523</v>
      </c>
      <c r="L106" s="26"/>
      <c r="M106" s="26">
        <f>(Table2[[#This Row],[Away Pace]]/100)*(VLOOKUP(Table2[[#This Row],[Visitor/Neutral]],OFR_lookup,2,FALSE)+VLOOKUP(Table2[[#This Row],[Home/Neutral]],def_diff_lookup,6,FALSE))</f>
        <v>103.08857866666666</v>
      </c>
      <c r="N106" s="26"/>
      <c r="O106" s="26"/>
      <c r="P106" s="3">
        <f>VLOOKUP(Table2[[#This Row],[Home/Neutral]],pace_lookup,7,FALSE)</f>
        <v>93.8</v>
      </c>
      <c r="Q106" s="3">
        <f>VLOOKUP(Table2[[#This Row],[Visitor/Neutral]],pace_lookup,7,FALSE)</f>
        <v>98.8</v>
      </c>
      <c r="R106" s="10">
        <f t="shared" si="3"/>
        <v>-8</v>
      </c>
      <c r="S106" s="3"/>
      <c r="T106" s="3"/>
      <c r="U106" s="3"/>
      <c r="V106" s="12">
        <f>-home-VLOOKUP(Table2[[#This Row],[Home/Neutral]],rtg_vlookup,4,FALSE)+VLOOKUP(Table2[[#This Row],[Visitor/Neutral]],rtg_vlookup,4,FALSE)</f>
        <v>-5.465118483412331</v>
      </c>
      <c r="W106" s="26"/>
      <c r="X106" s="12"/>
      <c r="Y106" s="12">
        <f>Table2[[#This Row],[Away EV]]-Table2[[#This Row],[Home EV]]</f>
        <v>-5.6286306023185659</v>
      </c>
      <c r="Z106" s="35"/>
      <c r="AA106" s="36"/>
      <c r="AB106" s="3" t="b">
        <f>IF(VLOOKUP(Table2[[#This Row],[Home/Neutral]],division_lookup,9,FALSE)=VLOOKUP(Table2[[#This Row],[Visitor/Neutral]],division_lookup,9,FALSE),TRUE,FALSE)</f>
        <v>0</v>
      </c>
      <c r="AC106" s="20" t="str">
        <f>VLOOKUP(Table2[[#This Row],[Home/Neutral]],division_lookup,9,FALSE)</f>
        <v>P</v>
      </c>
      <c r="AD106" s="20"/>
      <c r="AE106" s="20" t="str">
        <f>IF(Table2[[#This Row],[Total EV ®]]&lt;Table2[[#This Row],[Total (V)]],"UNDER","OVER")</f>
        <v>OVER</v>
      </c>
      <c r="AF106" s="20"/>
      <c r="AG106" s="20"/>
      <c r="AH106" s="12"/>
      <c r="AI106" s="23">
        <f>Table2[[#This Row],[(A)]]-Table2[[#This Row],[Spread]]</f>
        <v>2.534881516587669</v>
      </c>
      <c r="AJ106" s="4">
        <f>Table2[[#This Row],[(A) Err]]^2</f>
        <v>6.4256243031378011</v>
      </c>
      <c r="AK106" s="4">
        <f>Table2[[#This Row],[EV]]-Table2[[#This Row],[Spread]]</f>
        <v>2.3713693976814341</v>
      </c>
      <c r="AL106" s="4">
        <f>Table2[[#This Row],[EV Err]]^2</f>
        <v>5.6233928202600074</v>
      </c>
    </row>
    <row r="107" spans="1:38" x14ac:dyDescent="0.25">
      <c r="A107" t="s">
        <v>58</v>
      </c>
      <c r="B107" t="s">
        <v>11</v>
      </c>
      <c r="C107" t="s">
        <v>13</v>
      </c>
      <c r="E107">
        <v>115</v>
      </c>
      <c r="G107">
        <v>107</v>
      </c>
      <c r="H107" s="9">
        <f t="shared" si="2"/>
        <v>222</v>
      </c>
      <c r="K107" s="25">
        <f>(Table2[[#This Row],[Home Pace]]/100)*(VLOOKUP(Table2[[#This Row],[Home/Neutral]],home_lookup,8,FALSE)+VLOOKUP(Table2[[#This Row],[Home/Neutral]],OFR_lookup,2,FALSE)+VLOOKUP(Table2[[#This Row],[Visitor/Neutral]],def_diff_lookup,6,FALSE))</f>
        <v>97.822449044072826</v>
      </c>
      <c r="L107" s="25"/>
      <c r="M107" s="25">
        <f>(Table2[[#This Row],[Away Pace]]/100)*(VLOOKUP(Table2[[#This Row],[Visitor/Neutral]],OFR_lookup,2,FALSE)+VLOOKUP(Table2[[#This Row],[Home/Neutral]],def_diff_lookup,6,FALSE))</f>
        <v>97.770330000000016</v>
      </c>
      <c r="N107" s="25"/>
      <c r="O107" s="25"/>
      <c r="P107">
        <f>VLOOKUP(Table2[[#This Row],[Home/Neutral]],pace_lookup,7,FALSE)</f>
        <v>99.7</v>
      </c>
      <c r="Q107" s="5">
        <f>VLOOKUP(Table2[[#This Row],[Visitor/Neutral]],pace_lookup,7,FALSE)</f>
        <v>94.5</v>
      </c>
      <c r="R107" s="9">
        <f t="shared" si="3"/>
        <v>-8</v>
      </c>
      <c r="V107" s="2">
        <f>-home-VLOOKUP(Table2[[#This Row],[Home/Neutral]],rtg_vlookup,4,FALSE)+VLOOKUP(Table2[[#This Row],[Visitor/Neutral]],rtg_vlookup,4,FALSE)</f>
        <v>-3.4051184834123314</v>
      </c>
      <c r="W107" s="25"/>
      <c r="X107" s="2"/>
      <c r="Y107" s="2">
        <f>Table2[[#This Row],[Away EV]]-Table2[[#This Row],[Home EV]]</f>
        <v>-5.2119044072810539E-2</v>
      </c>
      <c r="Z107" s="33"/>
      <c r="AA107" s="34"/>
      <c r="AB107" t="b">
        <f>IF(VLOOKUP(Table2[[#This Row],[Home/Neutral]],division_lookup,9,FALSE)=VLOOKUP(Table2[[#This Row],[Visitor/Neutral]],division_lookup,9,FALSE),TRUE,FALSE)</f>
        <v>0</v>
      </c>
      <c r="AC107" s="19" t="str">
        <f>VLOOKUP(Table2[[#This Row],[Home/Neutral]],division_lookup,9,FALSE)</f>
        <v>SE</v>
      </c>
      <c r="AD107" s="19"/>
      <c r="AE107" s="19" t="str">
        <f>IF(Table2[[#This Row],[Total EV ®]]&lt;Table2[[#This Row],[Total (V)]],"UNDER","OVER")</f>
        <v>OVER</v>
      </c>
      <c r="AF107" s="19"/>
      <c r="AG107" s="19"/>
      <c r="AH107" s="2"/>
      <c r="AI107" s="22">
        <f>Table2[[#This Row],[(A)]]-Table2[[#This Row],[Spread]]</f>
        <v>4.5948815165876686</v>
      </c>
      <c r="AJ107" s="1">
        <f>Table2[[#This Row],[(A) Err]]^2</f>
        <v>21.112936151478994</v>
      </c>
      <c r="AK107" s="6">
        <f>Table2[[#This Row],[EV]]-Table2[[#This Row],[Spread]]</f>
        <v>7.9478809559271895</v>
      </c>
      <c r="AL107" s="1">
        <f>Table2[[#This Row],[EV Err]]^2</f>
        <v>63.168811689590093</v>
      </c>
    </row>
    <row r="108" spans="1:38" x14ac:dyDescent="0.25">
      <c r="A108" t="s">
        <v>58</v>
      </c>
      <c r="B108" t="s">
        <v>16</v>
      </c>
      <c r="C108" t="s">
        <v>20</v>
      </c>
      <c r="E108">
        <v>104</v>
      </c>
      <c r="G108">
        <v>98</v>
      </c>
      <c r="H108" s="9">
        <f t="shared" si="2"/>
        <v>202</v>
      </c>
      <c r="K108" s="25">
        <f>(Table2[[#This Row],[Home Pace]]/100)*(VLOOKUP(Table2[[#This Row],[Home/Neutral]],home_lookup,8,FALSE)+VLOOKUP(Table2[[#This Row],[Home/Neutral]],OFR_lookup,2,FALSE)+VLOOKUP(Table2[[#This Row],[Visitor/Neutral]],def_diff_lookup,6,FALSE))</f>
        <v>102.29060601115951</v>
      </c>
      <c r="L108" s="25"/>
      <c r="M108" s="25">
        <f>(Table2[[#This Row],[Away Pace]]/100)*(VLOOKUP(Table2[[#This Row],[Visitor/Neutral]],OFR_lookup,2,FALSE)+VLOOKUP(Table2[[#This Row],[Home/Neutral]],def_diff_lookup,6,FALSE))</f>
        <v>95.291076000000018</v>
      </c>
      <c r="N108" s="25"/>
      <c r="O108" s="25"/>
      <c r="P108">
        <f>VLOOKUP(Table2[[#This Row],[Home/Neutral]],pace_lookup,7,FALSE)</f>
        <v>97.5</v>
      </c>
      <c r="Q108" s="5">
        <f>VLOOKUP(Table2[[#This Row],[Visitor/Neutral]],pace_lookup,7,FALSE)</f>
        <v>90.9</v>
      </c>
      <c r="R108" s="9">
        <f t="shared" si="3"/>
        <v>-6</v>
      </c>
      <c r="V108" s="2">
        <f>-home-VLOOKUP(Table2[[#This Row],[Home/Neutral]],rtg_vlookup,4,FALSE)+VLOOKUP(Table2[[#This Row],[Visitor/Neutral]],rtg_vlookup,4,FALSE)</f>
        <v>-3.6051184834123307</v>
      </c>
      <c r="W108" s="25"/>
      <c r="X108" s="2"/>
      <c r="Y108" s="2">
        <f>Table2[[#This Row],[Away EV]]-Table2[[#This Row],[Home EV]]</f>
        <v>-6.9995300111594929</v>
      </c>
      <c r="Z108" s="33"/>
      <c r="AA108" s="34"/>
      <c r="AB108" t="b">
        <f>IF(VLOOKUP(Table2[[#This Row],[Home/Neutral]],division_lookup,9,FALSE)=VLOOKUP(Table2[[#This Row],[Visitor/Neutral]],division_lookup,9,FALSE),TRUE,FALSE)</f>
        <v>0</v>
      </c>
      <c r="AC108" s="19" t="str">
        <f>VLOOKUP(Table2[[#This Row],[Home/Neutral]],division_lookup,9,FALSE)</f>
        <v>SE</v>
      </c>
      <c r="AD108" s="19"/>
      <c r="AE108" s="19" t="str">
        <f>IF(Table2[[#This Row],[Total EV ®]]&lt;Table2[[#This Row],[Total (V)]],"UNDER","OVER")</f>
        <v>OVER</v>
      </c>
      <c r="AF108" s="19"/>
      <c r="AG108" s="19"/>
      <c r="AH108" s="2"/>
      <c r="AI108" s="22">
        <f>Table2[[#This Row],[(A)]]-Table2[[#This Row],[Spread]]</f>
        <v>2.3948815165876693</v>
      </c>
      <c r="AJ108" s="1">
        <f>Table2[[#This Row],[(A) Err]]^2</f>
        <v>5.735457478493255</v>
      </c>
      <c r="AK108" s="6">
        <f>Table2[[#This Row],[EV]]-Table2[[#This Row],[Spread]]</f>
        <v>-0.99953001115949291</v>
      </c>
      <c r="AL108" s="1">
        <f>Table2[[#This Row],[EV Err]]^2</f>
        <v>0.99906024320849607</v>
      </c>
    </row>
    <row r="109" spans="1:38" x14ac:dyDescent="0.25">
      <c r="A109" t="s">
        <v>58</v>
      </c>
      <c r="B109" t="s">
        <v>10</v>
      </c>
      <c r="C109" t="s">
        <v>37</v>
      </c>
      <c r="E109">
        <v>116</v>
      </c>
      <c r="G109">
        <v>95</v>
      </c>
      <c r="H109" s="9">
        <f t="shared" si="2"/>
        <v>211</v>
      </c>
      <c r="K109" s="25">
        <f>(Table2[[#This Row],[Home Pace]]/100)*(VLOOKUP(Table2[[#This Row],[Home/Neutral]],home_lookup,8,FALSE)+VLOOKUP(Table2[[#This Row],[Home/Neutral]],OFR_lookup,2,FALSE)+VLOOKUP(Table2[[#This Row],[Visitor/Neutral]],def_diff_lookup,6,FALSE))</f>
        <v>104.12715853790561</v>
      </c>
      <c r="L109" s="25"/>
      <c r="M109" s="25">
        <f>(Table2[[#This Row],[Away Pace]]/100)*(VLOOKUP(Table2[[#This Row],[Visitor/Neutral]],OFR_lookup,2,FALSE)+VLOOKUP(Table2[[#This Row],[Home/Neutral]],def_diff_lookup,6,FALSE))</f>
        <v>89.641543999999996</v>
      </c>
      <c r="N109" s="25"/>
      <c r="O109" s="25"/>
      <c r="P109">
        <f>VLOOKUP(Table2[[#This Row],[Home/Neutral]],pace_lookup,7,FALSE)</f>
        <v>100.3</v>
      </c>
      <c r="Q109" s="5">
        <f>VLOOKUP(Table2[[#This Row],[Visitor/Neutral]],pace_lookup,7,FALSE)</f>
        <v>92.1</v>
      </c>
      <c r="R109" s="9">
        <f t="shared" si="3"/>
        <v>-21</v>
      </c>
      <c r="V109" s="2">
        <f>-home-VLOOKUP(Table2[[#This Row],[Home/Neutral]],rtg_vlookup,4,FALSE)+VLOOKUP(Table2[[#This Row],[Visitor/Neutral]],rtg_vlookup,4,FALSE)</f>
        <v>-18.685118483412332</v>
      </c>
      <c r="W109" s="25"/>
      <c r="X109" s="2"/>
      <c r="Y109" s="2">
        <f>Table2[[#This Row],[Away EV]]-Table2[[#This Row],[Home EV]]</f>
        <v>-14.485614537905619</v>
      </c>
      <c r="Z109" s="33"/>
      <c r="AA109" s="34"/>
      <c r="AB109" t="b">
        <f>IF(VLOOKUP(Table2[[#This Row],[Home/Neutral]],division_lookup,9,FALSE)=VLOOKUP(Table2[[#This Row],[Visitor/Neutral]],division_lookup,9,FALSE),TRUE,FALSE)</f>
        <v>0</v>
      </c>
      <c r="AC109" s="19" t="str">
        <f>VLOOKUP(Table2[[#This Row],[Home/Neutral]],division_lookup,9,FALSE)</f>
        <v>P</v>
      </c>
      <c r="AD109" s="19"/>
      <c r="AE109" s="19" t="str">
        <f>IF(Table2[[#This Row],[Total EV ®]]&lt;Table2[[#This Row],[Total (V)]],"UNDER","OVER")</f>
        <v>OVER</v>
      </c>
      <c r="AF109" s="19"/>
      <c r="AG109" s="19"/>
      <c r="AH109" s="2"/>
      <c r="AI109" s="22">
        <f>Table2[[#This Row],[(A)]]-Table2[[#This Row],[Spread]]</f>
        <v>2.3148815165876684</v>
      </c>
      <c r="AJ109" s="1">
        <f>Table2[[#This Row],[(A) Err]]^2</f>
        <v>5.3586764358392234</v>
      </c>
      <c r="AK109" s="6">
        <f>Table2[[#This Row],[EV]]-Table2[[#This Row],[Spread]]</f>
        <v>6.5143854620943813</v>
      </c>
      <c r="AL109" s="1">
        <f>Table2[[#This Row],[EV Err]]^2</f>
        <v>42.437217948746628</v>
      </c>
    </row>
    <row r="110" spans="1:38" x14ac:dyDescent="0.25">
      <c r="A110" t="s">
        <v>58</v>
      </c>
      <c r="B110" t="s">
        <v>33</v>
      </c>
      <c r="C110" t="s">
        <v>39</v>
      </c>
      <c r="E110">
        <v>122</v>
      </c>
      <c r="G110">
        <v>115</v>
      </c>
      <c r="H110" s="9">
        <f t="shared" si="2"/>
        <v>237</v>
      </c>
      <c r="K110" s="25">
        <f>(Table2[[#This Row],[Home Pace]]/100)*(VLOOKUP(Table2[[#This Row],[Home/Neutral]],home_lookup,8,FALSE)+VLOOKUP(Table2[[#This Row],[Home/Neutral]],OFR_lookup,2,FALSE)+VLOOKUP(Table2[[#This Row],[Visitor/Neutral]],def_diff_lookup,6,FALSE))</f>
        <v>110.48463852057506</v>
      </c>
      <c r="L110" s="25"/>
      <c r="M110" s="25">
        <f>(Table2[[#This Row],[Away Pace]]/100)*(VLOOKUP(Table2[[#This Row],[Visitor/Neutral]],OFR_lookup,2,FALSE)+VLOOKUP(Table2[[#This Row],[Home/Neutral]],def_diff_lookup,6,FALSE))</f>
        <v>99.977150000000009</v>
      </c>
      <c r="N110" s="25"/>
      <c r="O110" s="25"/>
      <c r="P110">
        <f>VLOOKUP(Table2[[#This Row],[Home/Neutral]],pace_lookup,7,FALSE)</f>
        <v>98.2</v>
      </c>
      <c r="Q110" s="5">
        <f>VLOOKUP(Table2[[#This Row],[Visitor/Neutral]],pace_lookup,7,FALSE)</f>
        <v>97.5</v>
      </c>
      <c r="R110" s="9">
        <f t="shared" si="3"/>
        <v>-7</v>
      </c>
      <c r="V110" s="2">
        <f>-home-VLOOKUP(Table2[[#This Row],[Home/Neutral]],rtg_vlookup,4,FALSE)+VLOOKUP(Table2[[#This Row],[Visitor/Neutral]],rtg_vlookup,4,FALSE)</f>
        <v>-6.7551184834123301</v>
      </c>
      <c r="W110" s="25"/>
      <c r="X110" s="2"/>
      <c r="Y110" s="2">
        <f>Table2[[#This Row],[Away EV]]-Table2[[#This Row],[Home EV]]</f>
        <v>-10.507488520575052</v>
      </c>
      <c r="Z110" s="33"/>
      <c r="AA110" s="34"/>
      <c r="AB110" t="b">
        <f>IF(VLOOKUP(Table2[[#This Row],[Home/Neutral]],division_lookup,9,FALSE)=VLOOKUP(Table2[[#This Row],[Visitor/Neutral]],division_lookup,9,FALSE),TRUE,FALSE)</f>
        <v>0</v>
      </c>
      <c r="AC110" s="19" t="str">
        <f>VLOOKUP(Table2[[#This Row],[Home/Neutral]],division_lookup,9,FALSE)</f>
        <v>C</v>
      </c>
      <c r="AD110" s="19"/>
      <c r="AE110" s="19" t="str">
        <f>IF(Table2[[#This Row],[Total EV ®]]&lt;Table2[[#This Row],[Total (V)]],"UNDER","OVER")</f>
        <v>OVER</v>
      </c>
      <c r="AF110" s="19"/>
      <c r="AG110" s="19"/>
      <c r="AH110" s="2"/>
      <c r="AI110" s="22">
        <f>Table2[[#This Row],[(A)]]-Table2[[#This Row],[Spread]]</f>
        <v>0.24488151658766988</v>
      </c>
      <c r="AJ110" s="1">
        <f>Table2[[#This Row],[(A) Err]]^2</f>
        <v>5.9966957166277236E-2</v>
      </c>
      <c r="AK110" s="6">
        <f>Table2[[#This Row],[EV]]-Table2[[#This Row],[Spread]]</f>
        <v>-3.5074885205750519</v>
      </c>
      <c r="AL110" s="1">
        <f>Table2[[#This Row],[EV Err]]^2</f>
        <v>12.302475721965767</v>
      </c>
    </row>
    <row r="111" spans="1:38" x14ac:dyDescent="0.25">
      <c r="A111" t="s">
        <v>58</v>
      </c>
      <c r="B111" t="s">
        <v>4</v>
      </c>
      <c r="C111" t="s">
        <v>32</v>
      </c>
      <c r="E111">
        <v>111</v>
      </c>
      <c r="G111">
        <v>80</v>
      </c>
      <c r="H111" s="9">
        <f t="shared" si="2"/>
        <v>191</v>
      </c>
      <c r="K111" s="25">
        <f>(Table2[[#This Row],[Home Pace]]/100)*(VLOOKUP(Table2[[#This Row],[Home/Neutral]],home_lookup,8,FALSE)+VLOOKUP(Table2[[#This Row],[Home/Neutral]],OFR_lookup,2,FALSE)+VLOOKUP(Table2[[#This Row],[Visitor/Neutral]],def_diff_lookup,6,FALSE))</f>
        <v>107.19870781393445</v>
      </c>
      <c r="L111" s="25"/>
      <c r="M111" s="25">
        <f>(Table2[[#This Row],[Away Pace]]/100)*(VLOOKUP(Table2[[#This Row],[Visitor/Neutral]],OFR_lookup,2,FALSE)+VLOOKUP(Table2[[#This Row],[Home/Neutral]],def_diff_lookup,6,FALSE))</f>
        <v>100.95719733333334</v>
      </c>
      <c r="N111" s="25"/>
      <c r="O111" s="25"/>
      <c r="P111">
        <f>VLOOKUP(Table2[[#This Row],[Home/Neutral]],pace_lookup,7,FALSE)</f>
        <v>96.6</v>
      </c>
      <c r="Q111" s="5">
        <f>VLOOKUP(Table2[[#This Row],[Visitor/Neutral]],pace_lookup,7,FALSE)</f>
        <v>98.6</v>
      </c>
      <c r="R111" s="9">
        <f t="shared" si="3"/>
        <v>-31</v>
      </c>
      <c r="V111" s="2">
        <f>-home-VLOOKUP(Table2[[#This Row],[Home/Neutral]],rtg_vlookup,4,FALSE)+VLOOKUP(Table2[[#This Row],[Visitor/Neutral]],rtg_vlookup,4,FALSE)</f>
        <v>-20.24511848341233</v>
      </c>
      <c r="W111" s="25"/>
      <c r="X111" s="2"/>
      <c r="Y111" s="2">
        <f>Table2[[#This Row],[Away EV]]-Table2[[#This Row],[Home EV]]</f>
        <v>-6.2415104806011072</v>
      </c>
      <c r="Z111" s="33"/>
      <c r="AA111" s="34"/>
      <c r="AB111" t="b">
        <f>IF(VLOOKUP(Table2[[#This Row],[Home/Neutral]],division_lookup,9,FALSE)=VLOOKUP(Table2[[#This Row],[Visitor/Neutral]],division_lookup,9,FALSE),TRUE,FALSE)</f>
        <v>0</v>
      </c>
      <c r="AC111" s="19" t="str">
        <f>VLOOKUP(Table2[[#This Row],[Home/Neutral]],division_lookup,9,FALSE)</f>
        <v>P</v>
      </c>
      <c r="AD111" s="19"/>
      <c r="AE111" s="19" t="str">
        <f>IF(Table2[[#This Row],[Total EV ®]]&lt;Table2[[#This Row],[Total (V)]],"UNDER","OVER")</f>
        <v>OVER</v>
      </c>
      <c r="AF111" s="19"/>
      <c r="AG111" s="19"/>
      <c r="AH111" s="2"/>
      <c r="AI111" s="22">
        <f>Table2[[#This Row],[(A)]]-Table2[[#This Row],[Spread]]</f>
        <v>10.75488151658767</v>
      </c>
      <c r="AJ111" s="1">
        <f>Table2[[#This Row],[(A) Err]]^2</f>
        <v>115.66747643583909</v>
      </c>
      <c r="AK111" s="6">
        <f>Table2[[#This Row],[EV]]-Table2[[#This Row],[Spread]]</f>
        <v>24.758489519398893</v>
      </c>
      <c r="AL111" s="1">
        <f>Table2[[#This Row],[EV Err]]^2</f>
        <v>612.98280328218482</v>
      </c>
    </row>
    <row r="112" spans="1:38" x14ac:dyDescent="0.25">
      <c r="A112" t="s">
        <v>58</v>
      </c>
      <c r="B112" t="s">
        <v>31</v>
      </c>
      <c r="C112" t="s">
        <v>35</v>
      </c>
      <c r="E112">
        <v>110</v>
      </c>
      <c r="G112">
        <v>96</v>
      </c>
      <c r="H112" s="9">
        <f t="shared" si="2"/>
        <v>206</v>
      </c>
      <c r="K112" s="25">
        <f>(Table2[[#This Row],[Home Pace]]/100)*(VLOOKUP(Table2[[#This Row],[Home/Neutral]],home_lookup,8,FALSE)+VLOOKUP(Table2[[#This Row],[Home/Neutral]],OFR_lookup,2,FALSE)+VLOOKUP(Table2[[#This Row],[Visitor/Neutral]],def_diff_lookup,6,FALSE))</f>
        <v>113.7789743021789</v>
      </c>
      <c r="L112" s="25"/>
      <c r="M112" s="25">
        <f>(Table2[[#This Row],[Away Pace]]/100)*(VLOOKUP(Table2[[#This Row],[Visitor/Neutral]],OFR_lookup,2,FALSE)+VLOOKUP(Table2[[#This Row],[Home/Neutral]],def_diff_lookup,6,FALSE))</f>
        <v>110.67306133333335</v>
      </c>
      <c r="N112" s="25"/>
      <c r="O112" s="25"/>
      <c r="P112">
        <f>VLOOKUP(Table2[[#This Row],[Home/Neutral]],pace_lookup,7,FALSE)</f>
        <v>96</v>
      </c>
      <c r="Q112" s="5">
        <f>VLOOKUP(Table2[[#This Row],[Visitor/Neutral]],pace_lookup,7,FALSE)</f>
        <v>102.2</v>
      </c>
      <c r="R112" s="9">
        <f t="shared" si="3"/>
        <v>-14</v>
      </c>
      <c r="V112" s="2">
        <f>-home-VLOOKUP(Table2[[#This Row],[Home/Neutral]],rtg_vlookup,4,FALSE)+VLOOKUP(Table2[[#This Row],[Visitor/Neutral]],rtg_vlookup,4,FALSE)</f>
        <v>-6.7951184834123302</v>
      </c>
      <c r="W112" s="25"/>
      <c r="X112" s="2"/>
      <c r="Y112" s="2">
        <f>Table2[[#This Row],[Away EV]]-Table2[[#This Row],[Home EV]]</f>
        <v>-3.1059129688455442</v>
      </c>
      <c r="Z112" s="33"/>
      <c r="AA112" s="34"/>
      <c r="AB112" t="b">
        <f>IF(VLOOKUP(Table2[[#This Row],[Home/Neutral]],division_lookup,9,FALSE)=VLOOKUP(Table2[[#This Row],[Visitor/Neutral]],division_lookup,9,FALSE),TRUE,FALSE)</f>
        <v>1</v>
      </c>
      <c r="AC112" s="19" t="str">
        <f>VLOOKUP(Table2[[#This Row],[Home/Neutral]],division_lookup,9,FALSE)</f>
        <v>A</v>
      </c>
      <c r="AD112" s="19"/>
      <c r="AE112" s="19" t="str">
        <f>IF(Table2[[#This Row],[Total EV ®]]&lt;Table2[[#This Row],[Total (V)]],"UNDER","OVER")</f>
        <v>OVER</v>
      </c>
      <c r="AF112" s="19"/>
      <c r="AG112" s="19"/>
      <c r="AH112" s="2"/>
      <c r="AI112" s="22">
        <f>Table2[[#This Row],[(A)]]-Table2[[#This Row],[Spread]]</f>
        <v>7.2048815165876698</v>
      </c>
      <c r="AJ112" s="1">
        <f>Table2[[#This Row],[(A) Err]]^2</f>
        <v>51.910317668066639</v>
      </c>
      <c r="AK112" s="6">
        <f>Table2[[#This Row],[EV]]-Table2[[#This Row],[Spread]]</f>
        <v>10.894087031154456</v>
      </c>
      <c r="AL112" s="1">
        <f>Table2[[#This Row],[EV Err]]^2</f>
        <v>118.68113224236771</v>
      </c>
    </row>
    <row r="113" spans="1:38" x14ac:dyDescent="0.25">
      <c r="A113" t="s">
        <v>58</v>
      </c>
      <c r="B113" t="s">
        <v>18</v>
      </c>
      <c r="C113" t="s">
        <v>14</v>
      </c>
      <c r="E113">
        <v>102</v>
      </c>
      <c r="G113">
        <v>112</v>
      </c>
      <c r="H113" s="9">
        <f t="shared" si="2"/>
        <v>214</v>
      </c>
      <c r="K113" s="25">
        <f>(Table2[[#This Row],[Home Pace]]/100)*(VLOOKUP(Table2[[#This Row],[Home/Neutral]],home_lookup,8,FALSE)+VLOOKUP(Table2[[#This Row],[Home/Neutral]],OFR_lookup,2,FALSE)+VLOOKUP(Table2[[#This Row],[Visitor/Neutral]],def_diff_lookup,6,FALSE))</f>
        <v>104.75580616021132</v>
      </c>
      <c r="L113" s="25"/>
      <c r="M113" s="25">
        <f>(Table2[[#This Row],[Away Pace]]/100)*(VLOOKUP(Table2[[#This Row],[Visitor/Neutral]],OFR_lookup,2,FALSE)+VLOOKUP(Table2[[#This Row],[Home/Neutral]],def_diff_lookup,6,FALSE))</f>
        <v>104.53163933333335</v>
      </c>
      <c r="N113" s="25"/>
      <c r="O113" s="25"/>
      <c r="P113">
        <f>VLOOKUP(Table2[[#This Row],[Home/Neutral]],pace_lookup,7,FALSE)</f>
        <v>99.5</v>
      </c>
      <c r="Q113" s="5">
        <f>VLOOKUP(Table2[[#This Row],[Visitor/Neutral]],pace_lookup,7,FALSE)</f>
        <v>95.9</v>
      </c>
      <c r="R113" s="9">
        <f t="shared" si="3"/>
        <v>10</v>
      </c>
      <c r="V113" s="2">
        <f>-home-VLOOKUP(Table2[[#This Row],[Home/Neutral]],rtg_vlookup,4,FALSE)+VLOOKUP(Table2[[#This Row],[Visitor/Neutral]],rtg_vlookup,4,FALSE)</f>
        <v>-8.5118483412331081E-2</v>
      </c>
      <c r="W113" s="25"/>
      <c r="X113" s="2"/>
      <c r="Y113" s="2">
        <f>Table2[[#This Row],[Away EV]]-Table2[[#This Row],[Home EV]]</f>
        <v>-0.22416682687797618</v>
      </c>
      <c r="Z113" s="33"/>
      <c r="AA113" s="34"/>
      <c r="AB113" t="b">
        <f>IF(VLOOKUP(Table2[[#This Row],[Home/Neutral]],division_lookup,9,FALSE)=VLOOKUP(Table2[[#This Row],[Visitor/Neutral]],division_lookup,9,FALSE),TRUE,FALSE)</f>
        <v>0</v>
      </c>
      <c r="AC113" s="19" t="str">
        <f>VLOOKUP(Table2[[#This Row],[Home/Neutral]],division_lookup,9,FALSE)</f>
        <v>NW</v>
      </c>
      <c r="AD113" s="19"/>
      <c r="AE113" s="19" t="str">
        <f>IF(Table2[[#This Row],[Total EV ®]]&lt;Table2[[#This Row],[Total (V)]],"UNDER","OVER")</f>
        <v>OVER</v>
      </c>
      <c r="AF113" s="19"/>
      <c r="AG113" s="19"/>
      <c r="AH113" s="2"/>
      <c r="AI113" s="22">
        <f>Table2[[#This Row],[(A)]]-Table2[[#This Row],[Spread]]</f>
        <v>-10.08511848341233</v>
      </c>
      <c r="AJ113" s="1">
        <f>Table2[[#This Row],[(A) Err]]^2</f>
        <v>101.70961482446502</v>
      </c>
      <c r="AK113" s="6">
        <f>Table2[[#This Row],[EV]]-Table2[[#This Row],[Spread]]</f>
        <v>-10.224166826877976</v>
      </c>
      <c r="AL113" s="1">
        <f>Table2[[#This Row],[EV Err]]^2</f>
        <v>104.53358730383206</v>
      </c>
    </row>
    <row r="114" spans="1:38" x14ac:dyDescent="0.25">
      <c r="A114" t="s">
        <v>58</v>
      </c>
      <c r="B114" t="s">
        <v>38</v>
      </c>
      <c r="C114" t="s">
        <v>22</v>
      </c>
      <c r="E114">
        <v>107</v>
      </c>
      <c r="G114">
        <v>123</v>
      </c>
      <c r="H114" s="9">
        <f t="shared" si="2"/>
        <v>230</v>
      </c>
      <c r="K114" s="25">
        <f>(Table2[[#This Row],[Home Pace]]/100)*(VLOOKUP(Table2[[#This Row],[Home/Neutral]],home_lookup,8,FALSE)+VLOOKUP(Table2[[#This Row],[Home/Neutral]],OFR_lookup,2,FALSE)+VLOOKUP(Table2[[#This Row],[Visitor/Neutral]],def_diff_lookup,6,FALSE))</f>
        <v>109.7928916789148</v>
      </c>
      <c r="L114" s="25"/>
      <c r="M114" s="25">
        <f>(Table2[[#This Row],[Away Pace]]/100)*(VLOOKUP(Table2[[#This Row],[Visitor/Neutral]],OFR_lookup,2,FALSE)+VLOOKUP(Table2[[#This Row],[Home/Neutral]],def_diff_lookup,6,FALSE))</f>
        <v>106.39608133333336</v>
      </c>
      <c r="N114" s="25"/>
      <c r="O114" s="25"/>
      <c r="P114">
        <f>VLOOKUP(Table2[[#This Row],[Home/Neutral]],pace_lookup,7,FALSE)</f>
        <v>94.2</v>
      </c>
      <c r="Q114" s="5">
        <f>VLOOKUP(Table2[[#This Row],[Visitor/Neutral]],pace_lookup,7,FALSE)</f>
        <v>94.7</v>
      </c>
      <c r="R114" s="9">
        <f t="shared" si="3"/>
        <v>16</v>
      </c>
      <c r="V114" s="2">
        <f>-home-VLOOKUP(Table2[[#This Row],[Home/Neutral]],rtg_vlookup,4,FALSE)+VLOOKUP(Table2[[#This Row],[Visitor/Neutral]],rtg_vlookup,4,FALSE)</f>
        <v>6.8748815165876689</v>
      </c>
      <c r="W114" s="25"/>
      <c r="X114" s="2"/>
      <c r="Y114" s="2">
        <f>Table2[[#This Row],[Away EV]]-Table2[[#This Row],[Home EV]]</f>
        <v>-3.3968103455814429</v>
      </c>
      <c r="Z114" s="33"/>
      <c r="AA114" s="34"/>
      <c r="AB114" t="b">
        <f>IF(VLOOKUP(Table2[[#This Row],[Home/Neutral]],division_lookup,9,FALSE)=VLOOKUP(Table2[[#This Row],[Visitor/Neutral]],division_lookup,9,FALSE),TRUE,FALSE)</f>
        <v>0</v>
      </c>
      <c r="AC114" s="19" t="str">
        <f>VLOOKUP(Table2[[#This Row],[Home/Neutral]],division_lookup,9,FALSE)</f>
        <v>SE</v>
      </c>
      <c r="AD114" s="19"/>
      <c r="AE114" s="19" t="str">
        <f>IF(Table2[[#This Row],[Total EV ®]]&lt;Table2[[#This Row],[Total (V)]],"UNDER","OVER")</f>
        <v>OVER</v>
      </c>
      <c r="AF114" s="19"/>
      <c r="AG114" s="19"/>
      <c r="AH114" s="2"/>
      <c r="AI114" s="22">
        <f>Table2[[#This Row],[(A)]]-Table2[[#This Row],[Spread]]</f>
        <v>-9.1251184834123311</v>
      </c>
      <c r="AJ114" s="1">
        <f>Table2[[#This Row],[(A) Err]]^2</f>
        <v>83.267787336313361</v>
      </c>
      <c r="AK114" s="6">
        <f>Table2[[#This Row],[EV]]-Table2[[#This Row],[Spread]]</f>
        <v>-19.396810345581443</v>
      </c>
      <c r="AL114" s="1">
        <f>Table2[[#This Row],[EV Err]]^2</f>
        <v>376.23625158245528</v>
      </c>
    </row>
    <row r="115" spans="1:38" x14ac:dyDescent="0.25">
      <c r="A115" t="s">
        <v>58</v>
      </c>
      <c r="B115" t="s">
        <v>36</v>
      </c>
      <c r="C115" t="s">
        <v>25</v>
      </c>
      <c r="E115">
        <v>107</v>
      </c>
      <c r="G115">
        <v>100</v>
      </c>
      <c r="H115" s="9">
        <f t="shared" si="2"/>
        <v>207</v>
      </c>
      <c r="K115" s="25">
        <f>(Table2[[#This Row],[Home Pace]]/100)*(VLOOKUP(Table2[[#This Row],[Home/Neutral]],home_lookup,8,FALSE)+VLOOKUP(Table2[[#This Row],[Home/Neutral]],OFR_lookup,2,FALSE)+VLOOKUP(Table2[[#This Row],[Visitor/Neutral]],def_diff_lookup,6,FALSE))</f>
        <v>103.71121156604043</v>
      </c>
      <c r="L115" s="25"/>
      <c r="M115" s="25">
        <f>(Table2[[#This Row],[Away Pace]]/100)*(VLOOKUP(Table2[[#This Row],[Visitor/Neutral]],OFR_lookup,2,FALSE)+VLOOKUP(Table2[[#This Row],[Home/Neutral]],def_diff_lookup,6,FALSE))</f>
        <v>99.554869333333343</v>
      </c>
      <c r="N115" s="25"/>
      <c r="O115" s="25"/>
      <c r="P115">
        <f>VLOOKUP(Table2[[#This Row],[Home/Neutral]],pace_lookup,7,FALSE)</f>
        <v>102.2</v>
      </c>
      <c r="Q115" s="5">
        <f>VLOOKUP(Table2[[#This Row],[Visitor/Neutral]],pace_lookup,7,FALSE)</f>
        <v>94.4</v>
      </c>
      <c r="R115" s="9">
        <f t="shared" si="3"/>
        <v>-7</v>
      </c>
      <c r="V115" s="2">
        <f>-home-VLOOKUP(Table2[[#This Row],[Home/Neutral]],rtg_vlookup,4,FALSE)+VLOOKUP(Table2[[#This Row],[Visitor/Neutral]],rtg_vlookup,4,FALSE)</f>
        <v>3.4648815165876696</v>
      </c>
      <c r="W115" s="25"/>
      <c r="X115" s="2"/>
      <c r="Y115" s="2">
        <f>Table2[[#This Row],[Away EV]]-Table2[[#This Row],[Home EV]]</f>
        <v>-4.1563422327070896</v>
      </c>
      <c r="Z115" s="33"/>
      <c r="AA115" s="34"/>
      <c r="AB115" t="b">
        <f>IF(VLOOKUP(Table2[[#This Row],[Home/Neutral]],division_lookup,9,FALSE)=VLOOKUP(Table2[[#This Row],[Visitor/Neutral]],division_lookup,9,FALSE),TRUE,FALSE)</f>
        <v>0</v>
      </c>
      <c r="AC115" s="19" t="str">
        <f>VLOOKUP(Table2[[#This Row],[Home/Neutral]],division_lookup,9,FALSE)</f>
        <v>P</v>
      </c>
      <c r="AD115" s="19"/>
      <c r="AE115" s="19" t="str">
        <f>IF(Table2[[#This Row],[Total EV ®]]&lt;Table2[[#This Row],[Total (V)]],"UNDER","OVER")</f>
        <v>OVER</v>
      </c>
      <c r="AF115" s="19"/>
      <c r="AG115" s="19"/>
      <c r="AH115" s="2"/>
      <c r="AI115" s="22">
        <f>Table2[[#This Row],[(A)]]-Table2[[#This Row],[Spread]]</f>
        <v>10.464881516587671</v>
      </c>
      <c r="AJ115" s="1">
        <f>Table2[[#This Row],[(A) Err]]^2</f>
        <v>109.51374515621826</v>
      </c>
      <c r="AK115" s="6">
        <f>Table2[[#This Row],[EV]]-Table2[[#This Row],[Spread]]</f>
        <v>2.8436577672929104</v>
      </c>
      <c r="AL115" s="1">
        <f>Table2[[#This Row],[EV Err]]^2</f>
        <v>8.0863894974852997</v>
      </c>
    </row>
    <row r="116" spans="1:38" x14ac:dyDescent="0.25">
      <c r="A116" t="s">
        <v>58</v>
      </c>
      <c r="B116" t="s">
        <v>6</v>
      </c>
      <c r="C116" t="s">
        <v>17</v>
      </c>
      <c r="E116">
        <v>99</v>
      </c>
      <c r="G116">
        <v>101</v>
      </c>
      <c r="H116" s="9">
        <f t="shared" si="2"/>
        <v>200</v>
      </c>
      <c r="K116" s="25">
        <f>(Table2[[#This Row],[Home Pace]]/100)*(VLOOKUP(Table2[[#This Row],[Home/Neutral]],home_lookup,8,FALSE)+VLOOKUP(Table2[[#This Row],[Home/Neutral]],OFR_lookup,2,FALSE)+VLOOKUP(Table2[[#This Row],[Visitor/Neutral]],def_diff_lookup,6,FALSE))</f>
        <v>106.08524787062244</v>
      </c>
      <c r="L116" s="25"/>
      <c r="M116" s="25">
        <f>(Table2[[#This Row],[Away Pace]]/100)*(VLOOKUP(Table2[[#This Row],[Visitor/Neutral]],OFR_lookup,2,FALSE)+VLOOKUP(Table2[[#This Row],[Home/Neutral]],def_diff_lookup,6,FALSE))</f>
        <v>107.85015466666668</v>
      </c>
      <c r="N116" s="25"/>
      <c r="O116" s="25"/>
      <c r="P116">
        <f>VLOOKUP(Table2[[#This Row],[Home/Neutral]],pace_lookup,7,FALSE)</f>
        <v>93.1</v>
      </c>
      <c r="Q116" s="5">
        <f>VLOOKUP(Table2[[#This Row],[Visitor/Neutral]],pace_lookup,7,FALSE)</f>
        <v>96.7</v>
      </c>
      <c r="R116" s="9">
        <f t="shared" si="3"/>
        <v>2</v>
      </c>
      <c r="V116" s="2">
        <f>-home-VLOOKUP(Table2[[#This Row],[Home/Neutral]],rtg_vlookup,4,FALSE)+VLOOKUP(Table2[[#This Row],[Visitor/Neutral]],rtg_vlookup,4,FALSE)</f>
        <v>-5.4851184834123305</v>
      </c>
      <c r="W116" s="25"/>
      <c r="X116" s="2"/>
      <c r="Y116" s="2">
        <f>Table2[[#This Row],[Away EV]]-Table2[[#This Row],[Home EV]]</f>
        <v>1.7649067960442437</v>
      </c>
      <c r="Z116" s="33"/>
      <c r="AA116" s="34"/>
      <c r="AB116" t="b">
        <f>IF(VLOOKUP(Table2[[#This Row],[Home/Neutral]],division_lookup,9,FALSE)=VLOOKUP(Table2[[#This Row],[Visitor/Neutral]],division_lookup,9,FALSE),TRUE,FALSE)</f>
        <v>1</v>
      </c>
      <c r="AC116" s="19" t="str">
        <f>VLOOKUP(Table2[[#This Row],[Home/Neutral]],division_lookup,9,FALSE)</f>
        <v>SW</v>
      </c>
      <c r="AD116" s="19"/>
      <c r="AE116" s="19" t="str">
        <f>IF(Table2[[#This Row],[Total EV ®]]&lt;Table2[[#This Row],[Total (V)]],"UNDER","OVER")</f>
        <v>OVER</v>
      </c>
      <c r="AF116" s="19"/>
      <c r="AG116" s="19"/>
      <c r="AH116" s="2"/>
      <c r="AI116" s="22">
        <f>Table2[[#This Row],[(A)]]-Table2[[#This Row],[Spread]]</f>
        <v>-7.4851184834123305</v>
      </c>
      <c r="AJ116" s="1">
        <f>Table2[[#This Row],[(A) Err]]^2</f>
        <v>56.02699871072091</v>
      </c>
      <c r="AK116" s="6">
        <f>Table2[[#This Row],[EV]]-Table2[[#This Row],[Spread]]</f>
        <v>-0.23509320395575628</v>
      </c>
      <c r="AL116" s="1">
        <f>Table2[[#This Row],[EV Err]]^2</f>
        <v>5.5268814546182821E-2</v>
      </c>
    </row>
    <row r="117" spans="1:38" ht="15.75" thickBot="1" x14ac:dyDescent="0.3">
      <c r="A117" s="3" t="s">
        <v>58</v>
      </c>
      <c r="B117" s="3" t="s">
        <v>28</v>
      </c>
      <c r="C117" s="3" t="s">
        <v>26</v>
      </c>
      <c r="D117" s="3"/>
      <c r="E117" s="3">
        <v>118</v>
      </c>
      <c r="F117" s="3"/>
      <c r="G117" s="3">
        <v>93</v>
      </c>
      <c r="H117" s="10">
        <f t="shared" si="2"/>
        <v>211</v>
      </c>
      <c r="I117" s="3"/>
      <c r="J117" s="3"/>
      <c r="K117" s="26">
        <f>(Table2[[#This Row],[Home Pace]]/100)*(VLOOKUP(Table2[[#This Row],[Home/Neutral]],home_lookup,8,FALSE)+VLOOKUP(Table2[[#This Row],[Home/Neutral]],OFR_lookup,2,FALSE)+VLOOKUP(Table2[[#This Row],[Visitor/Neutral]],def_diff_lookup,6,FALSE))</f>
        <v>110.01029553204273</v>
      </c>
      <c r="L117" s="26"/>
      <c r="M117" s="26">
        <f>(Table2[[#This Row],[Away Pace]]/100)*(VLOOKUP(Table2[[#This Row],[Visitor/Neutral]],OFR_lookup,2,FALSE)+VLOOKUP(Table2[[#This Row],[Home/Neutral]],def_diff_lookup,6,FALSE))</f>
        <v>106.38784000000001</v>
      </c>
      <c r="N117" s="26"/>
      <c r="O117" s="26"/>
      <c r="P117" s="3">
        <f>VLOOKUP(Table2[[#This Row],[Home/Neutral]],pace_lookup,7,FALSE)</f>
        <v>96.3</v>
      </c>
      <c r="Q117" s="3">
        <f>VLOOKUP(Table2[[#This Row],[Visitor/Neutral]],pace_lookup,7,FALSE)</f>
        <v>96</v>
      </c>
      <c r="R117" s="10">
        <f t="shared" si="3"/>
        <v>-25</v>
      </c>
      <c r="S117" s="3"/>
      <c r="T117" s="3"/>
      <c r="U117" s="3"/>
      <c r="V117" s="12">
        <f>-home-VLOOKUP(Table2[[#This Row],[Home/Neutral]],rtg_vlookup,4,FALSE)+VLOOKUP(Table2[[#This Row],[Visitor/Neutral]],rtg_vlookup,4,FALSE)</f>
        <v>-1.0351184834123306</v>
      </c>
      <c r="W117" s="26"/>
      <c r="X117" s="12"/>
      <c r="Y117" s="12">
        <f>Table2[[#This Row],[Away EV]]-Table2[[#This Row],[Home EV]]</f>
        <v>-3.6224555320427214</v>
      </c>
      <c r="Z117" s="35"/>
      <c r="AA117" s="36"/>
      <c r="AB117" s="3" t="b">
        <f>IF(VLOOKUP(Table2[[#This Row],[Home/Neutral]],division_lookup,9,FALSE)=VLOOKUP(Table2[[#This Row],[Visitor/Neutral]],division_lookup,9,FALSE),TRUE,FALSE)</f>
        <v>0</v>
      </c>
      <c r="AC117" s="20" t="str">
        <f>VLOOKUP(Table2[[#This Row],[Home/Neutral]],division_lookup,9,FALSE)</f>
        <v>SE</v>
      </c>
      <c r="AD117" s="20"/>
      <c r="AE117" s="20" t="str">
        <f>IF(Table2[[#This Row],[Total EV ®]]&lt;Table2[[#This Row],[Total (V)]],"UNDER","OVER")</f>
        <v>OVER</v>
      </c>
      <c r="AF117" s="20"/>
      <c r="AG117" s="20"/>
      <c r="AH117" s="12"/>
      <c r="AI117" s="23">
        <f>Table2[[#This Row],[(A)]]-Table2[[#This Row],[Spread]]</f>
        <v>23.964881516587671</v>
      </c>
      <c r="AJ117" s="4">
        <f>Table2[[#This Row],[(A) Err]]^2</f>
        <v>574.31554610408534</v>
      </c>
      <c r="AK117" s="4">
        <f>Table2[[#This Row],[EV]]-Table2[[#This Row],[Spread]]</f>
        <v>21.377544467957279</v>
      </c>
      <c r="AL117" s="4">
        <f>Table2[[#This Row],[EV Err]]^2</f>
        <v>456.99940747949086</v>
      </c>
    </row>
    <row r="118" spans="1:38" x14ac:dyDescent="0.25">
      <c r="A118" t="s">
        <v>59</v>
      </c>
      <c r="B118" t="s">
        <v>27</v>
      </c>
      <c r="C118" t="s">
        <v>10</v>
      </c>
      <c r="E118">
        <v>101</v>
      </c>
      <c r="G118">
        <v>125</v>
      </c>
      <c r="H118" s="9">
        <f t="shared" si="2"/>
        <v>226</v>
      </c>
      <c r="K118" s="25">
        <f>(Table2[[#This Row],[Home Pace]]/100)*(VLOOKUP(Table2[[#This Row],[Home/Neutral]],home_lookup,8,FALSE)+VLOOKUP(Table2[[#This Row],[Home/Neutral]],OFR_lookup,2,FALSE)+VLOOKUP(Table2[[#This Row],[Visitor/Neutral]],def_diff_lookup,6,FALSE))</f>
        <v>106.10955642647257</v>
      </c>
      <c r="L118" s="25"/>
      <c r="M118" s="25">
        <f>(Table2[[#This Row],[Away Pace]]/100)*(VLOOKUP(Table2[[#This Row],[Visitor/Neutral]],OFR_lookup,2,FALSE)+VLOOKUP(Table2[[#This Row],[Home/Neutral]],def_diff_lookup,6,FALSE))</f>
        <v>116.28848866666667</v>
      </c>
      <c r="N118" s="25"/>
      <c r="O118" s="25"/>
      <c r="P118">
        <f>VLOOKUP(Table2[[#This Row],[Home/Neutral]],pace_lookup,7,FALSE)</f>
        <v>99</v>
      </c>
      <c r="Q118" s="5">
        <f>VLOOKUP(Table2[[#This Row],[Visitor/Neutral]],pace_lookup,7,FALSE)</f>
        <v>100.3</v>
      </c>
      <c r="R118" s="9">
        <f t="shared" si="3"/>
        <v>24</v>
      </c>
      <c r="V118" s="2">
        <f>-home-VLOOKUP(Table2[[#This Row],[Home/Neutral]],rtg_vlookup,4,FALSE)+VLOOKUP(Table2[[#This Row],[Visitor/Neutral]],rtg_vlookup,4,FALSE)</f>
        <v>6.3448815165876695</v>
      </c>
      <c r="W118" s="25"/>
      <c r="X118" s="2"/>
      <c r="Y118" s="2">
        <f>Table2[[#This Row],[Away EV]]-Table2[[#This Row],[Home EV]]</f>
        <v>10.178932240194101</v>
      </c>
      <c r="Z118" s="33"/>
      <c r="AA118" s="34"/>
      <c r="AB118" t="b">
        <f>IF(VLOOKUP(Table2[[#This Row],[Home/Neutral]],division_lookup,9,FALSE)=VLOOKUP(Table2[[#This Row],[Visitor/Neutral]],division_lookup,9,FALSE),TRUE,FALSE)</f>
        <v>0</v>
      </c>
      <c r="AC118" s="19" t="str">
        <f>VLOOKUP(Table2[[#This Row],[Home/Neutral]],division_lookup,9,FALSE)</f>
        <v>NW</v>
      </c>
      <c r="AD118" s="19"/>
      <c r="AE118" s="19" t="str">
        <f>IF(Table2[[#This Row],[Total EV ®]]&lt;Table2[[#This Row],[Total (V)]],"UNDER","OVER")</f>
        <v>OVER</v>
      </c>
      <c r="AF118" s="19"/>
      <c r="AG118" s="19"/>
      <c r="AH118" s="2"/>
      <c r="AI118" s="22">
        <f>Table2[[#This Row],[(A)]]-Table2[[#This Row],[Spread]]</f>
        <v>-17.65511848341233</v>
      </c>
      <c r="AJ118" s="1">
        <f>Table2[[#This Row],[(A) Err]]^2</f>
        <v>311.7032086633277</v>
      </c>
      <c r="AK118" s="6">
        <f>Table2[[#This Row],[EV]]-Table2[[#This Row],[Spread]]</f>
        <v>-13.821067759805899</v>
      </c>
      <c r="AL118" s="1">
        <f>Table2[[#This Row],[EV Err]]^2</f>
        <v>191.02191402114605</v>
      </c>
    </row>
    <row r="119" spans="1:38" x14ac:dyDescent="0.25">
      <c r="A119" t="s">
        <v>59</v>
      </c>
      <c r="B119" t="s">
        <v>21</v>
      </c>
      <c r="C119" t="s">
        <v>13</v>
      </c>
      <c r="E119">
        <v>95</v>
      </c>
      <c r="G119">
        <v>98</v>
      </c>
      <c r="H119" s="9">
        <f t="shared" si="2"/>
        <v>193</v>
      </c>
      <c r="K119" s="25">
        <f>(Table2[[#This Row],[Home Pace]]/100)*(VLOOKUP(Table2[[#This Row],[Home/Neutral]],home_lookup,8,FALSE)+VLOOKUP(Table2[[#This Row],[Home/Neutral]],OFR_lookup,2,FALSE)+VLOOKUP(Table2[[#This Row],[Visitor/Neutral]],def_diff_lookup,6,FALSE))</f>
        <v>100.8286311752439</v>
      </c>
      <c r="L119" s="25"/>
      <c r="M119" s="25">
        <f>(Table2[[#This Row],[Away Pace]]/100)*(VLOOKUP(Table2[[#This Row],[Visitor/Neutral]],OFR_lookup,2,FALSE)+VLOOKUP(Table2[[#This Row],[Home/Neutral]],def_diff_lookup,6,FALSE))</f>
        <v>101.57868000000001</v>
      </c>
      <c r="N119" s="25"/>
      <c r="O119" s="25"/>
      <c r="P119">
        <f>VLOOKUP(Table2[[#This Row],[Home/Neutral]],pace_lookup,7,FALSE)</f>
        <v>94.2</v>
      </c>
      <c r="Q119" s="5">
        <f>VLOOKUP(Table2[[#This Row],[Visitor/Neutral]],pace_lookup,7,FALSE)</f>
        <v>94.5</v>
      </c>
      <c r="R119" s="9">
        <f t="shared" si="3"/>
        <v>3</v>
      </c>
      <c r="V119" s="2">
        <f>-home-VLOOKUP(Table2[[#This Row],[Home/Neutral]],rtg_vlookup,4,FALSE)+VLOOKUP(Table2[[#This Row],[Visitor/Neutral]],rtg_vlookup,4,FALSE)</f>
        <v>3.0048815165876688</v>
      </c>
      <c r="W119" s="25"/>
      <c r="X119" s="2"/>
      <c r="Y119" s="2">
        <f>Table2[[#This Row],[Away EV]]-Table2[[#This Row],[Home EV]]</f>
        <v>0.75004882475610657</v>
      </c>
      <c r="Z119" s="33"/>
      <c r="AA119" s="34"/>
      <c r="AB119" t="b">
        <f>IF(VLOOKUP(Table2[[#This Row],[Home/Neutral]],division_lookup,9,FALSE)=VLOOKUP(Table2[[#This Row],[Visitor/Neutral]],division_lookup,9,FALSE),TRUE,FALSE)</f>
        <v>0</v>
      </c>
      <c r="AC119" s="19" t="str">
        <f>VLOOKUP(Table2[[#This Row],[Home/Neutral]],division_lookup,9,FALSE)</f>
        <v>SE</v>
      </c>
      <c r="AD119" s="19"/>
      <c r="AE119" s="19" t="str">
        <f>IF(Table2[[#This Row],[Total EV ®]]&lt;Table2[[#This Row],[Total (V)]],"UNDER","OVER")</f>
        <v>OVER</v>
      </c>
      <c r="AF119" s="19"/>
      <c r="AG119" s="19"/>
      <c r="AH119" s="2"/>
      <c r="AI119" s="22">
        <f>Table2[[#This Row],[(A)]]-Table2[[#This Row],[Spread]]</f>
        <v>4.8815165876687772E-3</v>
      </c>
      <c r="AJ119" s="1">
        <f>Table2[[#This Row],[(A) Err]]^2</f>
        <v>2.3829204195685424E-5</v>
      </c>
      <c r="AK119" s="6">
        <f>Table2[[#This Row],[EV]]-Table2[[#This Row],[Spread]]</f>
        <v>-2.2499511752438934</v>
      </c>
      <c r="AL119" s="1">
        <f>Table2[[#This Row],[EV Err]]^2</f>
        <v>5.0622802909813771</v>
      </c>
    </row>
    <row r="120" spans="1:38" x14ac:dyDescent="0.25">
      <c r="A120" t="s">
        <v>59</v>
      </c>
      <c r="B120" t="s">
        <v>30</v>
      </c>
      <c r="C120" t="s">
        <v>34</v>
      </c>
      <c r="E120">
        <v>106</v>
      </c>
      <c r="G120">
        <v>112</v>
      </c>
      <c r="H120" s="9">
        <f t="shared" si="2"/>
        <v>218</v>
      </c>
      <c r="K120" s="25">
        <f>(Table2[[#This Row],[Home Pace]]/100)*(VLOOKUP(Table2[[#This Row],[Home/Neutral]],home_lookup,8,FALSE)+VLOOKUP(Table2[[#This Row],[Home/Neutral]],OFR_lookup,2,FALSE)+VLOOKUP(Table2[[#This Row],[Visitor/Neutral]],def_diff_lookup,6,FALSE))</f>
        <v>107.86064034993645</v>
      </c>
      <c r="L120" s="25"/>
      <c r="M120" s="25">
        <f>(Table2[[#This Row],[Away Pace]]/100)*(VLOOKUP(Table2[[#This Row],[Visitor/Neutral]],OFR_lookup,2,FALSE)+VLOOKUP(Table2[[#This Row],[Home/Neutral]],def_diff_lookup,6,FALSE))</f>
        <v>101.71525866666667</v>
      </c>
      <c r="N120" s="25"/>
      <c r="O120" s="25"/>
      <c r="P120">
        <f>VLOOKUP(Table2[[#This Row],[Home/Neutral]],pace_lookup,7,FALSE)</f>
        <v>96.8</v>
      </c>
      <c r="Q120" s="5">
        <f>VLOOKUP(Table2[[#This Row],[Visitor/Neutral]],pace_lookup,7,FALSE)</f>
        <v>98.8</v>
      </c>
      <c r="R120" s="9">
        <f t="shared" si="3"/>
        <v>6</v>
      </c>
      <c r="V120" s="2">
        <f>-home-VLOOKUP(Table2[[#This Row],[Home/Neutral]],rtg_vlookup,4,FALSE)+VLOOKUP(Table2[[#This Row],[Visitor/Neutral]],rtg_vlookup,4,FALSE)</f>
        <v>-5.2451184834123312</v>
      </c>
      <c r="W120" s="25"/>
      <c r="X120" s="2"/>
      <c r="Y120" s="2">
        <f>Table2[[#This Row],[Away EV]]-Table2[[#This Row],[Home EV]]</f>
        <v>-6.1453816832697754</v>
      </c>
      <c r="Z120" s="33"/>
      <c r="AA120" s="34"/>
      <c r="AB120" t="b">
        <f>IF(VLOOKUP(Table2[[#This Row],[Home/Neutral]],division_lookup,9,FALSE)=VLOOKUP(Table2[[#This Row],[Visitor/Neutral]],division_lookup,9,FALSE),TRUE,FALSE)</f>
        <v>0</v>
      </c>
      <c r="AC120" s="19" t="str">
        <f>VLOOKUP(Table2[[#This Row],[Home/Neutral]],division_lookup,9,FALSE)</f>
        <v>C</v>
      </c>
      <c r="AD120" s="19"/>
      <c r="AE120" s="19" t="str">
        <f>IF(Table2[[#This Row],[Total EV ®]]&lt;Table2[[#This Row],[Total (V)]],"UNDER","OVER")</f>
        <v>OVER</v>
      </c>
      <c r="AF120" s="19"/>
      <c r="AG120" s="19"/>
      <c r="AH120" s="2"/>
      <c r="AI120" s="22">
        <f>Table2[[#This Row],[(A)]]-Table2[[#This Row],[Spread]]</f>
        <v>-11.24511848341233</v>
      </c>
      <c r="AJ120" s="1">
        <f>Table2[[#This Row],[(A) Err]]^2</f>
        <v>126.45268970598163</v>
      </c>
      <c r="AK120" s="6">
        <f>Table2[[#This Row],[EV]]-Table2[[#This Row],[Spread]]</f>
        <v>-12.145381683269775</v>
      </c>
      <c r="AL120" s="1">
        <f>Table2[[#This Row],[EV Err]]^2</f>
        <v>147.51029623230497</v>
      </c>
    </row>
    <row r="121" spans="1:38" ht="15.75" thickBot="1" x14ac:dyDescent="0.3">
      <c r="A121" s="3" t="s">
        <v>59</v>
      </c>
      <c r="B121" s="3" t="s">
        <v>29</v>
      </c>
      <c r="C121" s="3" t="s">
        <v>24</v>
      </c>
      <c r="D121" s="3"/>
      <c r="E121" s="3">
        <v>91</v>
      </c>
      <c r="F121" s="3"/>
      <c r="G121" s="3">
        <v>101</v>
      </c>
      <c r="H121" s="10">
        <f t="shared" si="2"/>
        <v>192</v>
      </c>
      <c r="I121" s="3"/>
      <c r="J121" s="3"/>
      <c r="K121" s="26">
        <f>(Table2[[#This Row],[Home Pace]]/100)*(VLOOKUP(Table2[[#This Row],[Home/Neutral]],home_lookup,8,FALSE)+VLOOKUP(Table2[[#This Row],[Home/Neutral]],OFR_lookup,2,FALSE)+VLOOKUP(Table2[[#This Row],[Visitor/Neutral]],def_diff_lookup,6,FALSE))</f>
        <v>112.67556926898523</v>
      </c>
      <c r="L121" s="26"/>
      <c r="M121" s="26">
        <f>(Table2[[#This Row],[Away Pace]]/100)*(VLOOKUP(Table2[[#This Row],[Visitor/Neutral]],OFR_lookup,2,FALSE)+VLOOKUP(Table2[[#This Row],[Home/Neutral]],def_diff_lookup,6,FALSE))</f>
        <v>113.73681600000002</v>
      </c>
      <c r="N121" s="26"/>
      <c r="O121" s="26"/>
      <c r="P121" s="3">
        <f>VLOOKUP(Table2[[#This Row],[Home/Neutral]],pace_lookup,7,FALSE)</f>
        <v>93.8</v>
      </c>
      <c r="Q121" s="3">
        <f>VLOOKUP(Table2[[#This Row],[Visitor/Neutral]],pace_lookup,7,FALSE)</f>
        <v>99.9</v>
      </c>
      <c r="R121" s="10">
        <f t="shared" si="3"/>
        <v>10</v>
      </c>
      <c r="S121" s="3"/>
      <c r="T121" s="3"/>
      <c r="U121" s="3"/>
      <c r="V121" s="12">
        <f>-home-VLOOKUP(Table2[[#This Row],[Home/Neutral]],rtg_vlookup,4,FALSE)+VLOOKUP(Table2[[#This Row],[Visitor/Neutral]],rtg_vlookup,4,FALSE)</f>
        <v>-0.17511848341233072</v>
      </c>
      <c r="W121" s="26"/>
      <c r="X121" s="12"/>
      <c r="Y121" s="12">
        <f>Table2[[#This Row],[Away EV]]-Table2[[#This Row],[Home EV]]</f>
        <v>1.0612467310147906</v>
      </c>
      <c r="Z121" s="35"/>
      <c r="AA121" s="36"/>
      <c r="AB121" s="3" t="b">
        <f>IF(VLOOKUP(Table2[[#This Row],[Home/Neutral]],division_lookup,9,FALSE)=VLOOKUP(Table2[[#This Row],[Visitor/Neutral]],division_lookup,9,FALSE),TRUE,FALSE)</f>
        <v>1</v>
      </c>
      <c r="AC121" s="20" t="str">
        <f>VLOOKUP(Table2[[#This Row],[Home/Neutral]],division_lookup,9,FALSE)</f>
        <v>P</v>
      </c>
      <c r="AD121" s="20"/>
      <c r="AE121" s="20" t="str">
        <f>IF(Table2[[#This Row],[Total EV ®]]&lt;Table2[[#This Row],[Total (V)]],"UNDER","OVER")</f>
        <v>OVER</v>
      </c>
      <c r="AF121" s="20"/>
      <c r="AG121" s="20"/>
      <c r="AH121" s="12"/>
      <c r="AI121" s="23">
        <f>Table2[[#This Row],[(A)]]-Table2[[#This Row],[Spread]]</f>
        <v>-10.17511848341233</v>
      </c>
      <c r="AJ121" s="4">
        <f>Table2[[#This Row],[(A) Err]]^2</f>
        <v>103.53303615147924</v>
      </c>
      <c r="AK121" s="4">
        <f>Table2[[#This Row],[EV]]-Table2[[#This Row],[Spread]]</f>
        <v>-8.9387532689852094</v>
      </c>
      <c r="AL121" s="4">
        <f>Table2[[#This Row],[EV Err]]^2</f>
        <v>79.901310003793768</v>
      </c>
    </row>
    <row r="122" spans="1:38" x14ac:dyDescent="0.25">
      <c r="A122" t="s">
        <v>60</v>
      </c>
      <c r="B122" t="s">
        <v>26</v>
      </c>
      <c r="C122" t="s">
        <v>31</v>
      </c>
      <c r="E122">
        <v>115</v>
      </c>
      <c r="G122">
        <v>87</v>
      </c>
      <c r="H122" s="9">
        <f t="shared" si="2"/>
        <v>202</v>
      </c>
      <c r="K122" s="25">
        <f>(Table2[[#This Row],[Home Pace]]/100)*(VLOOKUP(Table2[[#This Row],[Home/Neutral]],home_lookup,8,FALSE)+VLOOKUP(Table2[[#This Row],[Home/Neutral]],OFR_lookup,2,FALSE)+VLOOKUP(Table2[[#This Row],[Visitor/Neutral]],def_diff_lookup,6,FALSE))</f>
        <v>111.38256358918159</v>
      </c>
      <c r="L122" s="25"/>
      <c r="M122" s="25">
        <f>(Table2[[#This Row],[Away Pace]]/100)*(VLOOKUP(Table2[[#This Row],[Visitor/Neutral]],OFR_lookup,2,FALSE)+VLOOKUP(Table2[[#This Row],[Home/Neutral]],def_diff_lookup,6,FALSE))</f>
        <v>106.10944000000001</v>
      </c>
      <c r="N122" s="25"/>
      <c r="O122" s="25"/>
      <c r="P122">
        <f>VLOOKUP(Table2[[#This Row],[Home/Neutral]],pace_lookup,7,FALSE)</f>
        <v>96</v>
      </c>
      <c r="Q122" s="5">
        <f>VLOOKUP(Table2[[#This Row],[Visitor/Neutral]],pace_lookup,7,FALSE)</f>
        <v>96</v>
      </c>
      <c r="R122" s="9">
        <f t="shared" si="3"/>
        <v>-28</v>
      </c>
      <c r="V122" s="2">
        <f>-home-VLOOKUP(Table2[[#This Row],[Home/Neutral]],rtg_vlookup,4,FALSE)+VLOOKUP(Table2[[#This Row],[Visitor/Neutral]],rtg_vlookup,4,FALSE)</f>
        <v>-4.7451184834123312</v>
      </c>
      <c r="W122" s="25"/>
      <c r="X122" s="2"/>
      <c r="Y122" s="2">
        <f>Table2[[#This Row],[Away EV]]-Table2[[#This Row],[Home EV]]</f>
        <v>-5.27312358918158</v>
      </c>
      <c r="Z122" s="33"/>
      <c r="AA122" s="34"/>
      <c r="AB122" t="b">
        <f>IF(VLOOKUP(Table2[[#This Row],[Home/Neutral]],division_lookup,9,FALSE)=VLOOKUP(Table2[[#This Row],[Visitor/Neutral]],division_lookup,9,FALSE),TRUE,FALSE)</f>
        <v>1</v>
      </c>
      <c r="AC122" s="19" t="str">
        <f>VLOOKUP(Table2[[#This Row],[Home/Neutral]],division_lookup,9,FALSE)</f>
        <v>A</v>
      </c>
      <c r="AD122" s="19"/>
      <c r="AE122" s="19" t="str">
        <f>IF(Table2[[#This Row],[Total EV ®]]&lt;Table2[[#This Row],[Total (V)]],"UNDER","OVER")</f>
        <v>OVER</v>
      </c>
      <c r="AF122" s="19"/>
      <c r="AG122" s="19"/>
      <c r="AH122" s="2"/>
      <c r="AI122" s="22">
        <f>Table2[[#This Row],[(A)]]-Table2[[#This Row],[Spread]]</f>
        <v>23.25488151658767</v>
      </c>
      <c r="AJ122" s="1">
        <f>Table2[[#This Row],[(A) Err]]^2</f>
        <v>540.78951435053079</v>
      </c>
      <c r="AK122" s="6">
        <f>Table2[[#This Row],[EV]]-Table2[[#This Row],[Spread]]</f>
        <v>22.72687641081842</v>
      </c>
      <c r="AL122" s="1">
        <f>Table2[[#This Row],[EV Err]]^2</f>
        <v>516.51091139261473</v>
      </c>
    </row>
    <row r="123" spans="1:38" x14ac:dyDescent="0.25">
      <c r="A123" t="s">
        <v>60</v>
      </c>
      <c r="B123" t="s">
        <v>16</v>
      </c>
      <c r="C123" t="s">
        <v>14</v>
      </c>
      <c r="E123">
        <v>111</v>
      </c>
      <c r="G123">
        <v>113</v>
      </c>
      <c r="H123" s="9">
        <f t="shared" si="2"/>
        <v>224</v>
      </c>
      <c r="K123" s="25">
        <f>(Table2[[#This Row],[Home Pace]]/100)*(VLOOKUP(Table2[[#This Row],[Home/Neutral]],home_lookup,8,FALSE)+VLOOKUP(Table2[[#This Row],[Home/Neutral]],OFR_lookup,2,FALSE)+VLOOKUP(Table2[[#This Row],[Visitor/Neutral]],def_diff_lookup,6,FALSE))</f>
        <v>105.55685601115951</v>
      </c>
      <c r="L123" s="25"/>
      <c r="M123" s="25">
        <f>(Table2[[#This Row],[Away Pace]]/100)*(VLOOKUP(Table2[[#This Row],[Visitor/Neutral]],OFR_lookup,2,FALSE)+VLOOKUP(Table2[[#This Row],[Home/Neutral]],def_diff_lookup,6,FALSE))</f>
        <v>106.84282933333336</v>
      </c>
      <c r="N123" s="25"/>
      <c r="O123" s="25"/>
      <c r="P123">
        <f>VLOOKUP(Table2[[#This Row],[Home/Neutral]],pace_lookup,7,FALSE)</f>
        <v>97.5</v>
      </c>
      <c r="Q123" s="5">
        <f>VLOOKUP(Table2[[#This Row],[Visitor/Neutral]],pace_lookup,7,FALSE)</f>
        <v>95.9</v>
      </c>
      <c r="R123" s="9">
        <f t="shared" si="3"/>
        <v>2</v>
      </c>
      <c r="V123" s="2">
        <f>-home-VLOOKUP(Table2[[#This Row],[Home/Neutral]],rtg_vlookup,4,FALSE)+VLOOKUP(Table2[[#This Row],[Visitor/Neutral]],rtg_vlookup,4,FALSE)</f>
        <v>-0.37511848341233112</v>
      </c>
      <c r="W123" s="25"/>
      <c r="X123" s="2"/>
      <c r="Y123" s="2">
        <f>Table2[[#This Row],[Away EV]]-Table2[[#This Row],[Home EV]]</f>
        <v>1.2859733221738452</v>
      </c>
      <c r="Z123" s="33"/>
      <c r="AA123" s="34"/>
      <c r="AB123" t="b">
        <f>IF(VLOOKUP(Table2[[#This Row],[Home/Neutral]],division_lookup,9,FALSE)=VLOOKUP(Table2[[#This Row],[Visitor/Neutral]],division_lookup,9,FALSE),TRUE,FALSE)</f>
        <v>0</v>
      </c>
      <c r="AC123" s="19" t="str">
        <f>VLOOKUP(Table2[[#This Row],[Home/Neutral]],division_lookup,9,FALSE)</f>
        <v>SE</v>
      </c>
      <c r="AD123" s="19"/>
      <c r="AE123" s="19" t="str">
        <f>IF(Table2[[#This Row],[Total EV ®]]&lt;Table2[[#This Row],[Total (V)]],"UNDER","OVER")</f>
        <v>OVER</v>
      </c>
      <c r="AF123" s="19"/>
      <c r="AG123" s="19"/>
      <c r="AH123" s="2"/>
      <c r="AI123" s="22">
        <f>Table2[[#This Row],[(A)]]-Table2[[#This Row],[Spread]]</f>
        <v>-2.3751184834123311</v>
      </c>
      <c r="AJ123" s="1">
        <f>Table2[[#This Row],[(A) Err]]^2</f>
        <v>5.6411878102468922</v>
      </c>
      <c r="AK123" s="6">
        <f>Table2[[#This Row],[EV]]-Table2[[#This Row],[Spread]]</f>
        <v>-0.71402667782615481</v>
      </c>
      <c r="AL123" s="1">
        <f>Table2[[#This Row],[EV Err]]^2</f>
        <v>0.50983409664745549</v>
      </c>
    </row>
    <row r="124" spans="1:38" x14ac:dyDescent="0.25">
      <c r="A124" t="s">
        <v>60</v>
      </c>
      <c r="B124" t="s">
        <v>18</v>
      </c>
      <c r="C124" t="s">
        <v>4</v>
      </c>
      <c r="E124">
        <v>108</v>
      </c>
      <c r="G124">
        <v>110</v>
      </c>
      <c r="H124" s="9">
        <f t="shared" si="2"/>
        <v>218</v>
      </c>
      <c r="K124" s="25">
        <f>(Table2[[#This Row],[Home Pace]]/100)*(VLOOKUP(Table2[[#This Row],[Home/Neutral]],home_lookup,8,FALSE)+VLOOKUP(Table2[[#This Row],[Home/Neutral]],OFR_lookup,2,FALSE)+VLOOKUP(Table2[[#This Row],[Visitor/Neutral]],def_diff_lookup,6,FALSE))</f>
        <v>96.81570616021132</v>
      </c>
      <c r="L124" s="25"/>
      <c r="M124" s="25">
        <f>(Table2[[#This Row],[Away Pace]]/100)*(VLOOKUP(Table2[[#This Row],[Visitor/Neutral]],OFR_lookup,2,FALSE)+VLOOKUP(Table2[[#This Row],[Home/Neutral]],def_diff_lookup,6,FALSE))</f>
        <v>106.917524</v>
      </c>
      <c r="N124" s="25"/>
      <c r="O124" s="25"/>
      <c r="P124">
        <f>VLOOKUP(Table2[[#This Row],[Home/Neutral]],pace_lookup,7,FALSE)</f>
        <v>99.5</v>
      </c>
      <c r="Q124" s="5">
        <f>VLOOKUP(Table2[[#This Row],[Visitor/Neutral]],pace_lookup,7,FALSE)</f>
        <v>96.6</v>
      </c>
      <c r="R124" s="9">
        <f t="shared" si="3"/>
        <v>2</v>
      </c>
      <c r="V124" s="2">
        <f>-home-VLOOKUP(Table2[[#This Row],[Home/Neutral]],rtg_vlookup,4,FALSE)+VLOOKUP(Table2[[#This Row],[Visitor/Neutral]],rtg_vlookup,4,FALSE)</f>
        <v>9.5848815165876697</v>
      </c>
      <c r="W124" s="25"/>
      <c r="X124" s="2"/>
      <c r="Y124" s="2">
        <f>Table2[[#This Row],[Away EV]]-Table2[[#This Row],[Home EV]]</f>
        <v>10.10181783978868</v>
      </c>
      <c r="Z124" s="33"/>
      <c r="AA124" s="34"/>
      <c r="AB124" t="b">
        <f>IF(VLOOKUP(Table2[[#This Row],[Home/Neutral]],division_lookup,9,FALSE)=VLOOKUP(Table2[[#This Row],[Visitor/Neutral]],division_lookup,9,FALSE),TRUE,FALSE)</f>
        <v>0</v>
      </c>
      <c r="AC124" s="19" t="str">
        <f>VLOOKUP(Table2[[#This Row],[Home/Neutral]],division_lookup,9,FALSE)</f>
        <v>NW</v>
      </c>
      <c r="AD124" s="19"/>
      <c r="AE124" s="19" t="str">
        <f>IF(Table2[[#This Row],[Total EV ®]]&lt;Table2[[#This Row],[Total (V)]],"UNDER","OVER")</f>
        <v>OVER</v>
      </c>
      <c r="AF124" s="19"/>
      <c r="AG124" s="19"/>
      <c r="AH124" s="2"/>
      <c r="AI124" s="22">
        <f>Table2[[#This Row],[(A)]]-Table2[[#This Row],[Spread]]</f>
        <v>7.5848815165876697</v>
      </c>
      <c r="AJ124" s="1">
        <f>Table2[[#This Row],[(A) Err]]^2</f>
        <v>57.530427620673272</v>
      </c>
      <c r="AK124" s="6">
        <f>Table2[[#This Row],[EV]]-Table2[[#This Row],[Spread]]</f>
        <v>8.10181783978868</v>
      </c>
      <c r="AL124" s="1">
        <f>Table2[[#This Row],[EV Err]]^2</f>
        <v>65.639452309118113</v>
      </c>
    </row>
    <row r="125" spans="1:38" x14ac:dyDescent="0.25">
      <c r="A125" t="s">
        <v>60</v>
      </c>
      <c r="B125" t="s">
        <v>38</v>
      </c>
      <c r="C125" t="s">
        <v>20</v>
      </c>
      <c r="E125">
        <v>74</v>
      </c>
      <c r="G125">
        <v>87</v>
      </c>
      <c r="H125" s="9">
        <f t="shared" si="2"/>
        <v>161</v>
      </c>
      <c r="K125" s="25">
        <f>(Table2[[#This Row],[Home Pace]]/100)*(VLOOKUP(Table2[[#This Row],[Home/Neutral]],home_lookup,8,FALSE)+VLOOKUP(Table2[[#This Row],[Home/Neutral]],OFR_lookup,2,FALSE)+VLOOKUP(Table2[[#This Row],[Visitor/Neutral]],def_diff_lookup,6,FALSE))</f>
        <v>104.62131167891481</v>
      </c>
      <c r="L125" s="25"/>
      <c r="M125" s="25">
        <f>(Table2[[#This Row],[Away Pace]]/100)*(VLOOKUP(Table2[[#This Row],[Visitor/Neutral]],OFR_lookup,2,FALSE)+VLOOKUP(Table2[[#This Row],[Home/Neutral]],def_diff_lookup,6,FALSE))</f>
        <v>97.908996000000016</v>
      </c>
      <c r="N125" s="25"/>
      <c r="O125" s="25"/>
      <c r="P125">
        <f>VLOOKUP(Table2[[#This Row],[Home/Neutral]],pace_lookup,7,FALSE)</f>
        <v>94.2</v>
      </c>
      <c r="Q125" s="5">
        <f>VLOOKUP(Table2[[#This Row],[Visitor/Neutral]],pace_lookup,7,FALSE)</f>
        <v>90.9</v>
      </c>
      <c r="R125" s="9">
        <f t="shared" si="3"/>
        <v>13</v>
      </c>
      <c r="V125" s="2">
        <f>-home-VLOOKUP(Table2[[#This Row],[Home/Neutral]],rtg_vlookup,4,FALSE)+VLOOKUP(Table2[[#This Row],[Visitor/Neutral]],rtg_vlookup,4,FALSE)</f>
        <v>7.704881516587669</v>
      </c>
      <c r="W125" s="25"/>
      <c r="X125" s="2"/>
      <c r="Y125" s="2">
        <f>Table2[[#This Row],[Away EV]]-Table2[[#This Row],[Home EV]]</f>
        <v>-6.7123156789147913</v>
      </c>
      <c r="Z125" s="33"/>
      <c r="AA125" s="34"/>
      <c r="AB125" t="b">
        <f>IF(VLOOKUP(Table2[[#This Row],[Home/Neutral]],division_lookup,9,FALSE)=VLOOKUP(Table2[[#This Row],[Visitor/Neutral]],division_lookup,9,FALSE),TRUE,FALSE)</f>
        <v>0</v>
      </c>
      <c r="AC125" s="19" t="str">
        <f>VLOOKUP(Table2[[#This Row],[Home/Neutral]],division_lookup,9,FALSE)</f>
        <v>SE</v>
      </c>
      <c r="AD125" s="19"/>
      <c r="AE125" s="19" t="str">
        <f>IF(Table2[[#This Row],[Total EV ®]]&lt;Table2[[#This Row],[Total (V)]],"UNDER","OVER")</f>
        <v>OVER</v>
      </c>
      <c r="AF125" s="19"/>
      <c r="AG125" s="19"/>
      <c r="AH125" s="2"/>
      <c r="AI125" s="22">
        <f>Table2[[#This Row],[(A)]]-Table2[[#This Row],[Spread]]</f>
        <v>-5.295118483412331</v>
      </c>
      <c r="AJ125" s="1">
        <f>Table2[[#This Row],[(A) Err]]^2</f>
        <v>28.038279753374905</v>
      </c>
      <c r="AK125" s="6">
        <f>Table2[[#This Row],[EV]]-Table2[[#This Row],[Spread]]</f>
        <v>-19.712315678914791</v>
      </c>
      <c r="AL125" s="1">
        <f>Table2[[#This Row],[EV Err]]^2</f>
        <v>388.57538942518988</v>
      </c>
    </row>
    <row r="126" spans="1:38" ht="15.75" thickBot="1" x14ac:dyDescent="0.3">
      <c r="A126" t="s">
        <v>60</v>
      </c>
      <c r="B126" s="3" t="s">
        <v>39</v>
      </c>
      <c r="C126" t="s">
        <v>33</v>
      </c>
      <c r="E126">
        <v>109</v>
      </c>
      <c r="G126">
        <v>105</v>
      </c>
      <c r="H126" s="9">
        <f t="shared" si="2"/>
        <v>214</v>
      </c>
      <c r="K126" s="25">
        <f>(Table2[[#This Row],[Home Pace]]/100)*(VLOOKUP(Table2[[#This Row],[Home/Neutral]],home_lookup,8,FALSE)+VLOOKUP(Table2[[#This Row],[Home/Neutral]],OFR_lookup,2,FALSE)+VLOOKUP(Table2[[#This Row],[Visitor/Neutral]],def_diff_lookup,6,FALSE))</f>
        <v>109.75577211468578</v>
      </c>
      <c r="L126" s="25"/>
      <c r="M126" s="25">
        <f>(Table2[[#This Row],[Away Pace]]/100)*(VLOOKUP(Table2[[#This Row],[Visitor/Neutral]],OFR_lookup,2,FALSE)+VLOOKUP(Table2[[#This Row],[Home/Neutral]],def_diff_lookup,6,FALSE))</f>
        <v>104.65239466666667</v>
      </c>
      <c r="N126" s="25"/>
      <c r="O126" s="25"/>
      <c r="P126">
        <f>VLOOKUP(Table2[[#This Row],[Home/Neutral]],pace_lookup,7,FALSE)</f>
        <v>97.5</v>
      </c>
      <c r="Q126" s="5">
        <f>VLOOKUP(Table2[[#This Row],[Visitor/Neutral]],pace_lookup,7,FALSE)</f>
        <v>98.2</v>
      </c>
      <c r="R126" s="9">
        <f t="shared" si="3"/>
        <v>-4</v>
      </c>
      <c r="V126" s="2">
        <f>-home-VLOOKUP(Table2[[#This Row],[Home/Neutral]],rtg_vlookup,4,FALSE)+VLOOKUP(Table2[[#This Row],[Visitor/Neutral]],rtg_vlookup,4,FALSE)</f>
        <v>1.3048815165876686</v>
      </c>
      <c r="W126" s="25"/>
      <c r="X126" s="2"/>
      <c r="Y126" s="2">
        <f>Table2[[#This Row],[Away EV]]-Table2[[#This Row],[Home EV]]</f>
        <v>-5.103377448019117</v>
      </c>
      <c r="Z126" s="33"/>
      <c r="AA126" s="34"/>
      <c r="AB126" t="b">
        <f>IF(VLOOKUP(Table2[[#This Row],[Home/Neutral]],division_lookup,9,FALSE)=VLOOKUP(Table2[[#This Row],[Visitor/Neutral]],division_lookup,9,FALSE),TRUE,FALSE)</f>
        <v>0</v>
      </c>
      <c r="AC126" s="19" t="str">
        <f>VLOOKUP(Table2[[#This Row],[Home/Neutral]],division_lookup,9,FALSE)</f>
        <v>A</v>
      </c>
      <c r="AD126" s="19"/>
      <c r="AE126" s="19" t="str">
        <f>IF(Table2[[#This Row],[Total EV ®]]&lt;Table2[[#This Row],[Total (V)]],"UNDER","OVER")</f>
        <v>OVER</v>
      </c>
      <c r="AF126" s="19"/>
      <c r="AG126" s="19"/>
      <c r="AH126" s="2"/>
      <c r="AI126" s="22">
        <f>Table2[[#This Row],[(A)]]-Table2[[#This Row],[Spread]]</f>
        <v>5.3048815165876686</v>
      </c>
      <c r="AJ126" s="1">
        <f>Table2[[#This Row],[(A) Err]]^2</f>
        <v>28.141767905033483</v>
      </c>
      <c r="AK126" s="6">
        <f>Table2[[#This Row],[EV]]-Table2[[#This Row],[Spread]]</f>
        <v>-1.103377448019117</v>
      </c>
      <c r="AL126" s="1">
        <f>Table2[[#This Row],[EV Err]]^2</f>
        <v>1.2174417927971792</v>
      </c>
    </row>
    <row r="127" spans="1:38" x14ac:dyDescent="0.25">
      <c r="A127" t="s">
        <v>60</v>
      </c>
      <c r="B127" t="s">
        <v>32</v>
      </c>
      <c r="C127" t="s">
        <v>29</v>
      </c>
      <c r="E127">
        <v>122</v>
      </c>
      <c r="G127">
        <v>120</v>
      </c>
      <c r="H127" s="9">
        <f t="shared" si="2"/>
        <v>242</v>
      </c>
      <c r="K127" s="25">
        <f>(Table2[[#This Row],[Home Pace]]/100)*(VLOOKUP(Table2[[#This Row],[Home/Neutral]],home_lookup,8,FALSE)+VLOOKUP(Table2[[#This Row],[Home/Neutral]],OFR_lookup,2,FALSE)+VLOOKUP(Table2[[#This Row],[Visitor/Neutral]],def_diff_lookup,6,FALSE))</f>
        <v>112.49177112001838</v>
      </c>
      <c r="L127" s="25"/>
      <c r="M127" s="25">
        <f>(Table2[[#This Row],[Away Pace]]/100)*(VLOOKUP(Table2[[#This Row],[Visitor/Neutral]],OFR_lookup,2,FALSE)+VLOOKUP(Table2[[#This Row],[Home/Neutral]],def_diff_lookup,6,FALSE))</f>
        <v>105.44120533333334</v>
      </c>
      <c r="N127" s="25"/>
      <c r="O127" s="25"/>
      <c r="P127">
        <f>VLOOKUP(Table2[[#This Row],[Home/Neutral]],pace_lookup,7,FALSE)</f>
        <v>98.6</v>
      </c>
      <c r="Q127" s="5">
        <f>VLOOKUP(Table2[[#This Row],[Visitor/Neutral]],pace_lookup,7,FALSE)</f>
        <v>93.8</v>
      </c>
      <c r="R127" s="9">
        <f t="shared" si="3"/>
        <v>-2</v>
      </c>
      <c r="V127" s="2">
        <f>-home-VLOOKUP(Table2[[#This Row],[Home/Neutral]],rtg_vlookup,4,FALSE)+VLOOKUP(Table2[[#This Row],[Visitor/Neutral]],rtg_vlookup,4,FALSE)</f>
        <v>-2.1351184834123309</v>
      </c>
      <c r="W127" s="25"/>
      <c r="X127" s="2"/>
      <c r="Y127" s="2">
        <f>Table2[[#This Row],[Away EV]]-Table2[[#This Row],[Home EV]]</f>
        <v>-7.0505657866850413</v>
      </c>
      <c r="Z127" s="33"/>
      <c r="AA127" s="34"/>
      <c r="AB127" t="b">
        <f>IF(VLOOKUP(Table2[[#This Row],[Home/Neutral]],division_lookup,9,FALSE)=VLOOKUP(Table2[[#This Row],[Visitor/Neutral]],division_lookup,9,FALSE),TRUE,FALSE)</f>
        <v>0</v>
      </c>
      <c r="AC127" s="19" t="str">
        <f>VLOOKUP(Table2[[#This Row],[Home/Neutral]],division_lookup,9,FALSE)</f>
        <v>NW</v>
      </c>
      <c r="AD127" s="19"/>
      <c r="AE127" s="19" t="str">
        <f>IF(Table2[[#This Row],[Total EV ®]]&lt;Table2[[#This Row],[Total (V)]],"UNDER","OVER")</f>
        <v>OVER</v>
      </c>
      <c r="AF127" s="19"/>
      <c r="AG127" s="19"/>
      <c r="AH127" s="2"/>
      <c r="AI127" s="22">
        <f>Table2[[#This Row],[(A)]]-Table2[[#This Row],[Spread]]</f>
        <v>-0.1351184834123309</v>
      </c>
      <c r="AJ127" s="1">
        <f>Table2[[#This Row],[(A) Err]]^2</f>
        <v>1.8257004559648342E-2</v>
      </c>
      <c r="AK127" s="6">
        <f>Table2[[#This Row],[EV]]-Table2[[#This Row],[Spread]]</f>
        <v>-5.0505657866850413</v>
      </c>
      <c r="AL127" s="1">
        <f>Table2[[#This Row],[EV Err]]^2</f>
        <v>25.50821476563349</v>
      </c>
    </row>
    <row r="128" spans="1:38" x14ac:dyDescent="0.25">
      <c r="A128" t="s">
        <v>60</v>
      </c>
      <c r="B128" t="s">
        <v>6</v>
      </c>
      <c r="C128" t="s">
        <v>25</v>
      </c>
      <c r="E128">
        <v>96</v>
      </c>
      <c r="G128">
        <v>86</v>
      </c>
      <c r="H128" s="9">
        <f t="shared" si="2"/>
        <v>182</v>
      </c>
      <c r="K128" s="25">
        <f>(Table2[[#This Row],[Home Pace]]/100)*(VLOOKUP(Table2[[#This Row],[Home/Neutral]],home_lookup,8,FALSE)+VLOOKUP(Table2[[#This Row],[Home/Neutral]],OFR_lookup,2,FALSE)+VLOOKUP(Table2[[#This Row],[Visitor/Neutral]],def_diff_lookup,6,FALSE))</f>
        <v>99.596177870622441</v>
      </c>
      <c r="L128" s="25"/>
      <c r="M128" s="25">
        <f>(Table2[[#This Row],[Away Pace]]/100)*(VLOOKUP(Table2[[#This Row],[Visitor/Neutral]],OFR_lookup,2,FALSE)+VLOOKUP(Table2[[#This Row],[Home/Neutral]],def_diff_lookup,6,FALSE))</f>
        <v>94.693269333333348</v>
      </c>
      <c r="N128" s="25"/>
      <c r="O128" s="25"/>
      <c r="P128">
        <f>VLOOKUP(Table2[[#This Row],[Home/Neutral]],pace_lookup,7,FALSE)</f>
        <v>93.1</v>
      </c>
      <c r="Q128" s="5">
        <f>VLOOKUP(Table2[[#This Row],[Visitor/Neutral]],pace_lookup,7,FALSE)</f>
        <v>94.4</v>
      </c>
      <c r="R128" s="9">
        <f t="shared" si="3"/>
        <v>-10</v>
      </c>
      <c r="V128" s="2">
        <f>-home-VLOOKUP(Table2[[#This Row],[Home/Neutral]],rtg_vlookup,4,FALSE)+VLOOKUP(Table2[[#This Row],[Visitor/Neutral]],rtg_vlookup,4,FALSE)</f>
        <v>-9.7351184834123305</v>
      </c>
      <c r="W128" s="25"/>
      <c r="X128" s="2"/>
      <c r="Y128" s="2">
        <f>Table2[[#This Row],[Away EV]]-Table2[[#This Row],[Home EV]]</f>
        <v>-4.9029085372890933</v>
      </c>
      <c r="Z128" s="33"/>
      <c r="AA128" s="34"/>
      <c r="AB128" t="b">
        <f>IF(VLOOKUP(Table2[[#This Row],[Home/Neutral]],division_lookup,9,FALSE)=VLOOKUP(Table2[[#This Row],[Visitor/Neutral]],division_lookup,9,FALSE),TRUE,FALSE)</f>
        <v>0</v>
      </c>
      <c r="AC128" s="19" t="str">
        <f>VLOOKUP(Table2[[#This Row],[Home/Neutral]],division_lookup,9,FALSE)</f>
        <v>SW</v>
      </c>
      <c r="AD128" s="19"/>
      <c r="AE128" s="19" t="str">
        <f>IF(Table2[[#This Row],[Total EV ®]]&lt;Table2[[#This Row],[Total (V)]],"UNDER","OVER")</f>
        <v>OVER</v>
      </c>
      <c r="AF128" s="19"/>
      <c r="AG128" s="19"/>
      <c r="AH128" s="2"/>
      <c r="AI128" s="22">
        <f>Table2[[#This Row],[(A)]]-Table2[[#This Row],[Spread]]</f>
        <v>0.26488151658766945</v>
      </c>
      <c r="AJ128" s="1">
        <f>Table2[[#This Row],[(A) Err]]^2</f>
        <v>7.016221782978381E-2</v>
      </c>
      <c r="AK128" s="6">
        <f>Table2[[#This Row],[EV]]-Table2[[#This Row],[Spread]]</f>
        <v>5.0970914627109067</v>
      </c>
      <c r="AL128" s="1">
        <f>Table2[[#This Row],[EV Err]]^2</f>
        <v>25.980341379240411</v>
      </c>
    </row>
    <row r="129" spans="1:38" ht="15.75" thickBot="1" x14ac:dyDescent="0.3">
      <c r="A129" s="3" t="s">
        <v>60</v>
      </c>
      <c r="B129" s="3" t="s">
        <v>28</v>
      </c>
      <c r="C129" s="3" t="s">
        <v>8</v>
      </c>
      <c r="D129" s="3"/>
      <c r="E129" s="3">
        <v>94</v>
      </c>
      <c r="F129" s="3"/>
      <c r="G129" s="3">
        <v>105</v>
      </c>
      <c r="H129" s="10">
        <f t="shared" si="2"/>
        <v>199</v>
      </c>
      <c r="I129" s="3"/>
      <c r="J129" s="3"/>
      <c r="K129" s="26">
        <f>(Table2[[#This Row],[Home Pace]]/100)*(VLOOKUP(Table2[[#This Row],[Home/Neutral]],home_lookup,8,FALSE)+VLOOKUP(Table2[[#This Row],[Home/Neutral]],OFR_lookup,2,FALSE)+VLOOKUP(Table2[[#This Row],[Visitor/Neutral]],def_diff_lookup,6,FALSE))</f>
        <v>106.42793553204274</v>
      </c>
      <c r="L129" s="26"/>
      <c r="M129" s="26">
        <f>(Table2[[#This Row],[Away Pace]]/100)*(VLOOKUP(Table2[[#This Row],[Visitor/Neutral]],OFR_lookup,2,FALSE)+VLOOKUP(Table2[[#This Row],[Home/Neutral]],def_diff_lookup,6,FALSE))</f>
        <v>110.973888</v>
      </c>
      <c r="N129" s="26"/>
      <c r="O129" s="26"/>
      <c r="P129" s="3">
        <f>VLOOKUP(Table2[[#This Row],[Home/Neutral]],pace_lookup,7,FALSE)</f>
        <v>96.3</v>
      </c>
      <c r="Q129" s="3">
        <f>VLOOKUP(Table2[[#This Row],[Visitor/Neutral]],pace_lookup,7,FALSE)</f>
        <v>97.2</v>
      </c>
      <c r="R129" s="10">
        <f t="shared" si="3"/>
        <v>11</v>
      </c>
      <c r="S129" s="3"/>
      <c r="T129" s="3"/>
      <c r="U129" s="3"/>
      <c r="V129" s="12">
        <f>-home-VLOOKUP(Table2[[#This Row],[Home/Neutral]],rtg_vlookup,4,FALSE)+VLOOKUP(Table2[[#This Row],[Visitor/Neutral]],rtg_vlookup,4,FALSE)</f>
        <v>6.0448815165876697</v>
      </c>
      <c r="W129" s="26"/>
      <c r="X129" s="12"/>
      <c r="Y129" s="12">
        <f>Table2[[#This Row],[Away EV]]-Table2[[#This Row],[Home EV]]</f>
        <v>4.5459524679572638</v>
      </c>
      <c r="Z129" s="35"/>
      <c r="AA129" s="36"/>
      <c r="AB129" s="3" t="b">
        <f>IF(VLOOKUP(Table2[[#This Row],[Home/Neutral]],division_lookup,9,FALSE)=VLOOKUP(Table2[[#This Row],[Visitor/Neutral]],division_lookup,9,FALSE),TRUE,FALSE)</f>
        <v>0</v>
      </c>
      <c r="AC129" s="20" t="str">
        <f>VLOOKUP(Table2[[#This Row],[Home/Neutral]],division_lookup,9,FALSE)</f>
        <v>SE</v>
      </c>
      <c r="AD129" s="20"/>
      <c r="AE129" s="20" t="str">
        <f>IF(Table2[[#This Row],[Total EV ®]]&lt;Table2[[#This Row],[Total (V)]],"UNDER","OVER")</f>
        <v>OVER</v>
      </c>
      <c r="AF129" s="20"/>
      <c r="AG129" s="20"/>
      <c r="AH129" s="12"/>
      <c r="AI129" s="23">
        <f>Table2[[#This Row],[(A)]]-Table2[[#This Row],[Spread]]</f>
        <v>-4.9551184834123303</v>
      </c>
      <c r="AJ129" s="4">
        <f>Table2[[#This Row],[(A) Err]]^2</f>
        <v>24.553199184654513</v>
      </c>
      <c r="AK129" s="4">
        <f>Table2[[#This Row],[EV]]-Table2[[#This Row],[Spread]]</f>
        <v>-6.4540475320427362</v>
      </c>
      <c r="AL129" s="4">
        <f>Table2[[#This Row],[EV Err]]^2</f>
        <v>41.654729545866935</v>
      </c>
    </row>
    <row r="130" spans="1:38" x14ac:dyDescent="0.25">
      <c r="A130" t="s">
        <v>61</v>
      </c>
      <c r="B130" t="s">
        <v>11</v>
      </c>
      <c r="C130" t="s">
        <v>39</v>
      </c>
      <c r="E130">
        <v>117</v>
      </c>
      <c r="G130">
        <v>96</v>
      </c>
      <c r="H130" s="9">
        <f t="shared" si="2"/>
        <v>213</v>
      </c>
      <c r="K130" s="25">
        <f>(Table2[[#This Row],[Home Pace]]/100)*(VLOOKUP(Table2[[#This Row],[Home/Neutral]],home_lookup,8,FALSE)+VLOOKUP(Table2[[#This Row],[Home/Neutral]],OFR_lookup,2,FALSE)+VLOOKUP(Table2[[#This Row],[Visitor/Neutral]],def_diff_lookup,6,FALSE))</f>
        <v>101.52131904407281</v>
      </c>
      <c r="L130" s="25"/>
      <c r="M130" s="25">
        <f>(Table2[[#This Row],[Away Pace]]/100)*(VLOOKUP(Table2[[#This Row],[Visitor/Neutral]],OFR_lookup,2,FALSE)+VLOOKUP(Table2[[#This Row],[Home/Neutral]],def_diff_lookup,6,FALSE))</f>
        <v>89.954150000000013</v>
      </c>
      <c r="N130" s="25"/>
      <c r="O130" s="25"/>
      <c r="P130">
        <f>VLOOKUP(Table2[[#This Row],[Home/Neutral]],pace_lookup,7,FALSE)</f>
        <v>99.7</v>
      </c>
      <c r="Q130" s="5">
        <f>VLOOKUP(Table2[[#This Row],[Visitor/Neutral]],pace_lookup,7,FALSE)</f>
        <v>97.5</v>
      </c>
      <c r="R130" s="9">
        <f t="shared" si="3"/>
        <v>-21</v>
      </c>
      <c r="V130" s="2">
        <f>-home-VLOOKUP(Table2[[#This Row],[Home/Neutral]],rtg_vlookup,4,FALSE)+VLOOKUP(Table2[[#This Row],[Visitor/Neutral]],rtg_vlookup,4,FALSE)</f>
        <v>-18.315118483412331</v>
      </c>
      <c r="W130" s="25"/>
      <c r="X130" s="2"/>
      <c r="Y130" s="2">
        <f>Table2[[#This Row],[Away EV]]-Table2[[#This Row],[Home EV]]</f>
        <v>-11.567169044072799</v>
      </c>
      <c r="Z130" s="33"/>
      <c r="AA130" s="34"/>
      <c r="AB130" t="b">
        <f>IF(VLOOKUP(Table2[[#This Row],[Home/Neutral]],division_lookup,9,FALSE)=VLOOKUP(Table2[[#This Row],[Visitor/Neutral]],division_lookup,9,FALSE),TRUE,FALSE)</f>
        <v>0</v>
      </c>
      <c r="AC130" s="19" t="str">
        <f>VLOOKUP(Table2[[#This Row],[Home/Neutral]],division_lookup,9,FALSE)</f>
        <v>SE</v>
      </c>
      <c r="AD130" s="19"/>
      <c r="AE130" s="19" t="str">
        <f>IF(Table2[[#This Row],[Total EV ®]]&lt;Table2[[#This Row],[Total (V)]],"UNDER","OVER")</f>
        <v>OVER</v>
      </c>
      <c r="AF130" s="19"/>
      <c r="AG130" s="19"/>
      <c r="AH130" s="2"/>
      <c r="AI130" s="22">
        <f>Table2[[#This Row],[(A)]]-Table2[[#This Row],[Spread]]</f>
        <v>2.6848815165876694</v>
      </c>
      <c r="AJ130" s="1">
        <f>Table2[[#This Row],[(A) Err]]^2</f>
        <v>7.2085887581141037</v>
      </c>
      <c r="AK130" s="6">
        <f>Table2[[#This Row],[EV]]-Table2[[#This Row],[Spread]]</f>
        <v>9.4328309559272014</v>
      </c>
      <c r="AL130" s="1">
        <f>Table2[[#This Row],[EV Err]]^2</f>
        <v>88.978299843098483</v>
      </c>
    </row>
    <row r="131" spans="1:38" x14ac:dyDescent="0.25">
      <c r="A131" t="s">
        <v>61</v>
      </c>
      <c r="B131" t="s">
        <v>13</v>
      </c>
      <c r="C131" t="s">
        <v>28</v>
      </c>
      <c r="E131">
        <v>106</v>
      </c>
      <c r="G131">
        <v>95</v>
      </c>
      <c r="H131" s="9">
        <f t="shared" ref="H131:H194" si="4">E131+G131</f>
        <v>201</v>
      </c>
      <c r="K131" s="25">
        <f>(Table2[[#This Row],[Home Pace]]/100)*(VLOOKUP(Table2[[#This Row],[Home/Neutral]],home_lookup,8,FALSE)+VLOOKUP(Table2[[#This Row],[Home/Neutral]],OFR_lookup,2,FALSE)+VLOOKUP(Table2[[#This Row],[Visitor/Neutral]],def_diff_lookup,6,FALSE))</f>
        <v>108.20824108450401</v>
      </c>
      <c r="L131" s="25"/>
      <c r="M131" s="25">
        <f>(Table2[[#This Row],[Away Pace]]/100)*(VLOOKUP(Table2[[#This Row],[Visitor/Neutral]],OFR_lookup,2,FALSE)+VLOOKUP(Table2[[#This Row],[Home/Neutral]],def_diff_lookup,6,FALSE))</f>
        <v>102.743112</v>
      </c>
      <c r="N131" s="25"/>
      <c r="O131" s="25"/>
      <c r="P131">
        <f>VLOOKUP(Table2[[#This Row],[Home/Neutral]],pace_lookup,7,FALSE)</f>
        <v>94.5</v>
      </c>
      <c r="Q131" s="5">
        <f>VLOOKUP(Table2[[#This Row],[Visitor/Neutral]],pace_lookup,7,FALSE)</f>
        <v>96.3</v>
      </c>
      <c r="R131" s="9">
        <f t="shared" ref="R131:R194" si="5">G131-E131</f>
        <v>-11</v>
      </c>
      <c r="V131" s="2">
        <f>-home-VLOOKUP(Table2[[#This Row],[Home/Neutral]],rtg_vlookup,4,FALSE)+VLOOKUP(Table2[[#This Row],[Visitor/Neutral]],rtg_vlookup,4,FALSE)</f>
        <v>-10.275118483412331</v>
      </c>
      <c r="W131" s="25"/>
      <c r="X131" s="2"/>
      <c r="Y131" s="2">
        <f>Table2[[#This Row],[Away EV]]-Table2[[#This Row],[Home EV]]</f>
        <v>-5.4651290845040137</v>
      </c>
      <c r="Z131" s="33"/>
      <c r="AA131" s="34"/>
      <c r="AB131" t="b">
        <f>IF(VLOOKUP(Table2[[#This Row],[Home/Neutral]],division_lookup,9,FALSE)=VLOOKUP(Table2[[#This Row],[Visitor/Neutral]],division_lookup,9,FALSE),TRUE,FALSE)</f>
        <v>0</v>
      </c>
      <c r="AC131" s="19" t="str">
        <f>VLOOKUP(Table2[[#This Row],[Home/Neutral]],division_lookup,9,FALSE)</f>
        <v>C</v>
      </c>
      <c r="AD131" s="19"/>
      <c r="AE131" s="19" t="str">
        <f>IF(Table2[[#This Row],[Total EV ®]]&lt;Table2[[#This Row],[Total (V)]],"UNDER","OVER")</f>
        <v>OVER</v>
      </c>
      <c r="AF131" s="19"/>
      <c r="AG131" s="19"/>
      <c r="AH131" s="2"/>
      <c r="AI131" s="22">
        <f>Table2[[#This Row],[(A)]]-Table2[[#This Row],[Spread]]</f>
        <v>0.72488151658766853</v>
      </c>
      <c r="AJ131" s="1">
        <f>Table2[[#This Row],[(A) Err]]^2</f>
        <v>0.52545321309043835</v>
      </c>
      <c r="AK131" s="6">
        <f>Table2[[#This Row],[EV]]-Table2[[#This Row],[Spread]]</f>
        <v>5.5348709154959863</v>
      </c>
      <c r="AL131" s="1">
        <f>Table2[[#This Row],[EV Err]]^2</f>
        <v>30.634796051203377</v>
      </c>
    </row>
    <row r="132" spans="1:38" x14ac:dyDescent="0.25">
      <c r="A132" t="s">
        <v>61</v>
      </c>
      <c r="B132" t="s">
        <v>27</v>
      </c>
      <c r="C132" t="s">
        <v>25</v>
      </c>
      <c r="E132">
        <v>95</v>
      </c>
      <c r="G132">
        <v>106</v>
      </c>
      <c r="H132" s="9">
        <f t="shared" si="4"/>
        <v>201</v>
      </c>
      <c r="K132" s="25">
        <f>(Table2[[#This Row],[Home Pace]]/100)*(VLOOKUP(Table2[[#This Row],[Home/Neutral]],home_lookup,8,FALSE)+VLOOKUP(Table2[[#This Row],[Home/Neutral]],OFR_lookup,2,FALSE)+VLOOKUP(Table2[[#This Row],[Visitor/Neutral]],def_diff_lookup,6,FALSE))</f>
        <v>100.90215642647257</v>
      </c>
      <c r="L132" s="25"/>
      <c r="M132" s="25">
        <f>(Table2[[#This Row],[Away Pace]]/100)*(VLOOKUP(Table2[[#This Row],[Visitor/Neutral]],OFR_lookup,2,FALSE)+VLOOKUP(Table2[[#This Row],[Home/Neutral]],def_diff_lookup,6,FALSE))</f>
        <v>96.46798933333335</v>
      </c>
      <c r="N132" s="25"/>
      <c r="O132" s="25"/>
      <c r="P132">
        <f>VLOOKUP(Table2[[#This Row],[Home/Neutral]],pace_lookup,7,FALSE)</f>
        <v>99</v>
      </c>
      <c r="Q132" s="5">
        <f>VLOOKUP(Table2[[#This Row],[Visitor/Neutral]],pace_lookup,7,FALSE)</f>
        <v>94.4</v>
      </c>
      <c r="R132" s="9">
        <f t="shared" si="5"/>
        <v>11</v>
      </c>
      <c r="V132" s="2">
        <f>-home-VLOOKUP(Table2[[#This Row],[Home/Neutral]],rtg_vlookup,4,FALSE)+VLOOKUP(Table2[[#This Row],[Visitor/Neutral]],rtg_vlookup,4,FALSE)</f>
        <v>-2.1451184834123307</v>
      </c>
      <c r="W132" s="25"/>
      <c r="X132" s="2"/>
      <c r="Y132" s="2">
        <f>Table2[[#This Row],[Away EV]]-Table2[[#This Row],[Home EV]]</f>
        <v>-4.434167093139223</v>
      </c>
      <c r="Z132" s="33"/>
      <c r="AA132" s="34"/>
      <c r="AB132" t="b">
        <f>IF(VLOOKUP(Table2[[#This Row],[Home/Neutral]],division_lookup,9,FALSE)=VLOOKUP(Table2[[#This Row],[Visitor/Neutral]],division_lookup,9,FALSE),TRUE,FALSE)</f>
        <v>0</v>
      </c>
      <c r="AC132" s="19" t="str">
        <f>VLOOKUP(Table2[[#This Row],[Home/Neutral]],division_lookup,9,FALSE)</f>
        <v>NW</v>
      </c>
      <c r="AD132" s="19"/>
      <c r="AE132" s="19" t="str">
        <f>IF(Table2[[#This Row],[Total EV ®]]&lt;Table2[[#This Row],[Total (V)]],"UNDER","OVER")</f>
        <v>OVER</v>
      </c>
      <c r="AF132" s="19"/>
      <c r="AG132" s="19"/>
      <c r="AH132" s="2"/>
      <c r="AI132" s="22">
        <f>Table2[[#This Row],[(A)]]-Table2[[#This Row],[Spread]]</f>
        <v>-13.145118483412331</v>
      </c>
      <c r="AJ132" s="1">
        <f>Table2[[#This Row],[(A) Err]]^2</f>
        <v>172.7941399429485</v>
      </c>
      <c r="AK132" s="6">
        <f>Table2[[#This Row],[EV]]-Table2[[#This Row],[Spread]]</f>
        <v>-15.434167093139223</v>
      </c>
      <c r="AL132" s="1">
        <f>Table2[[#This Row],[EV Err]]^2</f>
        <v>238.21351385894164</v>
      </c>
    </row>
    <row r="133" spans="1:38" x14ac:dyDescent="0.25">
      <c r="A133" t="s">
        <v>61</v>
      </c>
      <c r="B133" t="s">
        <v>17</v>
      </c>
      <c r="C133" t="s">
        <v>6</v>
      </c>
      <c r="E133">
        <v>100</v>
      </c>
      <c r="G133">
        <v>106</v>
      </c>
      <c r="H133" s="9">
        <f t="shared" si="4"/>
        <v>206</v>
      </c>
      <c r="K133" s="25">
        <f>(Table2[[#This Row],[Home Pace]]/100)*(VLOOKUP(Table2[[#This Row],[Home/Neutral]],home_lookup,8,FALSE)+VLOOKUP(Table2[[#This Row],[Home/Neutral]],OFR_lookup,2,FALSE)+VLOOKUP(Table2[[#This Row],[Visitor/Neutral]],def_diff_lookup,6,FALSE))</f>
        <v>107.07342692873544</v>
      </c>
      <c r="L133" s="25"/>
      <c r="M133" s="25">
        <f>(Table2[[#This Row],[Away Pace]]/100)*(VLOOKUP(Table2[[#This Row],[Visitor/Neutral]],OFR_lookup,2,FALSE)+VLOOKUP(Table2[[#This Row],[Home/Neutral]],def_diff_lookup,6,FALSE))</f>
        <v>106.40461066666667</v>
      </c>
      <c r="N133" s="25"/>
      <c r="O133" s="25"/>
      <c r="P133">
        <f>VLOOKUP(Table2[[#This Row],[Home/Neutral]],pace_lookup,7,FALSE)</f>
        <v>96.7</v>
      </c>
      <c r="Q133" s="5">
        <f>VLOOKUP(Table2[[#This Row],[Visitor/Neutral]],pace_lookup,7,FALSE)</f>
        <v>93.1</v>
      </c>
      <c r="R133" s="9">
        <f t="shared" si="5"/>
        <v>6</v>
      </c>
      <c r="V133" s="2">
        <f>-home-VLOOKUP(Table2[[#This Row],[Home/Neutral]],rtg_vlookup,4,FALSE)+VLOOKUP(Table2[[#This Row],[Visitor/Neutral]],rtg_vlookup,4,FALSE)</f>
        <v>3.4881516587669026E-2</v>
      </c>
      <c r="W133" s="25"/>
      <c r="X133" s="2"/>
      <c r="Y133" s="2">
        <f>Table2[[#This Row],[Away EV]]-Table2[[#This Row],[Home EV]]</f>
        <v>-0.66881626206877343</v>
      </c>
      <c r="Z133" s="33"/>
      <c r="AA133" s="34"/>
      <c r="AB133" t="b">
        <f>IF(VLOOKUP(Table2[[#This Row],[Home/Neutral]],division_lookup,9,FALSE)=VLOOKUP(Table2[[#This Row],[Visitor/Neutral]],division_lookup,9,FALSE),TRUE,FALSE)</f>
        <v>1</v>
      </c>
      <c r="AC133" s="19" t="str">
        <f>VLOOKUP(Table2[[#This Row],[Home/Neutral]],division_lookup,9,FALSE)</f>
        <v>SW</v>
      </c>
      <c r="AD133" s="19"/>
      <c r="AE133" s="19" t="str">
        <f>IF(Table2[[#This Row],[Total EV ®]]&lt;Table2[[#This Row],[Total (V)]],"UNDER","OVER")</f>
        <v>OVER</v>
      </c>
      <c r="AF133" s="19"/>
      <c r="AG133" s="19"/>
      <c r="AH133" s="2"/>
      <c r="AI133" s="22">
        <f>Table2[[#This Row],[(A)]]-Table2[[#This Row],[Spread]]</f>
        <v>-5.965118483412331</v>
      </c>
      <c r="AJ133" s="1">
        <f>Table2[[#This Row],[(A) Err]]^2</f>
        <v>35.58263852114743</v>
      </c>
      <c r="AK133" s="6">
        <f>Table2[[#This Row],[EV]]-Table2[[#This Row],[Spread]]</f>
        <v>-6.6688162620687734</v>
      </c>
      <c r="AL133" s="1">
        <f>Table2[[#This Row],[EV Err]]^2</f>
        <v>44.473110337232924</v>
      </c>
    </row>
    <row r="134" spans="1:38" x14ac:dyDescent="0.25">
      <c r="A134" t="s">
        <v>61</v>
      </c>
      <c r="B134" t="s">
        <v>33</v>
      </c>
      <c r="C134" t="s">
        <v>26</v>
      </c>
      <c r="E134">
        <v>99</v>
      </c>
      <c r="G134">
        <v>105</v>
      </c>
      <c r="H134" s="9">
        <f t="shared" si="4"/>
        <v>204</v>
      </c>
      <c r="K134" s="25">
        <f>(Table2[[#This Row],[Home Pace]]/100)*(VLOOKUP(Table2[[#This Row],[Home/Neutral]],home_lookup,8,FALSE)+VLOOKUP(Table2[[#This Row],[Home/Neutral]],OFR_lookup,2,FALSE)+VLOOKUP(Table2[[#This Row],[Visitor/Neutral]],def_diff_lookup,6,FALSE))</f>
        <v>109.23749852057507</v>
      </c>
      <c r="L134" s="25"/>
      <c r="M134" s="25">
        <f>(Table2[[#This Row],[Away Pace]]/100)*(VLOOKUP(Table2[[#This Row],[Visitor/Neutral]],OFR_lookup,2,FALSE)+VLOOKUP(Table2[[#This Row],[Home/Neutral]],def_diff_lookup,6,FALSE))</f>
        <v>105.90784000000001</v>
      </c>
      <c r="N134" s="25"/>
      <c r="O134" s="25"/>
      <c r="P134">
        <f>VLOOKUP(Table2[[#This Row],[Home/Neutral]],pace_lookup,7,FALSE)</f>
        <v>98.2</v>
      </c>
      <c r="Q134" s="5">
        <f>VLOOKUP(Table2[[#This Row],[Visitor/Neutral]],pace_lookup,7,FALSE)</f>
        <v>96</v>
      </c>
      <c r="R134" s="9">
        <f t="shared" si="5"/>
        <v>6</v>
      </c>
      <c r="V134" s="2">
        <f>-home-VLOOKUP(Table2[[#This Row],[Home/Neutral]],rtg_vlookup,4,FALSE)+VLOOKUP(Table2[[#This Row],[Visitor/Neutral]],rtg_vlookup,4,FALSE)</f>
        <v>2.2948815165876697</v>
      </c>
      <c r="W134" s="25"/>
      <c r="X134" s="2"/>
      <c r="Y134" s="2">
        <f>Table2[[#This Row],[Away EV]]-Table2[[#This Row],[Home EV]]</f>
        <v>-3.3296585205750659</v>
      </c>
      <c r="Z134" s="33"/>
      <c r="AA134" s="34"/>
      <c r="AB134" t="b">
        <f>IF(VLOOKUP(Table2[[#This Row],[Home/Neutral]],division_lookup,9,FALSE)=VLOOKUP(Table2[[#This Row],[Visitor/Neutral]],division_lookup,9,FALSE),TRUE,FALSE)</f>
        <v>0</v>
      </c>
      <c r="AC134" s="19" t="str">
        <f>VLOOKUP(Table2[[#This Row],[Home/Neutral]],division_lookup,9,FALSE)</f>
        <v>C</v>
      </c>
      <c r="AD134" s="19"/>
      <c r="AE134" s="19" t="str">
        <f>IF(Table2[[#This Row],[Total EV ®]]&lt;Table2[[#This Row],[Total (V)]],"UNDER","OVER")</f>
        <v>OVER</v>
      </c>
      <c r="AF134" s="19"/>
      <c r="AG134" s="19"/>
      <c r="AH134" s="2"/>
      <c r="AI134" s="22">
        <f>Table2[[#This Row],[(A)]]-Table2[[#This Row],[Spread]]</f>
        <v>-3.7051184834123303</v>
      </c>
      <c r="AJ134" s="1">
        <f>Table2[[#This Row],[(A) Err]]^2</f>
        <v>13.727902976123687</v>
      </c>
      <c r="AK134" s="6">
        <f>Table2[[#This Row],[EV]]-Table2[[#This Row],[Spread]]</f>
        <v>-9.3296585205750659</v>
      </c>
      <c r="AL134" s="1">
        <f>Table2[[#This Row],[EV Err]]^2</f>
        <v>87.042528110538925</v>
      </c>
    </row>
    <row r="135" spans="1:38" x14ac:dyDescent="0.25">
      <c r="A135" t="s">
        <v>61</v>
      </c>
      <c r="B135" t="s">
        <v>21</v>
      </c>
      <c r="C135" t="s">
        <v>20</v>
      </c>
      <c r="E135">
        <v>91</v>
      </c>
      <c r="G135">
        <v>102</v>
      </c>
      <c r="H135" s="9">
        <f t="shared" si="4"/>
        <v>193</v>
      </c>
      <c r="K135" s="25">
        <f>(Table2[[#This Row],[Home Pace]]/100)*(VLOOKUP(Table2[[#This Row],[Home/Neutral]],home_lookup,8,FALSE)+VLOOKUP(Table2[[#This Row],[Home/Neutral]],OFR_lookup,2,FALSE)+VLOOKUP(Table2[[#This Row],[Visitor/Neutral]],def_diff_lookup,6,FALSE))</f>
        <v>100.10329117524391</v>
      </c>
      <c r="L135" s="25"/>
      <c r="M135" s="25">
        <f>(Table2[[#This Row],[Away Pace]]/100)*(VLOOKUP(Table2[[#This Row],[Visitor/Neutral]],OFR_lookup,2,FALSE)+VLOOKUP(Table2[[#This Row],[Home/Neutral]],def_diff_lookup,6,FALSE))</f>
        <v>93.47307600000002</v>
      </c>
      <c r="N135" s="25"/>
      <c r="O135" s="25"/>
      <c r="P135">
        <f>VLOOKUP(Table2[[#This Row],[Home/Neutral]],pace_lookup,7,FALSE)</f>
        <v>94.2</v>
      </c>
      <c r="Q135" s="5">
        <f>VLOOKUP(Table2[[#This Row],[Visitor/Neutral]],pace_lookup,7,FALSE)</f>
        <v>90.9</v>
      </c>
      <c r="R135" s="9">
        <f t="shared" si="5"/>
        <v>11</v>
      </c>
      <c r="V135" s="2">
        <f>-home-VLOOKUP(Table2[[#This Row],[Home/Neutral]],rtg_vlookup,4,FALSE)+VLOOKUP(Table2[[#This Row],[Visitor/Neutral]],rtg_vlookup,4,FALSE)</f>
        <v>-0.89511848341233091</v>
      </c>
      <c r="W135" s="25"/>
      <c r="X135" s="2"/>
      <c r="Y135" s="2">
        <f>Table2[[#This Row],[Away EV]]-Table2[[#This Row],[Home EV]]</f>
        <v>-6.6302151752438903</v>
      </c>
      <c r="Z135" s="33"/>
      <c r="AA135" s="34"/>
      <c r="AB135" t="b">
        <f>IF(VLOOKUP(Table2[[#This Row],[Home/Neutral]],division_lookup,9,FALSE)=VLOOKUP(Table2[[#This Row],[Visitor/Neutral]],division_lookup,9,FALSE),TRUE,FALSE)</f>
        <v>0</v>
      </c>
      <c r="AC135" s="19" t="str">
        <f>VLOOKUP(Table2[[#This Row],[Home/Neutral]],division_lookup,9,FALSE)</f>
        <v>SE</v>
      </c>
      <c r="AD135" s="19"/>
      <c r="AE135" s="19" t="str">
        <f>IF(Table2[[#This Row],[Total EV ®]]&lt;Table2[[#This Row],[Total (V)]],"UNDER","OVER")</f>
        <v>OVER</v>
      </c>
      <c r="AF135" s="19"/>
      <c r="AG135" s="19"/>
      <c r="AH135" s="2"/>
      <c r="AI135" s="22">
        <f>Table2[[#This Row],[(A)]]-Table2[[#This Row],[Spread]]</f>
        <v>-11.895118483412331</v>
      </c>
      <c r="AJ135" s="1">
        <f>Table2[[#This Row],[(A) Err]]^2</f>
        <v>141.49384373441765</v>
      </c>
      <c r="AK135" s="6">
        <f>Table2[[#This Row],[EV]]-Table2[[#This Row],[Spread]]</f>
        <v>-17.63021517524389</v>
      </c>
      <c r="AL135" s="1">
        <f>Table2[[#This Row],[EV Err]]^2</f>
        <v>310.82448712539997</v>
      </c>
    </row>
    <row r="136" spans="1:38" x14ac:dyDescent="0.25">
      <c r="A136" t="s">
        <v>61</v>
      </c>
      <c r="B136" t="s">
        <v>30</v>
      </c>
      <c r="C136" t="s">
        <v>23</v>
      </c>
      <c r="E136">
        <v>106</v>
      </c>
      <c r="G136">
        <v>96</v>
      </c>
      <c r="H136" s="9">
        <f t="shared" si="4"/>
        <v>202</v>
      </c>
      <c r="K136" s="25">
        <f>(Table2[[#This Row],[Home Pace]]/100)*(VLOOKUP(Table2[[#This Row],[Home/Neutral]],home_lookup,8,FALSE)+VLOOKUP(Table2[[#This Row],[Home/Neutral]],OFR_lookup,2,FALSE)+VLOOKUP(Table2[[#This Row],[Visitor/Neutral]],def_diff_lookup,6,FALSE))</f>
        <v>103.87248034993645</v>
      </c>
      <c r="L136" s="25"/>
      <c r="M136" s="25">
        <f>(Table2[[#This Row],[Away Pace]]/100)*(VLOOKUP(Table2[[#This Row],[Visitor/Neutral]],OFR_lookup,2,FALSE)+VLOOKUP(Table2[[#This Row],[Home/Neutral]],def_diff_lookup,6,FALSE))</f>
        <v>98.281866666666687</v>
      </c>
      <c r="N136" s="25"/>
      <c r="O136" s="25"/>
      <c r="P136">
        <f>VLOOKUP(Table2[[#This Row],[Home/Neutral]],pace_lookup,7,FALSE)</f>
        <v>96.8</v>
      </c>
      <c r="Q136" s="5">
        <f>VLOOKUP(Table2[[#This Row],[Visitor/Neutral]],pace_lookup,7,FALSE)</f>
        <v>92.5</v>
      </c>
      <c r="R136" s="9">
        <f t="shared" si="5"/>
        <v>-10</v>
      </c>
      <c r="V136" s="2">
        <f>-home-VLOOKUP(Table2[[#This Row],[Home/Neutral]],rtg_vlookup,4,FALSE)+VLOOKUP(Table2[[#This Row],[Visitor/Neutral]],rtg_vlookup,4,FALSE)</f>
        <v>2.1848815165876689</v>
      </c>
      <c r="W136" s="25"/>
      <c r="X136" s="2"/>
      <c r="Y136" s="2">
        <f>Table2[[#This Row],[Away EV]]-Table2[[#This Row],[Home EV]]</f>
        <v>-5.5906136832697655</v>
      </c>
      <c r="Z136" s="33"/>
      <c r="AA136" s="34"/>
      <c r="AB136" t="b">
        <f>IF(VLOOKUP(Table2[[#This Row],[Home/Neutral]],division_lookup,9,FALSE)=VLOOKUP(Table2[[#This Row],[Visitor/Neutral]],division_lookup,9,FALSE),TRUE,FALSE)</f>
        <v>0</v>
      </c>
      <c r="AC136" s="19" t="str">
        <f>VLOOKUP(Table2[[#This Row],[Home/Neutral]],division_lookup,9,FALSE)</f>
        <v>C</v>
      </c>
      <c r="AD136" s="19"/>
      <c r="AE136" s="19" t="str">
        <f>IF(Table2[[#This Row],[Total EV ®]]&lt;Table2[[#This Row],[Total (V)]],"UNDER","OVER")</f>
        <v>OVER</v>
      </c>
      <c r="AF136" s="19"/>
      <c r="AG136" s="19"/>
      <c r="AH136" s="2"/>
      <c r="AI136" s="22">
        <f>Table2[[#This Row],[(A)]]-Table2[[#This Row],[Spread]]</f>
        <v>12.184881516587669</v>
      </c>
      <c r="AJ136" s="1">
        <f>Table2[[#This Row],[(A) Err]]^2</f>
        <v>148.47133757327981</v>
      </c>
      <c r="AK136" s="6">
        <f>Table2[[#This Row],[EV]]-Table2[[#This Row],[Spread]]</f>
        <v>4.4093863167302345</v>
      </c>
      <c r="AL136" s="1">
        <f>Table2[[#This Row],[EV Err]]^2</f>
        <v>19.442687690167823</v>
      </c>
    </row>
    <row r="137" spans="1:38" x14ac:dyDescent="0.25">
      <c r="A137" t="s">
        <v>61</v>
      </c>
      <c r="B137" t="s">
        <v>22</v>
      </c>
      <c r="C137" t="s">
        <v>4</v>
      </c>
      <c r="E137">
        <v>105</v>
      </c>
      <c r="G137">
        <v>119</v>
      </c>
      <c r="H137" s="9">
        <f t="shared" si="4"/>
        <v>224</v>
      </c>
      <c r="K137" s="25">
        <f>(Table2[[#This Row],[Home Pace]]/100)*(VLOOKUP(Table2[[#This Row],[Home/Neutral]],home_lookup,8,FALSE)+VLOOKUP(Table2[[#This Row],[Home/Neutral]],OFR_lookup,2,FALSE)+VLOOKUP(Table2[[#This Row],[Visitor/Neutral]],def_diff_lookup,6,FALSE))</f>
        <v>105.15817922968976</v>
      </c>
      <c r="L137" s="25"/>
      <c r="M137" s="25">
        <f>(Table2[[#This Row],[Away Pace]]/100)*(VLOOKUP(Table2[[#This Row],[Visitor/Neutral]],OFR_lookup,2,FALSE)+VLOOKUP(Table2[[#This Row],[Home/Neutral]],def_diff_lookup,6,FALSE))</f>
        <v>114.84838400000001</v>
      </c>
      <c r="N137" s="25"/>
      <c r="O137" s="25"/>
      <c r="P137">
        <f>VLOOKUP(Table2[[#This Row],[Home/Neutral]],pace_lookup,7,FALSE)</f>
        <v>94.7</v>
      </c>
      <c r="Q137" s="5">
        <f>VLOOKUP(Table2[[#This Row],[Visitor/Neutral]],pace_lookup,7,FALSE)</f>
        <v>96.6</v>
      </c>
      <c r="R137" s="9">
        <f t="shared" si="5"/>
        <v>14</v>
      </c>
      <c r="V137" s="2">
        <f>-home-VLOOKUP(Table2[[#This Row],[Home/Neutral]],rtg_vlookup,4,FALSE)+VLOOKUP(Table2[[#This Row],[Visitor/Neutral]],rtg_vlookup,4,FALSE)</f>
        <v>11.00488151658767</v>
      </c>
      <c r="W137" s="25"/>
      <c r="X137" s="2"/>
      <c r="Y137" s="2">
        <f>Table2[[#This Row],[Away EV]]-Table2[[#This Row],[Home EV]]</f>
        <v>9.6902047703102454</v>
      </c>
      <c r="Z137" s="33"/>
      <c r="AA137" s="34"/>
      <c r="AB137" t="b">
        <f>IF(VLOOKUP(Table2[[#This Row],[Home/Neutral]],division_lookup,9,FALSE)=VLOOKUP(Table2[[#This Row],[Visitor/Neutral]],division_lookup,9,FALSE),TRUE,FALSE)</f>
        <v>0</v>
      </c>
      <c r="AC137" s="19" t="str">
        <f>VLOOKUP(Table2[[#This Row],[Home/Neutral]],division_lookup,9,FALSE)</f>
        <v>NW</v>
      </c>
      <c r="AD137" s="19"/>
      <c r="AE137" s="19" t="str">
        <f>IF(Table2[[#This Row],[Total EV ®]]&lt;Table2[[#This Row],[Total (V)]],"UNDER","OVER")</f>
        <v>OVER</v>
      </c>
      <c r="AF137" s="19"/>
      <c r="AG137" s="19"/>
      <c r="AH137" s="2"/>
      <c r="AI137" s="22">
        <f>Table2[[#This Row],[(A)]]-Table2[[#This Row],[Spread]]</f>
        <v>-2.9951184834123303</v>
      </c>
      <c r="AJ137" s="1">
        <f>Table2[[#This Row],[(A) Err]]^2</f>
        <v>8.9707347296781776</v>
      </c>
      <c r="AK137" s="6">
        <f>Table2[[#This Row],[EV]]-Table2[[#This Row],[Spread]]</f>
        <v>-4.3097952296897546</v>
      </c>
      <c r="AL137" s="1">
        <f>Table2[[#This Row],[EV Err]]^2</f>
        <v>18.574334921856565</v>
      </c>
    </row>
    <row r="138" spans="1:38" x14ac:dyDescent="0.25">
      <c r="A138" t="s">
        <v>61</v>
      </c>
      <c r="B138" t="s">
        <v>34</v>
      </c>
      <c r="C138" t="s">
        <v>24</v>
      </c>
      <c r="E138">
        <v>99</v>
      </c>
      <c r="G138">
        <v>126</v>
      </c>
      <c r="H138" s="9">
        <f t="shared" si="4"/>
        <v>225</v>
      </c>
      <c r="K138" s="25">
        <f>(Table2[[#This Row],[Home Pace]]/100)*(VLOOKUP(Table2[[#This Row],[Home/Neutral]],home_lookup,8,FALSE)+VLOOKUP(Table2[[#This Row],[Home/Neutral]],OFR_lookup,2,FALSE)+VLOOKUP(Table2[[#This Row],[Visitor/Neutral]],def_diff_lookup,6,FALSE))</f>
        <v>108.81015864565555</v>
      </c>
      <c r="L138" s="25"/>
      <c r="M138" s="25">
        <f>(Table2[[#This Row],[Away Pace]]/100)*(VLOOKUP(Table2[[#This Row],[Visitor/Neutral]],OFR_lookup,2,FALSE)+VLOOKUP(Table2[[#This Row],[Home/Neutral]],def_diff_lookup,6,FALSE))</f>
        <v>110.16039600000002</v>
      </c>
      <c r="N138" s="25"/>
      <c r="O138" s="25"/>
      <c r="P138">
        <f>VLOOKUP(Table2[[#This Row],[Home/Neutral]],pace_lookup,7,FALSE)</f>
        <v>98.8</v>
      </c>
      <c r="Q138" s="5">
        <f>VLOOKUP(Table2[[#This Row],[Visitor/Neutral]],pace_lookup,7,FALSE)</f>
        <v>99.9</v>
      </c>
      <c r="R138" s="9">
        <f t="shared" si="5"/>
        <v>27</v>
      </c>
      <c r="V138" s="2">
        <f>-home-VLOOKUP(Table2[[#This Row],[Home/Neutral]],rtg_vlookup,4,FALSE)+VLOOKUP(Table2[[#This Row],[Visitor/Neutral]],rtg_vlookup,4,FALSE)</f>
        <v>2.5648815165876693</v>
      </c>
      <c r="W138" s="25"/>
      <c r="X138" s="2"/>
      <c r="Y138" s="2">
        <f>Table2[[#This Row],[Away EV]]-Table2[[#This Row],[Home EV]]</f>
        <v>1.3502373543444719</v>
      </c>
      <c r="Z138" s="33"/>
      <c r="AA138" s="34"/>
      <c r="AB138" t="b">
        <f>IF(VLOOKUP(Table2[[#This Row],[Home/Neutral]],division_lookup,9,FALSE)=VLOOKUP(Table2[[#This Row],[Visitor/Neutral]],division_lookup,9,FALSE),TRUE,FALSE)</f>
        <v>0</v>
      </c>
      <c r="AC138" s="19" t="str">
        <f>VLOOKUP(Table2[[#This Row],[Home/Neutral]],division_lookup,9,FALSE)</f>
        <v>SW</v>
      </c>
      <c r="AD138" s="19"/>
      <c r="AE138" s="19" t="str">
        <f>IF(Table2[[#This Row],[Total EV ®]]&lt;Table2[[#This Row],[Total (V)]],"UNDER","OVER")</f>
        <v>OVER</v>
      </c>
      <c r="AF138" s="19"/>
      <c r="AG138" s="19"/>
      <c r="AH138" s="2"/>
      <c r="AI138" s="22">
        <f>Table2[[#This Row],[(A)]]-Table2[[#This Row],[Spread]]</f>
        <v>-24.435118483412332</v>
      </c>
      <c r="AJ138" s="1">
        <f>Table2[[#This Row],[(A) Err]]^2</f>
        <v>597.07501529839897</v>
      </c>
      <c r="AK138" s="6">
        <f>Table2[[#This Row],[EV]]-Table2[[#This Row],[Spread]]</f>
        <v>-25.649762645655528</v>
      </c>
      <c r="AL138" s="1">
        <f>Table2[[#This Row],[EV Err]]^2</f>
        <v>657.91032377846568</v>
      </c>
    </row>
    <row r="139" spans="1:38" x14ac:dyDescent="0.25">
      <c r="A139" t="s">
        <v>61</v>
      </c>
      <c r="B139" t="s">
        <v>36</v>
      </c>
      <c r="C139" t="s">
        <v>35</v>
      </c>
      <c r="E139">
        <v>104</v>
      </c>
      <c r="G139">
        <v>122</v>
      </c>
      <c r="H139" s="9">
        <f t="shared" si="4"/>
        <v>226</v>
      </c>
      <c r="K139" s="25">
        <f>(Table2[[#This Row],[Home Pace]]/100)*(VLOOKUP(Table2[[#This Row],[Home/Neutral]],home_lookup,8,FALSE)+VLOOKUP(Table2[[#This Row],[Home/Neutral]],OFR_lookup,2,FALSE)+VLOOKUP(Table2[[#This Row],[Visitor/Neutral]],def_diff_lookup,6,FALSE))</f>
        <v>111.13093156604042</v>
      </c>
      <c r="L139" s="25"/>
      <c r="M139" s="25">
        <f>(Table2[[#This Row],[Away Pace]]/100)*(VLOOKUP(Table2[[#This Row],[Visitor/Neutral]],OFR_lookup,2,FALSE)+VLOOKUP(Table2[[#This Row],[Home/Neutral]],def_diff_lookup,6,FALSE))</f>
        <v>108.76192133333335</v>
      </c>
      <c r="N139" s="25"/>
      <c r="O139" s="25"/>
      <c r="P139">
        <f>VLOOKUP(Table2[[#This Row],[Home/Neutral]],pace_lookup,7,FALSE)</f>
        <v>102.2</v>
      </c>
      <c r="Q139" s="5">
        <f>VLOOKUP(Table2[[#This Row],[Visitor/Neutral]],pace_lookup,7,FALSE)</f>
        <v>102.2</v>
      </c>
      <c r="R139" s="9">
        <f t="shared" si="5"/>
        <v>18</v>
      </c>
      <c r="V139" s="2">
        <f>-home-VLOOKUP(Table2[[#This Row],[Home/Neutral]],rtg_vlookup,4,FALSE)+VLOOKUP(Table2[[#This Row],[Visitor/Neutral]],rtg_vlookup,4,FALSE)</f>
        <v>-2.8351184834123302</v>
      </c>
      <c r="W139" s="25"/>
      <c r="X139" s="2"/>
      <c r="Y139" s="2">
        <f>Table2[[#This Row],[Away EV]]-Table2[[#This Row],[Home EV]]</f>
        <v>-2.369010232707069</v>
      </c>
      <c r="Z139" s="33"/>
      <c r="AA139" s="34"/>
      <c r="AB139" t="b">
        <f>IF(VLOOKUP(Table2[[#This Row],[Home/Neutral]],division_lookup,9,FALSE)=VLOOKUP(Table2[[#This Row],[Visitor/Neutral]],division_lookup,9,FALSE),TRUE,FALSE)</f>
        <v>0</v>
      </c>
      <c r="AC139" s="19" t="str">
        <f>VLOOKUP(Table2[[#This Row],[Home/Neutral]],division_lookup,9,FALSE)</f>
        <v>P</v>
      </c>
      <c r="AD139" s="19"/>
      <c r="AE139" s="19" t="str">
        <f>IF(Table2[[#This Row],[Total EV ®]]&lt;Table2[[#This Row],[Total (V)]],"UNDER","OVER")</f>
        <v>OVER</v>
      </c>
      <c r="AF139" s="19"/>
      <c r="AG139" s="19"/>
      <c r="AH139" s="2"/>
      <c r="AI139" s="22">
        <f>Table2[[#This Row],[(A)]]-Table2[[#This Row],[Spread]]</f>
        <v>-20.83511848341233</v>
      </c>
      <c r="AJ139" s="1">
        <f>Table2[[#This Row],[(A) Err]]^2</f>
        <v>434.10216221783014</v>
      </c>
      <c r="AK139" s="6">
        <f>Table2[[#This Row],[EV]]-Table2[[#This Row],[Spread]]</f>
        <v>-20.369010232707069</v>
      </c>
      <c r="AL139" s="1">
        <f>Table2[[#This Row],[EV Err]]^2</f>
        <v>414.89657786012526</v>
      </c>
    </row>
    <row r="140" spans="1:38" ht="15.75" thickBot="1" x14ac:dyDescent="0.3">
      <c r="A140" s="3" t="s">
        <v>61</v>
      </c>
      <c r="B140" s="3" t="s">
        <v>14</v>
      </c>
      <c r="C140" s="3" t="s">
        <v>31</v>
      </c>
      <c r="D140" s="3"/>
      <c r="E140" s="3">
        <v>118</v>
      </c>
      <c r="F140" s="3"/>
      <c r="G140" s="3">
        <v>107</v>
      </c>
      <c r="H140" s="10">
        <f t="shared" si="4"/>
        <v>225</v>
      </c>
      <c r="I140" s="3"/>
      <c r="J140" s="3"/>
      <c r="K140" s="26">
        <f>(Table2[[#This Row],[Home Pace]]/100)*(VLOOKUP(Table2[[#This Row],[Home/Neutral]],home_lookup,8,FALSE)+VLOOKUP(Table2[[#This Row],[Home/Neutral]],OFR_lookup,2,FALSE)+VLOOKUP(Table2[[#This Row],[Visitor/Neutral]],def_diff_lookup,6,FALSE))</f>
        <v>111.69426414241451</v>
      </c>
      <c r="L140" s="26"/>
      <c r="M140" s="26">
        <f>(Table2[[#This Row],[Away Pace]]/100)*(VLOOKUP(Table2[[#This Row],[Visitor/Neutral]],OFR_lookup,2,FALSE)+VLOOKUP(Table2[[#This Row],[Home/Neutral]],def_diff_lookup,6,FALSE))</f>
        <v>106.24384000000001</v>
      </c>
      <c r="N140" s="26"/>
      <c r="O140" s="26"/>
      <c r="P140" s="3">
        <f>VLOOKUP(Table2[[#This Row],[Home/Neutral]],pace_lookup,7,FALSE)</f>
        <v>95.9</v>
      </c>
      <c r="Q140" s="3">
        <f>VLOOKUP(Table2[[#This Row],[Visitor/Neutral]],pace_lookup,7,FALSE)</f>
        <v>96</v>
      </c>
      <c r="R140" s="10">
        <f t="shared" si="5"/>
        <v>-11</v>
      </c>
      <c r="S140" s="3"/>
      <c r="T140" s="3"/>
      <c r="U140" s="3"/>
      <c r="V140" s="12">
        <f>-home-VLOOKUP(Table2[[#This Row],[Home/Neutral]],rtg_vlookup,4,FALSE)+VLOOKUP(Table2[[#This Row],[Visitor/Neutral]],rtg_vlookup,4,FALSE)</f>
        <v>-9.9351184834123316</v>
      </c>
      <c r="W140" s="26"/>
      <c r="X140" s="12"/>
      <c r="Y140" s="12">
        <f>Table2[[#This Row],[Away EV]]-Table2[[#This Row],[Home EV]]</f>
        <v>-5.450424142414505</v>
      </c>
      <c r="Z140" s="35"/>
      <c r="AA140" s="36"/>
      <c r="AB140" s="3" t="b">
        <f>IF(VLOOKUP(Table2[[#This Row],[Home/Neutral]],division_lookup,9,FALSE)=VLOOKUP(Table2[[#This Row],[Visitor/Neutral]],division_lookup,9,FALSE),TRUE,FALSE)</f>
        <v>1</v>
      </c>
      <c r="AC140" s="20" t="str">
        <f>VLOOKUP(Table2[[#This Row],[Home/Neutral]],division_lookup,9,FALSE)</f>
        <v>A</v>
      </c>
      <c r="AD140" s="20"/>
      <c r="AE140" s="20" t="str">
        <f>IF(Table2[[#This Row],[Total EV ®]]&lt;Table2[[#This Row],[Total (V)]],"UNDER","OVER")</f>
        <v>OVER</v>
      </c>
      <c r="AF140" s="21"/>
      <c r="AG140" s="20"/>
      <c r="AH140" s="12"/>
      <c r="AI140" s="23">
        <f>Table2[[#This Row],[(A)]]-Table2[[#This Row],[Spread]]</f>
        <v>1.0648815165876684</v>
      </c>
      <c r="AJ140" s="4">
        <f>Table2[[#This Row],[(A) Err]]^2</f>
        <v>1.1339726443700526</v>
      </c>
      <c r="AK140" s="4">
        <f>Table2[[#This Row],[EV]]-Table2[[#This Row],[Spread]]</f>
        <v>5.549575857585495</v>
      </c>
      <c r="AL140" s="4">
        <f>Table2[[#This Row],[EV Err]]^2</f>
        <v>30.797792199095781</v>
      </c>
    </row>
    <row r="141" spans="1:38" x14ac:dyDescent="0.25">
      <c r="A141" t="s">
        <v>62</v>
      </c>
      <c r="B141" t="s">
        <v>8</v>
      </c>
      <c r="C141" t="s">
        <v>16</v>
      </c>
      <c r="E141">
        <v>100</v>
      </c>
      <c r="G141">
        <v>93</v>
      </c>
      <c r="H141" s="9">
        <f t="shared" si="4"/>
        <v>193</v>
      </c>
      <c r="K141" s="25">
        <f>(Table2[[#This Row],[Home Pace]]/100)*(VLOOKUP(Table2[[#This Row],[Home/Neutral]],home_lookup,8,FALSE)+VLOOKUP(Table2[[#This Row],[Home/Neutral]],OFR_lookup,2,FALSE)+VLOOKUP(Table2[[#This Row],[Visitor/Neutral]],def_diff_lookup,6,FALSE))</f>
        <v>103.0662603689818</v>
      </c>
      <c r="L141" s="25"/>
      <c r="M141" s="25">
        <f>(Table2[[#This Row],[Away Pace]]/100)*(VLOOKUP(Table2[[#This Row],[Visitor/Neutral]],OFR_lookup,2,FALSE)+VLOOKUP(Table2[[#This Row],[Home/Neutral]],def_diff_lookup,6,FALSE))</f>
        <v>102.5609</v>
      </c>
      <c r="N141" s="25"/>
      <c r="O141" s="25"/>
      <c r="P141">
        <f>VLOOKUP(Table2[[#This Row],[Home/Neutral]],pace_lookup,7,FALSE)</f>
        <v>97.2</v>
      </c>
      <c r="Q141" s="5">
        <f>VLOOKUP(Table2[[#This Row],[Visitor/Neutral]],pace_lookup,7,FALSE)</f>
        <v>97.5</v>
      </c>
      <c r="R141" s="9">
        <f t="shared" si="5"/>
        <v>-7</v>
      </c>
      <c r="V141" s="2">
        <f>-home-VLOOKUP(Table2[[#This Row],[Home/Neutral]],rtg_vlookup,4,FALSE)+VLOOKUP(Table2[[#This Row],[Visitor/Neutral]],rtg_vlookup,4,FALSE)</f>
        <v>-6.9651184834123301</v>
      </c>
      <c r="W141" s="25"/>
      <c r="X141" s="2"/>
      <c r="Y141" s="2">
        <f>Table2[[#This Row],[Away EV]]-Table2[[#This Row],[Home EV]]</f>
        <v>-0.50536036898179759</v>
      </c>
      <c r="Z141" s="33"/>
      <c r="AA141" s="34"/>
      <c r="AB141" t="b">
        <f>IF(VLOOKUP(Table2[[#This Row],[Home/Neutral]],division_lookup,9,FALSE)=VLOOKUP(Table2[[#This Row],[Visitor/Neutral]],division_lookup,9,FALSE),TRUE,FALSE)</f>
        <v>0</v>
      </c>
      <c r="AC141" s="19" t="str">
        <f>VLOOKUP(Table2[[#This Row],[Home/Neutral]],division_lookup,9,FALSE)</f>
        <v>C</v>
      </c>
      <c r="AD141" s="19"/>
      <c r="AE141" s="19" t="str">
        <f>IF(Table2[[#This Row],[Total EV ®]]&lt;Table2[[#This Row],[Total (V)]],"UNDER","OVER")</f>
        <v>OVER</v>
      </c>
      <c r="AF141" s="19"/>
      <c r="AG141" s="19"/>
      <c r="AH141" s="2"/>
      <c r="AI141" s="22">
        <f>Table2[[#This Row],[(A)]]-Table2[[#This Row],[Spread]]</f>
        <v>3.4881516587669914E-2</v>
      </c>
      <c r="AJ141" s="1">
        <f>Table2[[#This Row],[(A) Err]]^2</f>
        <v>1.2167201994558914E-3</v>
      </c>
      <c r="AK141" s="6">
        <f>Table2[[#This Row],[EV]]-Table2[[#This Row],[Spread]]</f>
        <v>6.4946396310182024</v>
      </c>
      <c r="AL141" s="1">
        <f>Table2[[#This Row],[EV Err]]^2</f>
        <v>42.180343936792255</v>
      </c>
    </row>
    <row r="142" spans="1:38" x14ac:dyDescent="0.25">
      <c r="A142" t="s">
        <v>62</v>
      </c>
      <c r="B142" t="s">
        <v>10</v>
      </c>
      <c r="C142" t="s">
        <v>36</v>
      </c>
      <c r="E142">
        <v>133</v>
      </c>
      <c r="G142">
        <v>120</v>
      </c>
      <c r="H142" s="9">
        <f t="shared" si="4"/>
        <v>253</v>
      </c>
      <c r="K142" s="25">
        <f>(Table2[[#This Row],[Home Pace]]/100)*(VLOOKUP(Table2[[#This Row],[Home/Neutral]],home_lookup,8,FALSE)+VLOOKUP(Table2[[#This Row],[Home/Neutral]],OFR_lookup,2,FALSE)+VLOOKUP(Table2[[#This Row],[Visitor/Neutral]],def_diff_lookup,6,FALSE))</f>
        <v>110.0548885379056</v>
      </c>
      <c r="L142" s="25"/>
      <c r="M142" s="25">
        <f>(Table2[[#This Row],[Away Pace]]/100)*(VLOOKUP(Table2[[#This Row],[Visitor/Neutral]],OFR_lookup,2,FALSE)+VLOOKUP(Table2[[#This Row],[Home/Neutral]],def_diff_lookup,6,FALSE))</f>
        <v>106.83034133333335</v>
      </c>
      <c r="N142" s="25"/>
      <c r="O142" s="25"/>
      <c r="P142">
        <f>VLOOKUP(Table2[[#This Row],[Home/Neutral]],pace_lookup,7,FALSE)</f>
        <v>100.3</v>
      </c>
      <c r="Q142" s="5">
        <f>VLOOKUP(Table2[[#This Row],[Visitor/Neutral]],pace_lookup,7,FALSE)</f>
        <v>102.2</v>
      </c>
      <c r="R142" s="9">
        <f t="shared" si="5"/>
        <v>-13</v>
      </c>
      <c r="V142" s="2">
        <f>-home-VLOOKUP(Table2[[#This Row],[Home/Neutral]],rtg_vlookup,4,FALSE)+VLOOKUP(Table2[[#This Row],[Visitor/Neutral]],rtg_vlookup,4,FALSE)</f>
        <v>-17.40511848341233</v>
      </c>
      <c r="W142" s="25"/>
      <c r="X142" s="2"/>
      <c r="Y142" s="2">
        <f>Table2[[#This Row],[Away EV]]-Table2[[#This Row],[Home EV]]</f>
        <v>-3.2245472045722465</v>
      </c>
      <c r="Z142" s="33"/>
      <c r="AA142" s="34"/>
      <c r="AB142" t="b">
        <f>IF(VLOOKUP(Table2[[#This Row],[Home/Neutral]],division_lookup,9,FALSE)=VLOOKUP(Table2[[#This Row],[Visitor/Neutral]],division_lookup,9,FALSE),TRUE,FALSE)</f>
        <v>1</v>
      </c>
      <c r="AC142" s="19" t="str">
        <f>VLOOKUP(Table2[[#This Row],[Home/Neutral]],division_lookup,9,FALSE)</f>
        <v>P</v>
      </c>
      <c r="AD142" s="19"/>
      <c r="AE142" s="19" t="str">
        <f>IF(Table2[[#This Row],[Total EV ®]]&lt;Table2[[#This Row],[Total (V)]],"UNDER","OVER")</f>
        <v>OVER</v>
      </c>
      <c r="AF142" s="19"/>
      <c r="AG142" s="19"/>
      <c r="AH142" s="2"/>
      <c r="AI142" s="22">
        <f>Table2[[#This Row],[(A)]]-Table2[[#This Row],[Spread]]</f>
        <v>-4.4051184834123305</v>
      </c>
      <c r="AJ142" s="1">
        <f>Table2[[#This Row],[(A) Err]]^2</f>
        <v>19.40506885290095</v>
      </c>
      <c r="AK142" s="6">
        <f>Table2[[#This Row],[EV]]-Table2[[#This Row],[Spread]]</f>
        <v>9.7754527954277535</v>
      </c>
      <c r="AL142" s="1">
        <f>Table2[[#This Row],[EV Err]]^2</f>
        <v>95.559477355636275</v>
      </c>
    </row>
    <row r="143" spans="1:38" x14ac:dyDescent="0.25">
      <c r="A143" t="s">
        <v>62</v>
      </c>
      <c r="B143" t="s">
        <v>22</v>
      </c>
      <c r="C143" t="s">
        <v>24</v>
      </c>
      <c r="E143">
        <v>125</v>
      </c>
      <c r="G143">
        <v>99</v>
      </c>
      <c r="H143" s="9">
        <f t="shared" si="4"/>
        <v>224</v>
      </c>
      <c r="K143" s="25">
        <f>(Table2[[#This Row],[Home Pace]]/100)*(VLOOKUP(Table2[[#This Row],[Home/Neutral]],home_lookup,8,FALSE)+VLOOKUP(Table2[[#This Row],[Home/Neutral]],OFR_lookup,2,FALSE)+VLOOKUP(Table2[[#This Row],[Visitor/Neutral]],def_diff_lookup,6,FALSE))</f>
        <v>114.67552922968976</v>
      </c>
      <c r="L143" s="25"/>
      <c r="M143" s="25">
        <f>(Table2[[#This Row],[Away Pace]]/100)*(VLOOKUP(Table2[[#This Row],[Visitor/Neutral]],OFR_lookup,2,FALSE)+VLOOKUP(Table2[[#This Row],[Home/Neutral]],def_diff_lookup,6,FALSE))</f>
        <v>114.44610600000003</v>
      </c>
      <c r="N143" s="25"/>
      <c r="O143" s="25"/>
      <c r="P143">
        <f>VLOOKUP(Table2[[#This Row],[Home/Neutral]],pace_lookup,7,FALSE)</f>
        <v>94.7</v>
      </c>
      <c r="Q143" s="5">
        <f>VLOOKUP(Table2[[#This Row],[Visitor/Neutral]],pace_lookup,7,FALSE)</f>
        <v>99.9</v>
      </c>
      <c r="R143" s="9">
        <f t="shared" si="5"/>
        <v>-26</v>
      </c>
      <c r="V143" s="2">
        <f>-home-VLOOKUP(Table2[[#This Row],[Home/Neutral]],rtg_vlookup,4,FALSE)+VLOOKUP(Table2[[#This Row],[Visitor/Neutral]],rtg_vlookup,4,FALSE)</f>
        <v>-3.3751184834123311</v>
      </c>
      <c r="W143" s="25"/>
      <c r="X143" s="2"/>
      <c r="Y143" s="2">
        <f>Table2[[#This Row],[Away EV]]-Table2[[#This Row],[Home EV]]</f>
        <v>-0.22942322968972917</v>
      </c>
      <c r="Z143" s="33"/>
      <c r="AA143" s="34"/>
      <c r="AB143" t="b">
        <f>IF(VLOOKUP(Table2[[#This Row],[Home/Neutral]],division_lookup,9,FALSE)=VLOOKUP(Table2[[#This Row],[Visitor/Neutral]],division_lookup,9,FALSE),TRUE,FALSE)</f>
        <v>0</v>
      </c>
      <c r="AC143" s="19" t="str">
        <f>VLOOKUP(Table2[[#This Row],[Home/Neutral]],division_lookup,9,FALSE)</f>
        <v>NW</v>
      </c>
      <c r="AD143" s="19"/>
      <c r="AE143" s="19" t="str">
        <f>IF(Table2[[#This Row],[Total EV ®]]&lt;Table2[[#This Row],[Total (V)]],"UNDER","OVER")</f>
        <v>OVER</v>
      </c>
      <c r="AF143" s="19"/>
      <c r="AG143" s="19"/>
      <c r="AH143" s="2"/>
      <c r="AI143" s="22">
        <f>Table2[[#This Row],[(A)]]-Table2[[#This Row],[Spread]]</f>
        <v>22.624881516587671</v>
      </c>
      <c r="AJ143" s="1">
        <f>Table2[[#This Row],[(A) Err]]^2</f>
        <v>511.88526363963041</v>
      </c>
      <c r="AK143" s="6">
        <f>Table2[[#This Row],[EV]]-Table2[[#This Row],[Spread]]</f>
        <v>25.770576770310271</v>
      </c>
      <c r="AL143" s="1">
        <f>Table2[[#This Row],[EV Err]]^2</f>
        <v>664.12262707445529</v>
      </c>
    </row>
    <row r="144" spans="1:38" x14ac:dyDescent="0.25">
      <c r="A144" t="s">
        <v>62</v>
      </c>
      <c r="B144" t="s">
        <v>18</v>
      </c>
      <c r="C144" t="s">
        <v>38</v>
      </c>
      <c r="E144">
        <v>117</v>
      </c>
      <c r="G144">
        <v>119</v>
      </c>
      <c r="H144" s="9">
        <f t="shared" si="4"/>
        <v>236</v>
      </c>
      <c r="K144" s="25">
        <f>(Table2[[#This Row],[Home Pace]]/100)*(VLOOKUP(Table2[[#This Row],[Home/Neutral]],home_lookup,8,FALSE)+VLOOKUP(Table2[[#This Row],[Home/Neutral]],OFR_lookup,2,FALSE)+VLOOKUP(Table2[[#This Row],[Visitor/Neutral]],def_diff_lookup,6,FALSE))</f>
        <v>103.97970616021132</v>
      </c>
      <c r="L144" s="25"/>
      <c r="M144" s="25">
        <f>(Table2[[#This Row],[Away Pace]]/100)*(VLOOKUP(Table2[[#This Row],[Visitor/Neutral]],OFR_lookup,2,FALSE)+VLOOKUP(Table2[[#This Row],[Home/Neutral]],def_diff_lookup,6,FALSE))</f>
        <v>89.076148000000018</v>
      </c>
      <c r="N144" s="25"/>
      <c r="O144" s="25"/>
      <c r="P144">
        <f>VLOOKUP(Table2[[#This Row],[Home/Neutral]],pace_lookup,7,FALSE)</f>
        <v>99.5</v>
      </c>
      <c r="Q144" s="5">
        <f>VLOOKUP(Table2[[#This Row],[Visitor/Neutral]],pace_lookup,7,FALSE)</f>
        <v>94.2</v>
      </c>
      <c r="R144" s="9">
        <f t="shared" si="5"/>
        <v>2</v>
      </c>
      <c r="V144" s="2">
        <f>-home-VLOOKUP(Table2[[#This Row],[Home/Neutral]],rtg_vlookup,4,FALSE)+VLOOKUP(Table2[[#This Row],[Visitor/Neutral]],rtg_vlookup,4,FALSE)</f>
        <v>-13.74511848341233</v>
      </c>
      <c r="W144" s="25"/>
      <c r="X144" s="2"/>
      <c r="Y144" s="2">
        <f>Table2[[#This Row],[Away EV]]-Table2[[#This Row],[Home EV]]</f>
        <v>-14.903558160211304</v>
      </c>
      <c r="Z144" s="33"/>
      <c r="AA144" s="34"/>
      <c r="AB144" t="b">
        <f>IF(VLOOKUP(Table2[[#This Row],[Home/Neutral]],division_lookup,9,FALSE)=VLOOKUP(Table2[[#This Row],[Visitor/Neutral]],division_lookup,9,FALSE),TRUE,FALSE)</f>
        <v>0</v>
      </c>
      <c r="AC144" s="19" t="str">
        <f>VLOOKUP(Table2[[#This Row],[Home/Neutral]],division_lookup,9,FALSE)</f>
        <v>NW</v>
      </c>
      <c r="AD144" s="19"/>
      <c r="AE144" s="19" t="str">
        <f>IF(Table2[[#This Row],[Total EV ®]]&lt;Table2[[#This Row],[Total (V)]],"UNDER","OVER")</f>
        <v>OVER</v>
      </c>
      <c r="AF144" s="19"/>
      <c r="AG144" s="19"/>
      <c r="AH144" s="2"/>
      <c r="AI144" s="22">
        <f>Table2[[#This Row],[(A)]]-Table2[[#This Row],[Spread]]</f>
        <v>-15.74511848341233</v>
      </c>
      <c r="AJ144" s="1">
        <f>Table2[[#This Row],[(A) Err]]^2</f>
        <v>247.9087560566926</v>
      </c>
      <c r="AK144" s="6">
        <f>Table2[[#This Row],[EV]]-Table2[[#This Row],[Spread]]</f>
        <v>-16.903558160211304</v>
      </c>
      <c r="AL144" s="1">
        <f>Table2[[#This Row],[EV Err]]^2</f>
        <v>285.73027847564617</v>
      </c>
    </row>
    <row r="145" spans="1:38" ht="15.75" thickBot="1" x14ac:dyDescent="0.3">
      <c r="A145" s="3" t="s">
        <v>62</v>
      </c>
      <c r="B145" s="3" t="s">
        <v>32</v>
      </c>
      <c r="C145" s="3" t="s">
        <v>27</v>
      </c>
      <c r="D145" s="3"/>
      <c r="E145" s="3">
        <v>112</v>
      </c>
      <c r="F145" s="3"/>
      <c r="G145" s="3">
        <v>105</v>
      </c>
      <c r="H145" s="10">
        <f t="shared" si="4"/>
        <v>217</v>
      </c>
      <c r="I145" s="3"/>
      <c r="J145" s="3"/>
      <c r="K145" s="26">
        <f>(Table2[[#This Row],[Home Pace]]/100)*(VLOOKUP(Table2[[#This Row],[Home/Neutral]],home_lookup,8,FALSE)+VLOOKUP(Table2[[#This Row],[Home/Neutral]],OFR_lookup,2,FALSE)+VLOOKUP(Table2[[#This Row],[Visitor/Neutral]],def_diff_lookup,6,FALSE))</f>
        <v>108.8041311200184</v>
      </c>
      <c r="L145" s="26"/>
      <c r="M145" s="26">
        <f>(Table2[[#This Row],[Away Pace]]/100)*(VLOOKUP(Table2[[#This Row],[Visitor/Neutral]],OFR_lookup,2,FALSE)+VLOOKUP(Table2[[#This Row],[Home/Neutral]],def_diff_lookup,6,FALSE))</f>
        <v>109.25706000000001</v>
      </c>
      <c r="N145" s="26"/>
      <c r="O145" s="26"/>
      <c r="P145" s="3">
        <f>VLOOKUP(Table2[[#This Row],[Home/Neutral]],pace_lookup,7,FALSE)</f>
        <v>98.6</v>
      </c>
      <c r="Q145" s="3">
        <f>VLOOKUP(Table2[[#This Row],[Visitor/Neutral]],pace_lookup,7,FALSE)</f>
        <v>99</v>
      </c>
      <c r="R145" s="10">
        <f t="shared" si="5"/>
        <v>-7</v>
      </c>
      <c r="S145" s="3"/>
      <c r="T145" s="3"/>
      <c r="U145" s="3"/>
      <c r="V145" s="12">
        <f>-home-VLOOKUP(Table2[[#This Row],[Home/Neutral]],rtg_vlookup,4,FALSE)+VLOOKUP(Table2[[#This Row],[Visitor/Neutral]],rtg_vlookup,4,FALSE)</f>
        <v>-0.43511848341233084</v>
      </c>
      <c r="W145" s="26"/>
      <c r="X145" s="12"/>
      <c r="Y145" s="12">
        <f>Table2[[#This Row],[Away EV]]-Table2[[#This Row],[Home EV]]</f>
        <v>0.45292887998161291</v>
      </c>
      <c r="Z145" s="35"/>
      <c r="AA145" s="36"/>
      <c r="AB145" s="3" t="b">
        <f>IF(VLOOKUP(Table2[[#This Row],[Home/Neutral]],division_lookup,9,FALSE)=VLOOKUP(Table2[[#This Row],[Visitor/Neutral]],division_lookup,9,FALSE),TRUE,FALSE)</f>
        <v>1</v>
      </c>
      <c r="AC145" s="20" t="str">
        <f>VLOOKUP(Table2[[#This Row],[Home/Neutral]],division_lookup,9,FALSE)</f>
        <v>NW</v>
      </c>
      <c r="AD145" s="20"/>
      <c r="AE145" s="20" t="str">
        <f>IF(Table2[[#This Row],[Total EV ®]]&lt;Table2[[#This Row],[Total (V)]],"UNDER","OVER")</f>
        <v>OVER</v>
      </c>
      <c r="AF145" s="21"/>
      <c r="AG145" s="20"/>
      <c r="AH145" s="12"/>
      <c r="AI145" s="23">
        <f>Table2[[#This Row],[(A)]]-Table2[[#This Row],[Spread]]</f>
        <v>6.5648815165876693</v>
      </c>
      <c r="AJ145" s="4">
        <f>Table2[[#This Row],[(A) Err]]^2</f>
        <v>43.097669326834414</v>
      </c>
      <c r="AK145" s="4">
        <f>Table2[[#This Row],[EV]]-Table2[[#This Row],[Spread]]</f>
        <v>7.4529288799816129</v>
      </c>
      <c r="AL145" s="4">
        <f>Table2[[#This Row],[EV Err]]^2</f>
        <v>55.546148890063982</v>
      </c>
    </row>
    <row r="146" spans="1:38" x14ac:dyDescent="0.25">
      <c r="A146" t="s">
        <v>63</v>
      </c>
      <c r="B146" t="s">
        <v>25</v>
      </c>
      <c r="C146" t="s">
        <v>18</v>
      </c>
      <c r="E146">
        <v>104</v>
      </c>
      <c r="G146">
        <v>88</v>
      </c>
      <c r="H146" s="9">
        <f t="shared" si="4"/>
        <v>192</v>
      </c>
      <c r="K146" s="25">
        <f>(Table2[[#This Row],[Home Pace]]/100)*(VLOOKUP(Table2[[#This Row],[Home/Neutral]],home_lookup,8,FALSE)+VLOOKUP(Table2[[#This Row],[Home/Neutral]],OFR_lookup,2,FALSE)+VLOOKUP(Table2[[#This Row],[Visitor/Neutral]],def_diff_lookup,6,FALSE))</f>
        <v>99.326224444272555</v>
      </c>
      <c r="L146" s="25"/>
      <c r="M146" s="25">
        <f>(Table2[[#This Row],[Away Pace]]/100)*(VLOOKUP(Table2[[#This Row],[Visitor/Neutral]],OFR_lookup,2,FALSE)+VLOOKUP(Table2[[#This Row],[Home/Neutral]],def_diff_lookup,6,FALSE))</f>
        <v>100.26681333333335</v>
      </c>
      <c r="N146" s="25"/>
      <c r="O146" s="25"/>
      <c r="P146">
        <f>VLOOKUP(Table2[[#This Row],[Home/Neutral]],pace_lookup,7,FALSE)</f>
        <v>94.4</v>
      </c>
      <c r="Q146" s="5">
        <f>VLOOKUP(Table2[[#This Row],[Visitor/Neutral]],pace_lookup,7,FALSE)</f>
        <v>99.5</v>
      </c>
      <c r="R146" s="9">
        <f t="shared" si="5"/>
        <v>-16</v>
      </c>
      <c r="V146" s="2">
        <f>-home-VLOOKUP(Table2[[#This Row],[Home/Neutral]],rtg_vlookup,4,FALSE)+VLOOKUP(Table2[[#This Row],[Visitor/Neutral]],rtg_vlookup,4,FALSE)</f>
        <v>-0.3851184834123309</v>
      </c>
      <c r="W146" s="25"/>
      <c r="X146" s="2"/>
      <c r="Y146" s="2">
        <f>Table2[[#This Row],[Away EV]]-Table2[[#This Row],[Home EV]]</f>
        <v>0.94058888906079119</v>
      </c>
      <c r="Z146" s="33"/>
      <c r="AA146" s="34"/>
      <c r="AB146" t="b">
        <f>IF(VLOOKUP(Table2[[#This Row],[Home/Neutral]],division_lookup,9,FALSE)=VLOOKUP(Table2[[#This Row],[Visitor/Neutral]],division_lookup,9,FALSE),TRUE,FALSE)</f>
        <v>0</v>
      </c>
      <c r="AC146" s="19" t="str">
        <f>VLOOKUP(Table2[[#This Row],[Home/Neutral]],division_lookup,9,FALSE)</f>
        <v>C</v>
      </c>
      <c r="AD146" s="19"/>
      <c r="AE146" s="19" t="str">
        <f>IF(Table2[[#This Row],[Total EV ®]]&lt;Table2[[#This Row],[Total (V)]],"UNDER","OVER")</f>
        <v>OVER</v>
      </c>
      <c r="AF146" s="19"/>
      <c r="AG146" s="19"/>
      <c r="AH146" s="2"/>
      <c r="AI146" s="22">
        <f>Table2[[#This Row],[(A)]]-Table2[[#This Row],[Spread]]</f>
        <v>15.614881516587669</v>
      </c>
      <c r="AJ146" s="1">
        <f>Table2[[#This Row],[(A) Err]]^2</f>
        <v>243.82452477707122</v>
      </c>
      <c r="AK146" s="6">
        <f>Table2[[#This Row],[EV]]-Table2[[#This Row],[Spread]]</f>
        <v>16.940588889060791</v>
      </c>
      <c r="AL146" s="1">
        <f>Table2[[#This Row],[EV Err]]^2</f>
        <v>286.98355190816994</v>
      </c>
    </row>
    <row r="147" spans="1:38" x14ac:dyDescent="0.25">
      <c r="A147" t="s">
        <v>63</v>
      </c>
      <c r="B147" t="s">
        <v>17</v>
      </c>
      <c r="C147" t="s">
        <v>39</v>
      </c>
      <c r="E147">
        <v>115</v>
      </c>
      <c r="G147">
        <v>88</v>
      </c>
      <c r="H147" s="9">
        <f t="shared" si="4"/>
        <v>203</v>
      </c>
      <c r="K147" s="25">
        <f>(Table2[[#This Row],[Home Pace]]/100)*(VLOOKUP(Table2[[#This Row],[Home/Neutral]],home_lookup,8,FALSE)+VLOOKUP(Table2[[#This Row],[Home/Neutral]],OFR_lookup,2,FALSE)+VLOOKUP(Table2[[#This Row],[Visitor/Neutral]],def_diff_lookup,6,FALSE))</f>
        <v>112.21786692873545</v>
      </c>
      <c r="L147" s="25"/>
      <c r="M147" s="25">
        <f>(Table2[[#This Row],[Away Pace]]/100)*(VLOOKUP(Table2[[#This Row],[Visitor/Neutral]],OFR_lookup,2,FALSE)+VLOOKUP(Table2[[#This Row],[Home/Neutral]],def_diff_lookup,6,FALSE))</f>
        <v>100.75715000000001</v>
      </c>
      <c r="N147" s="25"/>
      <c r="O147" s="25"/>
      <c r="P147">
        <f>VLOOKUP(Table2[[#This Row],[Home/Neutral]],pace_lookup,7,FALSE)</f>
        <v>96.7</v>
      </c>
      <c r="Q147" s="5">
        <f>VLOOKUP(Table2[[#This Row],[Visitor/Neutral]],pace_lookup,7,FALSE)</f>
        <v>97.5</v>
      </c>
      <c r="R147" s="9">
        <f t="shared" si="5"/>
        <v>-27</v>
      </c>
      <c r="V147" s="2">
        <f>-home-VLOOKUP(Table2[[#This Row],[Home/Neutral]],rtg_vlookup,4,FALSE)+VLOOKUP(Table2[[#This Row],[Visitor/Neutral]],rtg_vlookup,4,FALSE)</f>
        <v>-16.235118483412329</v>
      </c>
      <c r="W147" s="25"/>
      <c r="X147" s="2"/>
      <c r="Y147" s="2">
        <f>Table2[[#This Row],[Away EV]]-Table2[[#This Row],[Home EV]]</f>
        <v>-11.460716928735437</v>
      </c>
      <c r="Z147" s="33"/>
      <c r="AA147" s="34"/>
      <c r="AB147" t="b">
        <f>IF(VLOOKUP(Table2[[#This Row],[Home/Neutral]],division_lookup,9,FALSE)=VLOOKUP(Table2[[#This Row],[Visitor/Neutral]],division_lookup,9,FALSE),TRUE,FALSE)</f>
        <v>0</v>
      </c>
      <c r="AC147" s="19" t="str">
        <f>VLOOKUP(Table2[[#This Row],[Home/Neutral]],division_lookup,9,FALSE)</f>
        <v>SW</v>
      </c>
      <c r="AD147" s="19"/>
      <c r="AE147" s="19" t="str">
        <f>IF(Table2[[#This Row],[Total EV ®]]&lt;Table2[[#This Row],[Total (V)]],"UNDER","OVER")</f>
        <v>OVER</v>
      </c>
      <c r="AF147" s="19"/>
      <c r="AG147" s="19"/>
      <c r="AH147" s="2"/>
      <c r="AI147" s="22">
        <f>Table2[[#This Row],[(A)]]-Table2[[#This Row],[Spread]]</f>
        <v>10.764881516587671</v>
      </c>
      <c r="AJ147" s="1">
        <f>Table2[[#This Row],[(A) Err]]^2</f>
        <v>115.88267406617088</v>
      </c>
      <c r="AK147" s="6">
        <f>Table2[[#This Row],[EV]]-Table2[[#This Row],[Spread]]</f>
        <v>15.539283071264563</v>
      </c>
      <c r="AL147" s="1">
        <f>Table2[[#This Row],[EV Err]]^2</f>
        <v>241.46931836888945</v>
      </c>
    </row>
    <row r="148" spans="1:38" x14ac:dyDescent="0.25">
      <c r="A148" t="s">
        <v>63</v>
      </c>
      <c r="B148" t="s">
        <v>33</v>
      </c>
      <c r="C148" t="s">
        <v>38</v>
      </c>
      <c r="E148">
        <v>88</v>
      </c>
      <c r="G148">
        <v>69</v>
      </c>
      <c r="H148" s="9">
        <f t="shared" si="4"/>
        <v>157</v>
      </c>
      <c r="K148" s="25">
        <f>(Table2[[#This Row],[Home Pace]]/100)*(VLOOKUP(Table2[[#This Row],[Home/Neutral]],home_lookup,8,FALSE)+VLOOKUP(Table2[[#This Row],[Home/Neutral]],OFR_lookup,2,FALSE)+VLOOKUP(Table2[[#This Row],[Visitor/Neutral]],def_diff_lookup,6,FALSE))</f>
        <v>108.60901852057506</v>
      </c>
      <c r="L148" s="25"/>
      <c r="M148" s="25">
        <f>(Table2[[#This Row],[Away Pace]]/100)*(VLOOKUP(Table2[[#This Row],[Visitor/Neutral]],OFR_lookup,2,FALSE)+VLOOKUP(Table2[[#This Row],[Home/Neutral]],def_diff_lookup,6,FALSE))</f>
        <v>95.349868000000029</v>
      </c>
      <c r="N148" s="25"/>
      <c r="O148" s="25"/>
      <c r="P148">
        <f>VLOOKUP(Table2[[#This Row],[Home/Neutral]],pace_lookup,7,FALSE)</f>
        <v>98.2</v>
      </c>
      <c r="Q148" s="5">
        <f>VLOOKUP(Table2[[#This Row],[Visitor/Neutral]],pace_lookup,7,FALSE)</f>
        <v>94.2</v>
      </c>
      <c r="R148" s="9">
        <f t="shared" si="5"/>
        <v>-19</v>
      </c>
      <c r="V148" s="2">
        <f>-home-VLOOKUP(Table2[[#This Row],[Home/Neutral]],rtg_vlookup,4,FALSE)+VLOOKUP(Table2[[#This Row],[Visitor/Neutral]],rtg_vlookup,4,FALSE)</f>
        <v>-6.1751184834123301</v>
      </c>
      <c r="W148" s="25"/>
      <c r="X148" s="2"/>
      <c r="Y148" s="2">
        <f>Table2[[#This Row],[Away EV]]-Table2[[#This Row],[Home EV]]</f>
        <v>-13.259150520575034</v>
      </c>
      <c r="Z148" s="33"/>
      <c r="AA148" s="34"/>
      <c r="AB148" t="b">
        <f>IF(VLOOKUP(Table2[[#This Row],[Home/Neutral]],division_lookup,9,FALSE)=VLOOKUP(Table2[[#This Row],[Visitor/Neutral]],division_lookup,9,FALSE),TRUE,FALSE)</f>
        <v>0</v>
      </c>
      <c r="AC148" s="19" t="str">
        <f>VLOOKUP(Table2[[#This Row],[Home/Neutral]],division_lookup,9,FALSE)</f>
        <v>C</v>
      </c>
      <c r="AD148" s="19"/>
      <c r="AE148" s="19" t="str">
        <f>IF(Table2[[#This Row],[Total EV ®]]&lt;Table2[[#This Row],[Total (V)]],"UNDER","OVER")</f>
        <v>OVER</v>
      </c>
      <c r="AF148" s="19"/>
      <c r="AG148" s="19"/>
      <c r="AH148" s="2"/>
      <c r="AI148" s="22">
        <f>Table2[[#This Row],[(A)]]-Table2[[#This Row],[Spread]]</f>
        <v>12.82488151658767</v>
      </c>
      <c r="AJ148" s="1">
        <f>Table2[[#This Row],[(A) Err]]^2</f>
        <v>164.47758591451205</v>
      </c>
      <c r="AK148" s="6">
        <f>Table2[[#This Row],[EV]]-Table2[[#This Row],[Spread]]</f>
        <v>5.7408494794249663</v>
      </c>
      <c r="AL148" s="1">
        <f>Table2[[#This Row],[EV Err]]^2</f>
        <v>32.957352745413907</v>
      </c>
    </row>
    <row r="149" spans="1:38" x14ac:dyDescent="0.25">
      <c r="A149" t="s">
        <v>63</v>
      </c>
      <c r="B149" t="s">
        <v>4</v>
      </c>
      <c r="C149" t="s">
        <v>35</v>
      </c>
      <c r="E149">
        <v>127</v>
      </c>
      <c r="G149">
        <v>95</v>
      </c>
      <c r="H149" s="9">
        <f t="shared" si="4"/>
        <v>222</v>
      </c>
      <c r="K149" s="25">
        <f>(Table2[[#This Row],[Home Pace]]/100)*(VLOOKUP(Table2[[#This Row],[Home/Neutral]],home_lookup,8,FALSE)+VLOOKUP(Table2[[#This Row],[Home/Neutral]],OFR_lookup,2,FALSE)+VLOOKUP(Table2[[#This Row],[Visitor/Neutral]],def_diff_lookup,6,FALSE))</f>
        <v>105.75936781393445</v>
      </c>
      <c r="L149" s="25"/>
      <c r="M149" s="25">
        <f>(Table2[[#This Row],[Away Pace]]/100)*(VLOOKUP(Table2[[#This Row],[Visitor/Neutral]],OFR_lookup,2,FALSE)+VLOOKUP(Table2[[#This Row],[Home/Neutral]],def_diff_lookup,6,FALSE))</f>
        <v>99.625241333333349</v>
      </c>
      <c r="N149" s="25"/>
      <c r="O149" s="25"/>
      <c r="P149">
        <f>VLOOKUP(Table2[[#This Row],[Home/Neutral]],pace_lookup,7,FALSE)</f>
        <v>96.6</v>
      </c>
      <c r="Q149" s="5">
        <f>VLOOKUP(Table2[[#This Row],[Visitor/Neutral]],pace_lookup,7,FALSE)</f>
        <v>102.2</v>
      </c>
      <c r="R149" s="9">
        <f t="shared" si="5"/>
        <v>-32</v>
      </c>
      <c r="V149" s="2">
        <f>-home-VLOOKUP(Table2[[#This Row],[Home/Neutral]],rtg_vlookup,4,FALSE)+VLOOKUP(Table2[[#This Row],[Visitor/Neutral]],rtg_vlookup,4,FALSE)</f>
        <v>-23.67511848341233</v>
      </c>
      <c r="W149" s="25"/>
      <c r="X149" s="2"/>
      <c r="Y149" s="2">
        <f>Table2[[#This Row],[Away EV]]-Table2[[#This Row],[Home EV]]</f>
        <v>-6.1341264806010969</v>
      </c>
      <c r="Z149" s="33"/>
      <c r="AA149" s="34"/>
      <c r="AB149" t="b">
        <f>IF(VLOOKUP(Table2[[#This Row],[Home/Neutral]],division_lookup,9,FALSE)=VLOOKUP(Table2[[#This Row],[Visitor/Neutral]],division_lookup,9,FALSE),TRUE,FALSE)</f>
        <v>0</v>
      </c>
      <c r="AC149" s="19" t="str">
        <f>VLOOKUP(Table2[[#This Row],[Home/Neutral]],division_lookup,9,FALSE)</f>
        <v>P</v>
      </c>
      <c r="AD149" s="19"/>
      <c r="AE149" s="19" t="str">
        <f>IF(Table2[[#This Row],[Total EV ®]]&lt;Table2[[#This Row],[Total (V)]],"UNDER","OVER")</f>
        <v>OVER</v>
      </c>
      <c r="AF149" s="19"/>
      <c r="AG149" s="19"/>
      <c r="AH149" s="2"/>
      <c r="AI149" s="22">
        <f>Table2[[#This Row],[(A)]]-Table2[[#This Row],[Spread]]</f>
        <v>8.3248815165876699</v>
      </c>
      <c r="AJ149" s="1">
        <f>Table2[[#This Row],[(A) Err]]^2</f>
        <v>69.303652265223022</v>
      </c>
      <c r="AK149" s="6">
        <f>Table2[[#This Row],[EV]]-Table2[[#This Row],[Spread]]</f>
        <v>25.865873519398903</v>
      </c>
      <c r="AL149" s="1">
        <f>Table2[[#This Row],[EV Err]]^2</f>
        <v>669.0434129215414</v>
      </c>
    </row>
    <row r="150" spans="1:38" x14ac:dyDescent="0.25">
      <c r="A150" t="s">
        <v>63</v>
      </c>
      <c r="B150" t="s">
        <v>34</v>
      </c>
      <c r="C150" t="s">
        <v>26</v>
      </c>
      <c r="E150">
        <v>106</v>
      </c>
      <c r="G150">
        <v>105</v>
      </c>
      <c r="H150" s="9">
        <f t="shared" si="4"/>
        <v>211</v>
      </c>
      <c r="K150" s="25">
        <f>(Table2[[#This Row],[Home Pace]]/100)*(VLOOKUP(Table2[[#This Row],[Home/Neutral]],home_lookup,8,FALSE)+VLOOKUP(Table2[[#This Row],[Home/Neutral]],OFR_lookup,2,FALSE)+VLOOKUP(Table2[[#This Row],[Visitor/Neutral]],def_diff_lookup,6,FALSE))</f>
        <v>106.62667864565556</v>
      </c>
      <c r="L150" s="25"/>
      <c r="M150" s="25">
        <f>(Table2[[#This Row],[Away Pace]]/100)*(VLOOKUP(Table2[[#This Row],[Visitor/Neutral]],OFR_lookup,2,FALSE)+VLOOKUP(Table2[[#This Row],[Home/Neutral]],def_diff_lookup,6,FALSE))</f>
        <v>103.27744</v>
      </c>
      <c r="N150" s="25"/>
      <c r="O150" s="25"/>
      <c r="P150">
        <f>VLOOKUP(Table2[[#This Row],[Home/Neutral]],pace_lookup,7,FALSE)</f>
        <v>98.8</v>
      </c>
      <c r="Q150" s="5">
        <f>VLOOKUP(Table2[[#This Row],[Visitor/Neutral]],pace_lookup,7,FALSE)</f>
        <v>96</v>
      </c>
      <c r="R150" s="9">
        <f t="shared" si="5"/>
        <v>-1</v>
      </c>
      <c r="V150" s="2">
        <f>-home-VLOOKUP(Table2[[#This Row],[Home/Neutral]],rtg_vlookup,4,FALSE)+VLOOKUP(Table2[[#This Row],[Visitor/Neutral]],rtg_vlookup,4,FALSE)</f>
        <v>2.0848815165876697</v>
      </c>
      <c r="W150" s="25"/>
      <c r="X150" s="2"/>
      <c r="Y150" s="2">
        <f>Table2[[#This Row],[Away EV]]-Table2[[#This Row],[Home EV]]</f>
        <v>-3.3492386456555607</v>
      </c>
      <c r="Z150" s="33"/>
      <c r="AA150" s="34"/>
      <c r="AB150" t="b">
        <f>IF(VLOOKUP(Table2[[#This Row],[Home/Neutral]],division_lookup,9,FALSE)=VLOOKUP(Table2[[#This Row],[Visitor/Neutral]],division_lookup,9,FALSE),TRUE,FALSE)</f>
        <v>0</v>
      </c>
      <c r="AC150" s="19" t="str">
        <f>VLOOKUP(Table2[[#This Row],[Home/Neutral]],division_lookup,9,FALSE)</f>
        <v>SW</v>
      </c>
      <c r="AD150" s="19"/>
      <c r="AE150" s="19" t="str">
        <f>IF(Table2[[#This Row],[Total EV ®]]&lt;Table2[[#This Row],[Total (V)]],"UNDER","OVER")</f>
        <v>OVER</v>
      </c>
      <c r="AF150" s="19"/>
      <c r="AG150" s="19"/>
      <c r="AH150" s="2"/>
      <c r="AI150" s="22">
        <f>Table2[[#This Row],[(A)]]-Table2[[#This Row],[Spread]]</f>
        <v>3.0848815165876697</v>
      </c>
      <c r="AJ150" s="1">
        <f>Table2[[#This Row],[(A) Err]]^2</f>
        <v>9.5164939713842411</v>
      </c>
      <c r="AK150" s="6">
        <f>Table2[[#This Row],[EV]]-Table2[[#This Row],[Spread]]</f>
        <v>-2.3492386456555607</v>
      </c>
      <c r="AL150" s="1">
        <f>Table2[[#This Row],[EV Err]]^2</f>
        <v>5.5189222142415728</v>
      </c>
    </row>
    <row r="151" spans="1:38" x14ac:dyDescent="0.25">
      <c r="A151" t="s">
        <v>63</v>
      </c>
      <c r="B151" t="s">
        <v>31</v>
      </c>
      <c r="C151" t="s">
        <v>37</v>
      </c>
      <c r="E151">
        <v>93</v>
      </c>
      <c r="G151">
        <v>77</v>
      </c>
      <c r="H151" s="9">
        <f t="shared" si="4"/>
        <v>170</v>
      </c>
      <c r="K151" s="25">
        <f>(Table2[[#This Row],[Home Pace]]/100)*(VLOOKUP(Table2[[#This Row],[Home/Neutral]],home_lookup,8,FALSE)+VLOOKUP(Table2[[#This Row],[Home/Neutral]],OFR_lookup,2,FALSE)+VLOOKUP(Table2[[#This Row],[Visitor/Neutral]],def_diff_lookup,6,FALSE))</f>
        <v>107.41417430217889</v>
      </c>
      <c r="L151" s="25"/>
      <c r="M151" s="25">
        <f>(Table2[[#This Row],[Away Pace]]/100)*(VLOOKUP(Table2[[#This Row],[Visitor/Neutral]],OFR_lookup,2,FALSE)+VLOOKUP(Table2[[#This Row],[Home/Neutral]],def_diff_lookup,6,FALSE))</f>
        <v>92.542693999999997</v>
      </c>
      <c r="N151" s="25"/>
      <c r="O151" s="25"/>
      <c r="P151">
        <f>VLOOKUP(Table2[[#This Row],[Home/Neutral]],pace_lookup,7,FALSE)</f>
        <v>96</v>
      </c>
      <c r="Q151" s="5">
        <f>VLOOKUP(Table2[[#This Row],[Visitor/Neutral]],pace_lookup,7,FALSE)</f>
        <v>92.1</v>
      </c>
      <c r="R151" s="9">
        <f t="shared" si="5"/>
        <v>-16</v>
      </c>
      <c r="V151" s="2">
        <f>-home-VLOOKUP(Table2[[#This Row],[Home/Neutral]],rtg_vlookup,4,FALSE)+VLOOKUP(Table2[[#This Row],[Visitor/Neutral]],rtg_vlookup,4,FALSE)</f>
        <v>-7.965118483412331</v>
      </c>
      <c r="W151" s="25"/>
      <c r="X151" s="2"/>
      <c r="Y151" s="2">
        <f>Table2[[#This Row],[Away EV]]-Table2[[#This Row],[Home EV]]</f>
        <v>-14.871480302178895</v>
      </c>
      <c r="Z151" s="33"/>
      <c r="AA151" s="34"/>
      <c r="AB151" t="b">
        <f>IF(VLOOKUP(Table2[[#This Row],[Home/Neutral]],division_lookup,9,FALSE)=VLOOKUP(Table2[[#This Row],[Visitor/Neutral]],division_lookup,9,FALSE),TRUE,FALSE)</f>
        <v>0</v>
      </c>
      <c r="AC151" s="19" t="str">
        <f>VLOOKUP(Table2[[#This Row],[Home/Neutral]],division_lookup,9,FALSE)</f>
        <v>A</v>
      </c>
      <c r="AD151" s="19"/>
      <c r="AE151" s="19" t="str">
        <f>IF(Table2[[#This Row],[Total EV ®]]&lt;Table2[[#This Row],[Total (V)]],"UNDER","OVER")</f>
        <v>OVER</v>
      </c>
      <c r="AF151" s="19"/>
      <c r="AG151" s="19"/>
      <c r="AH151" s="13"/>
      <c r="AI151" s="6">
        <f>Table2[[#This Row],[(A)]]-Table2[[#This Row],[Spread]]</f>
        <v>8.034881516587669</v>
      </c>
      <c r="AJ151" s="1">
        <f>Table2[[#This Row],[(A) Err]]^2</f>
        <v>64.559320985602156</v>
      </c>
      <c r="AK151" s="6">
        <f>Table2[[#This Row],[EV]]-Table2[[#This Row],[Spread]]</f>
        <v>1.1285196978211047</v>
      </c>
      <c r="AL151" s="1">
        <f>Table2[[#This Row],[EV Err]]^2</f>
        <v>1.2735567083702375</v>
      </c>
    </row>
    <row r="152" spans="1:38" x14ac:dyDescent="0.25">
      <c r="A152" t="s">
        <v>63</v>
      </c>
      <c r="B152" t="s">
        <v>6</v>
      </c>
      <c r="C152" t="s">
        <v>21</v>
      </c>
      <c r="E152">
        <v>94</v>
      </c>
      <c r="G152">
        <v>90</v>
      </c>
      <c r="H152" s="9">
        <f t="shared" si="4"/>
        <v>184</v>
      </c>
      <c r="K152" s="25">
        <f>(Table2[[#This Row],[Home Pace]]/100)*(VLOOKUP(Table2[[#This Row],[Home/Neutral]],home_lookup,8,FALSE)+VLOOKUP(Table2[[#This Row],[Home/Neutral]],OFR_lookup,2,FALSE)+VLOOKUP(Table2[[#This Row],[Visitor/Neutral]],def_diff_lookup,6,FALSE))</f>
        <v>99.521697870622447</v>
      </c>
      <c r="L152" s="25"/>
      <c r="M152" s="25">
        <f>(Table2[[#This Row],[Away Pace]]/100)*(VLOOKUP(Table2[[#This Row],[Visitor/Neutral]],OFR_lookup,2,FALSE)+VLOOKUP(Table2[[#This Row],[Home/Neutral]],def_diff_lookup,6,FALSE))</f>
        <v>94.35134800000003</v>
      </c>
      <c r="N152" s="25"/>
      <c r="O152" s="25"/>
      <c r="P152">
        <f>VLOOKUP(Table2[[#This Row],[Home/Neutral]],pace_lookup,7,FALSE)</f>
        <v>93.1</v>
      </c>
      <c r="Q152" s="5">
        <f>VLOOKUP(Table2[[#This Row],[Visitor/Neutral]],pace_lookup,7,FALSE)</f>
        <v>94.2</v>
      </c>
      <c r="R152" s="9">
        <f t="shared" si="5"/>
        <v>-4</v>
      </c>
      <c r="V152" s="2">
        <f>-home-VLOOKUP(Table2[[#This Row],[Home/Neutral]],rtg_vlookup,4,FALSE)+VLOOKUP(Table2[[#This Row],[Visitor/Neutral]],rtg_vlookup,4,FALSE)</f>
        <v>-9.8151184834123306</v>
      </c>
      <c r="W152" s="25"/>
      <c r="X152" s="2"/>
      <c r="Y152" s="2">
        <f>Table2[[#This Row],[Away EV]]-Table2[[#This Row],[Home EV]]</f>
        <v>-5.1703498706224167</v>
      </c>
      <c r="Z152" s="33"/>
      <c r="AA152" s="34"/>
      <c r="AB152" t="b">
        <f>IF(VLOOKUP(Table2[[#This Row],[Home/Neutral]],division_lookup,9,FALSE)=VLOOKUP(Table2[[#This Row],[Visitor/Neutral]],division_lookup,9,FALSE),TRUE,FALSE)</f>
        <v>0</v>
      </c>
      <c r="AC152" s="19" t="str">
        <f>VLOOKUP(Table2[[#This Row],[Home/Neutral]],division_lookup,9,FALSE)</f>
        <v>SW</v>
      </c>
      <c r="AD152" s="19"/>
      <c r="AE152" s="19" t="str">
        <f>IF(Table2[[#This Row],[Total EV ®]]&lt;Table2[[#This Row],[Total (V)]],"UNDER","OVER")</f>
        <v>OVER</v>
      </c>
      <c r="AF152" s="19"/>
      <c r="AG152" s="19"/>
      <c r="AH152" s="13"/>
      <c r="AI152" s="6">
        <f>Table2[[#This Row],[(A)]]-Table2[[#This Row],[Spread]]</f>
        <v>-5.8151184834123306</v>
      </c>
      <c r="AJ152" s="1">
        <f>Table2[[#This Row],[(A) Err]]^2</f>
        <v>33.815602976123721</v>
      </c>
      <c r="AK152" s="6">
        <f>Table2[[#This Row],[EV]]-Table2[[#This Row],[Spread]]</f>
        <v>-1.1703498706224167</v>
      </c>
      <c r="AL152" s="1">
        <f>Table2[[#This Row],[EV Err]]^2</f>
        <v>1.3697188196659076</v>
      </c>
    </row>
    <row r="153" spans="1:38" ht="15.75" thickBot="1" x14ac:dyDescent="0.3">
      <c r="A153" s="3" t="s">
        <v>63</v>
      </c>
      <c r="B153" s="3" t="s">
        <v>20</v>
      </c>
      <c r="C153" s="3" t="s">
        <v>23</v>
      </c>
      <c r="D153" s="3"/>
      <c r="E153" s="3">
        <v>96</v>
      </c>
      <c r="F153" s="3"/>
      <c r="G153" s="3">
        <v>102</v>
      </c>
      <c r="H153" s="10">
        <f t="shared" si="4"/>
        <v>198</v>
      </c>
      <c r="I153" s="3"/>
      <c r="J153" s="3"/>
      <c r="K153" s="26">
        <f>(Table2[[#This Row],[Home Pace]]/100)*(VLOOKUP(Table2[[#This Row],[Home/Neutral]],home_lookup,8,FALSE)+VLOOKUP(Table2[[#This Row],[Home/Neutral]],OFR_lookup,2,FALSE)+VLOOKUP(Table2[[#This Row],[Visitor/Neutral]],def_diff_lookup,6,FALSE))</f>
        <v>99.929185289151775</v>
      </c>
      <c r="L153" s="26"/>
      <c r="M153" s="26">
        <f>(Table2[[#This Row],[Away Pace]]/100)*(VLOOKUP(Table2[[#This Row],[Visitor/Neutral]],OFR_lookup,2,FALSE)+VLOOKUP(Table2[[#This Row],[Home/Neutral]],def_diff_lookup,6,FALSE))</f>
        <v>95.146116666666686</v>
      </c>
      <c r="N153" s="26"/>
      <c r="O153" s="26"/>
      <c r="P153" s="3">
        <f>VLOOKUP(Table2[[#This Row],[Home/Neutral]],pace_lookup,7,FALSE)</f>
        <v>90.9</v>
      </c>
      <c r="Q153" s="3">
        <f>VLOOKUP(Table2[[#This Row],[Visitor/Neutral]],pace_lookup,7,FALSE)</f>
        <v>92.5</v>
      </c>
      <c r="R153" s="10">
        <f t="shared" si="5"/>
        <v>6</v>
      </c>
      <c r="S153" s="3"/>
      <c r="T153" s="3"/>
      <c r="U153" s="3"/>
      <c r="V153" s="12">
        <f>-home-VLOOKUP(Table2[[#This Row],[Home/Neutral]],rtg_vlookup,4,FALSE)+VLOOKUP(Table2[[#This Row],[Visitor/Neutral]],rtg_vlookup,4,FALSE)</f>
        <v>-2.0651184834123311</v>
      </c>
      <c r="W153" s="26"/>
      <c r="X153" s="12"/>
      <c r="Y153" s="12">
        <f>Table2[[#This Row],[Away EV]]-Table2[[#This Row],[Home EV]]</f>
        <v>-4.7830686224850893</v>
      </c>
      <c r="Z153" s="35"/>
      <c r="AA153" s="36"/>
      <c r="AB153" s="3" t="b">
        <f>IF(VLOOKUP(Table2[[#This Row],[Home/Neutral]],division_lookup,9,FALSE)=VLOOKUP(Table2[[#This Row],[Visitor/Neutral]],division_lookup,9,FALSE),TRUE,FALSE)</f>
        <v>0</v>
      </c>
      <c r="AC153" s="20" t="str">
        <f>VLOOKUP(Table2[[#This Row],[Home/Neutral]],division_lookup,9,FALSE)</f>
        <v>NW</v>
      </c>
      <c r="AD153" s="20"/>
      <c r="AE153" s="20" t="str">
        <f>IF(Table2[[#This Row],[Total EV ®]]&lt;Table2[[#This Row],[Total (V)]],"UNDER","OVER")</f>
        <v>OVER</v>
      </c>
      <c r="AF153" s="20"/>
      <c r="AG153" s="20"/>
      <c r="AH153" s="12"/>
      <c r="AI153" s="4">
        <f>Table2[[#This Row],[(A)]]-Table2[[#This Row],[Spread]]</f>
        <v>-8.0651184834123306</v>
      </c>
      <c r="AJ153" s="4">
        <f>Table2[[#This Row],[(A) Err]]^2</f>
        <v>65.046136151479217</v>
      </c>
      <c r="AK153" s="4">
        <f>Table2[[#This Row],[EV]]-Table2[[#This Row],[Spread]]</f>
        <v>-10.783068622485089</v>
      </c>
      <c r="AL153" s="4">
        <f>Table2[[#This Row],[EV Err]]^2</f>
        <v>116.27456891722248</v>
      </c>
    </row>
    <row r="154" spans="1:38" x14ac:dyDescent="0.25">
      <c r="A154" t="s">
        <v>64</v>
      </c>
      <c r="B154" t="s">
        <v>8</v>
      </c>
      <c r="C154" t="s">
        <v>14</v>
      </c>
      <c r="E154">
        <v>121</v>
      </c>
      <c r="G154">
        <v>117</v>
      </c>
      <c r="H154" s="9">
        <f t="shared" si="4"/>
        <v>238</v>
      </c>
      <c r="K154" s="25">
        <f>(Table2[[#This Row],[Home Pace]]/100)*(VLOOKUP(Table2[[#This Row],[Home/Neutral]],home_lookup,8,FALSE)+VLOOKUP(Table2[[#This Row],[Home/Neutral]],OFR_lookup,2,FALSE)+VLOOKUP(Table2[[#This Row],[Visitor/Neutral]],def_diff_lookup,6,FALSE))</f>
        <v>106.6237803689818</v>
      </c>
      <c r="L154" s="25"/>
      <c r="M154" s="25">
        <f>(Table2[[#This Row],[Away Pace]]/100)*(VLOOKUP(Table2[[#This Row],[Visitor/Neutral]],OFR_lookup,2,FALSE)+VLOOKUP(Table2[[#This Row],[Home/Neutral]],def_diff_lookup,6,FALSE))</f>
        <v>106.65102933333335</v>
      </c>
      <c r="N154" s="25"/>
      <c r="O154" s="25"/>
      <c r="P154">
        <f>VLOOKUP(Table2[[#This Row],[Home/Neutral]],pace_lookup,7,FALSE)</f>
        <v>97.2</v>
      </c>
      <c r="Q154" s="5">
        <f>VLOOKUP(Table2[[#This Row],[Visitor/Neutral]],pace_lookup,7,FALSE)</f>
        <v>95.9</v>
      </c>
      <c r="R154" s="9">
        <f t="shared" si="5"/>
        <v>-4</v>
      </c>
      <c r="V154" s="2">
        <f>-home-VLOOKUP(Table2[[#This Row],[Home/Neutral]],rtg_vlookup,4,FALSE)+VLOOKUP(Table2[[#This Row],[Visitor/Neutral]],rtg_vlookup,4,FALSE)</f>
        <v>-4.6151184834123304</v>
      </c>
      <c r="W154" s="25"/>
      <c r="X154" s="2"/>
      <c r="Y154" s="2">
        <f>Table2[[#This Row],[Away EV]]-Table2[[#This Row],[Home EV]]</f>
        <v>2.7248964351556992E-2</v>
      </c>
      <c r="Z154" s="33"/>
      <c r="AA154" s="34"/>
      <c r="AB154" t="b">
        <f>IF(VLOOKUP(Table2[[#This Row],[Home/Neutral]],division_lookup,9,FALSE)=VLOOKUP(Table2[[#This Row],[Visitor/Neutral]],division_lookup,9,FALSE),TRUE,FALSE)</f>
        <v>0</v>
      </c>
      <c r="AC154" s="19" t="str">
        <f>VLOOKUP(Table2[[#This Row],[Home/Neutral]],division_lookup,9,FALSE)</f>
        <v>C</v>
      </c>
      <c r="AD154" s="19"/>
      <c r="AE154" s="19" t="str">
        <f>IF(Table2[[#This Row],[Total EV ®]]&lt;Table2[[#This Row],[Total (V)]],"UNDER","OVER")</f>
        <v>OVER</v>
      </c>
      <c r="AF154" s="19"/>
      <c r="AG154" s="19"/>
      <c r="AH154" s="13"/>
      <c r="AI154" s="6">
        <f>Table2[[#This Row],[(A)]]-Table2[[#This Row],[Spread]]</f>
        <v>-0.61511848341233044</v>
      </c>
      <c r="AJ154" s="1">
        <f>Table2[[#This Row],[(A) Err]]^2</f>
        <v>0.37837074863548542</v>
      </c>
      <c r="AK154" s="6">
        <f>Table2[[#This Row],[EV]]-Table2[[#This Row],[Spread]]</f>
        <v>4.027248964351557</v>
      </c>
      <c r="AL154" s="1">
        <f>Table2[[#This Row],[EV Err]]^2</f>
        <v>16.218734220870687</v>
      </c>
    </row>
    <row r="155" spans="1:38" x14ac:dyDescent="0.25">
      <c r="A155" t="s">
        <v>64</v>
      </c>
      <c r="B155" t="s">
        <v>24</v>
      </c>
      <c r="C155" t="s">
        <v>35</v>
      </c>
      <c r="E155">
        <v>125</v>
      </c>
      <c r="G155">
        <v>118</v>
      </c>
      <c r="H155" s="9">
        <f t="shared" si="4"/>
        <v>243</v>
      </c>
      <c r="K155" s="25">
        <f>(Table2[[#This Row],[Home Pace]]/100)*(VLOOKUP(Table2[[#This Row],[Home/Neutral]],home_lookup,8,FALSE)+VLOOKUP(Table2[[#This Row],[Home/Neutral]],OFR_lookup,2,FALSE)+VLOOKUP(Table2[[#This Row],[Visitor/Neutral]],def_diff_lookup,6,FALSE))</f>
        <v>112.75293432830939</v>
      </c>
      <c r="L155" s="25"/>
      <c r="M155" s="25">
        <f>(Table2[[#This Row],[Away Pace]]/100)*(VLOOKUP(Table2[[#This Row],[Visitor/Neutral]],OFR_lookup,2,FALSE)+VLOOKUP(Table2[[#This Row],[Home/Neutral]],def_diff_lookup,6,FALSE))</f>
        <v>109.89634133333334</v>
      </c>
      <c r="N155" s="25"/>
      <c r="O155" s="25"/>
      <c r="P155">
        <f>VLOOKUP(Table2[[#This Row],[Home/Neutral]],pace_lookup,7,FALSE)</f>
        <v>99.9</v>
      </c>
      <c r="Q155" s="5">
        <f>VLOOKUP(Table2[[#This Row],[Visitor/Neutral]],pace_lookup,7,FALSE)</f>
        <v>102.2</v>
      </c>
      <c r="R155" s="9">
        <f t="shared" si="5"/>
        <v>-7</v>
      </c>
      <c r="V155" s="2">
        <f>-home-VLOOKUP(Table2[[#This Row],[Home/Neutral]],rtg_vlookup,4,FALSE)+VLOOKUP(Table2[[#This Row],[Visitor/Neutral]],rtg_vlookup,4,FALSE)</f>
        <v>-9.295118483412331</v>
      </c>
      <c r="W155" s="25"/>
      <c r="X155" s="2"/>
      <c r="Y155" s="2">
        <f>Table2[[#This Row],[Away EV]]-Table2[[#This Row],[Home EV]]</f>
        <v>-2.8565929949760545</v>
      </c>
      <c r="Z155" s="33"/>
      <c r="AA155" s="34"/>
      <c r="AB155" t="b">
        <f>IF(VLOOKUP(Table2[[#This Row],[Home/Neutral]],division_lookup,9,FALSE)=VLOOKUP(Table2[[#This Row],[Visitor/Neutral]],division_lookup,9,FALSE),TRUE,FALSE)</f>
        <v>0</v>
      </c>
      <c r="AC155" s="19" t="str">
        <f>VLOOKUP(Table2[[#This Row],[Home/Neutral]],division_lookup,9,FALSE)</f>
        <v>P</v>
      </c>
      <c r="AD155" s="19"/>
      <c r="AE155" s="19" t="str">
        <f>IF(Table2[[#This Row],[Total EV ®]]&lt;Table2[[#This Row],[Total (V)]],"UNDER","OVER")</f>
        <v>OVER</v>
      </c>
      <c r="AF155" s="19"/>
      <c r="AG155" s="19"/>
      <c r="AH155" s="13"/>
      <c r="AI155" s="6">
        <f>Table2[[#This Row],[(A)]]-Table2[[#This Row],[Spread]]</f>
        <v>-2.295118483412331</v>
      </c>
      <c r="AJ155" s="1">
        <f>Table2[[#This Row],[(A) Err]]^2</f>
        <v>5.2675688529009186</v>
      </c>
      <c r="AK155" s="6">
        <f>Table2[[#This Row],[EV]]-Table2[[#This Row],[Spread]]</f>
        <v>4.1434070050239455</v>
      </c>
      <c r="AL155" s="1">
        <f>Table2[[#This Row],[EV Err]]^2</f>
        <v>17.167821609281503</v>
      </c>
    </row>
    <row r="156" spans="1:38" x14ac:dyDescent="0.25">
      <c r="A156" t="s">
        <v>64</v>
      </c>
      <c r="B156" t="s">
        <v>21</v>
      </c>
      <c r="C156" t="s">
        <v>11</v>
      </c>
      <c r="E156">
        <v>90</v>
      </c>
      <c r="G156">
        <v>93</v>
      </c>
      <c r="H156" s="9">
        <f t="shared" si="4"/>
        <v>183</v>
      </c>
      <c r="K156" s="25">
        <f>(Table2[[#This Row],[Home Pace]]/100)*(VLOOKUP(Table2[[#This Row],[Home/Neutral]],home_lookup,8,FALSE)+VLOOKUP(Table2[[#This Row],[Home/Neutral]],OFR_lookup,2,FALSE)+VLOOKUP(Table2[[#This Row],[Visitor/Neutral]],def_diff_lookup,6,FALSE))</f>
        <v>94.131011175243898</v>
      </c>
      <c r="L156" s="25"/>
      <c r="M156" s="25">
        <f>(Table2[[#This Row],[Away Pace]]/100)*(VLOOKUP(Table2[[#This Row],[Visitor/Neutral]],OFR_lookup,2,FALSE)+VLOOKUP(Table2[[#This Row],[Home/Neutral]],def_diff_lookup,6,FALSE))</f>
        <v>100.75748466666667</v>
      </c>
      <c r="N156" s="25"/>
      <c r="O156" s="25"/>
      <c r="P156">
        <f>VLOOKUP(Table2[[#This Row],[Home/Neutral]],pace_lookup,7,FALSE)</f>
        <v>94.2</v>
      </c>
      <c r="Q156" s="5">
        <f>VLOOKUP(Table2[[#This Row],[Visitor/Neutral]],pace_lookup,7,FALSE)</f>
        <v>99.7</v>
      </c>
      <c r="R156" s="9">
        <f t="shared" si="5"/>
        <v>3</v>
      </c>
      <c r="V156" s="2">
        <f>-home-VLOOKUP(Table2[[#This Row],[Home/Neutral]],rtg_vlookup,4,FALSE)+VLOOKUP(Table2[[#This Row],[Visitor/Neutral]],rtg_vlookup,4,FALSE)</f>
        <v>3.6848815165876694</v>
      </c>
      <c r="W156" s="25"/>
      <c r="X156" s="2"/>
      <c r="Y156" s="2">
        <f>Table2[[#This Row],[Away EV]]-Table2[[#This Row],[Home EV]]</f>
        <v>6.6264734914227716</v>
      </c>
      <c r="Z156" s="33"/>
      <c r="AA156" s="34"/>
      <c r="AB156" t="b">
        <f>IF(VLOOKUP(Table2[[#This Row],[Home/Neutral]],division_lookup,9,FALSE)=VLOOKUP(Table2[[#This Row],[Visitor/Neutral]],division_lookup,9,FALSE),TRUE,FALSE)</f>
        <v>1</v>
      </c>
      <c r="AC156" s="19" t="str">
        <f>VLOOKUP(Table2[[#This Row],[Home/Neutral]],division_lookup,9,FALSE)</f>
        <v>SE</v>
      </c>
      <c r="AD156" s="19"/>
      <c r="AE156" s="19" t="str">
        <f>IF(Table2[[#This Row],[Total EV ®]]&lt;Table2[[#This Row],[Total (V)]],"UNDER","OVER")</f>
        <v>OVER</v>
      </c>
      <c r="AF156" s="19"/>
      <c r="AG156" s="19"/>
      <c r="AH156" s="13"/>
      <c r="AI156" s="6">
        <f>Table2[[#This Row],[(A)]]-Table2[[#This Row],[Spread]]</f>
        <v>0.68488151658766938</v>
      </c>
      <c r="AJ156" s="1">
        <f>Table2[[#This Row],[(A) Err]]^2</f>
        <v>0.46906269176342608</v>
      </c>
      <c r="AK156" s="6">
        <f>Table2[[#This Row],[EV]]-Table2[[#This Row],[Spread]]</f>
        <v>3.6264734914227716</v>
      </c>
      <c r="AL156" s="1">
        <f>Table2[[#This Row],[EV Err]]^2</f>
        <v>13.151309983992068</v>
      </c>
    </row>
    <row r="157" spans="1:38" x14ac:dyDescent="0.25">
      <c r="A157" t="s">
        <v>64</v>
      </c>
      <c r="B157" t="s">
        <v>22</v>
      </c>
      <c r="C157" t="s">
        <v>16</v>
      </c>
      <c r="E157">
        <v>108</v>
      </c>
      <c r="G157">
        <v>115</v>
      </c>
      <c r="H157" s="9">
        <f t="shared" si="4"/>
        <v>223</v>
      </c>
      <c r="K157" s="25">
        <f>(Table2[[#This Row],[Home Pace]]/100)*(VLOOKUP(Table2[[#This Row],[Home/Neutral]],home_lookup,8,FALSE)+VLOOKUP(Table2[[#This Row],[Home/Neutral]],OFR_lookup,2,FALSE)+VLOOKUP(Table2[[#This Row],[Visitor/Neutral]],def_diff_lookup,6,FALSE))</f>
        <v>109.24921922968977</v>
      </c>
      <c r="L157" s="25"/>
      <c r="M157" s="25">
        <f>(Table2[[#This Row],[Away Pace]]/100)*(VLOOKUP(Table2[[#This Row],[Visitor/Neutral]],OFR_lookup,2,FALSE)+VLOOKUP(Table2[[#This Row],[Home/Neutral]],def_diff_lookup,6,FALSE))</f>
        <v>108.4109</v>
      </c>
      <c r="N157" s="25"/>
      <c r="O157" s="25"/>
      <c r="P157">
        <f>VLOOKUP(Table2[[#This Row],[Home/Neutral]],pace_lookup,7,FALSE)</f>
        <v>94.7</v>
      </c>
      <c r="Q157" s="5">
        <f>VLOOKUP(Table2[[#This Row],[Visitor/Neutral]],pace_lookup,7,FALSE)</f>
        <v>97.5</v>
      </c>
      <c r="R157" s="9">
        <f t="shared" si="5"/>
        <v>7</v>
      </c>
      <c r="V157" s="2">
        <f>-home-VLOOKUP(Table2[[#This Row],[Home/Neutral]],rtg_vlookup,4,FALSE)+VLOOKUP(Table2[[#This Row],[Visitor/Neutral]],rtg_vlookup,4,FALSE)</f>
        <v>-1.0151184834123308</v>
      </c>
      <c r="W157" s="25"/>
      <c r="X157" s="2"/>
      <c r="Y157" s="2">
        <f>Table2[[#This Row],[Away EV]]-Table2[[#This Row],[Home EV]]</f>
        <v>-0.83831922968977324</v>
      </c>
      <c r="Z157" s="33"/>
      <c r="AA157" s="34"/>
      <c r="AB157" t="b">
        <f>IF(VLOOKUP(Table2[[#This Row],[Home/Neutral]],division_lookup,9,FALSE)=VLOOKUP(Table2[[#This Row],[Visitor/Neutral]],division_lookup,9,FALSE),TRUE,FALSE)</f>
        <v>0</v>
      </c>
      <c r="AC157" s="19" t="str">
        <f>VLOOKUP(Table2[[#This Row],[Home/Neutral]],division_lookup,9,FALSE)</f>
        <v>NW</v>
      </c>
      <c r="AD157" s="19"/>
      <c r="AE157" s="19" t="str">
        <f>IF(Table2[[#This Row],[Total EV ®]]&lt;Table2[[#This Row],[Total (V)]],"UNDER","OVER")</f>
        <v>OVER</v>
      </c>
      <c r="AF157" s="19"/>
      <c r="AG157" s="19"/>
      <c r="AH157" s="13"/>
      <c r="AI157" s="6">
        <f>Table2[[#This Row],[(A)]]-Table2[[#This Row],[Spread]]</f>
        <v>-8.0151184834123299</v>
      </c>
      <c r="AJ157" s="1">
        <f>Table2[[#This Row],[(A) Err]]^2</f>
        <v>64.24212430313797</v>
      </c>
      <c r="AK157" s="6">
        <f>Table2[[#This Row],[EV]]-Table2[[#This Row],[Spread]]</f>
        <v>-7.8383192296897732</v>
      </c>
      <c r="AL157" s="1">
        <f>Table2[[#This Row],[EV Err]]^2</f>
        <v>61.439248346524479</v>
      </c>
    </row>
    <row r="158" spans="1:38" ht="15.75" thickBot="1" x14ac:dyDescent="0.3">
      <c r="A158" s="3" t="s">
        <v>64</v>
      </c>
      <c r="B158" s="3" t="s">
        <v>32</v>
      </c>
      <c r="C158" s="3" t="s">
        <v>13</v>
      </c>
      <c r="D158" s="3"/>
      <c r="E158" s="3">
        <v>88</v>
      </c>
      <c r="F158" s="3"/>
      <c r="G158" s="3">
        <v>113</v>
      </c>
      <c r="H158" s="10">
        <f t="shared" si="4"/>
        <v>201</v>
      </c>
      <c r="I158" s="3"/>
      <c r="J158" s="3"/>
      <c r="K158" s="26">
        <f>(Table2[[#This Row],[Home Pace]]/100)*(VLOOKUP(Table2[[#This Row],[Home/Neutral]],home_lookup,8,FALSE)+VLOOKUP(Table2[[#This Row],[Home/Neutral]],OFR_lookup,2,FALSE)+VLOOKUP(Table2[[#This Row],[Visitor/Neutral]],def_diff_lookup,6,FALSE))</f>
        <v>108.53791112001839</v>
      </c>
      <c r="L158" s="26"/>
      <c r="M158" s="26">
        <f>(Table2[[#This Row],[Away Pace]]/100)*(VLOOKUP(Table2[[#This Row],[Visitor/Neutral]],OFR_lookup,2,FALSE)+VLOOKUP(Table2[[#This Row],[Home/Neutral]],def_diff_lookup,6,FALSE))</f>
        <v>109.92303000000001</v>
      </c>
      <c r="N158" s="26"/>
      <c r="O158" s="26"/>
      <c r="P158" s="3">
        <f>VLOOKUP(Table2[[#This Row],[Home/Neutral]],pace_lookup,7,FALSE)</f>
        <v>98.6</v>
      </c>
      <c r="Q158" s="3">
        <f>VLOOKUP(Table2[[#This Row],[Visitor/Neutral]],pace_lookup,7,FALSE)</f>
        <v>94.5</v>
      </c>
      <c r="R158" s="10">
        <f t="shared" si="5"/>
        <v>25</v>
      </c>
      <c r="S158" s="3"/>
      <c r="T158" s="3"/>
      <c r="U158" s="3"/>
      <c r="V158" s="12">
        <f>-home-VLOOKUP(Table2[[#This Row],[Home/Neutral]],rtg_vlookup,4,FALSE)+VLOOKUP(Table2[[#This Row],[Visitor/Neutral]],rtg_vlookup,4,FALSE)</f>
        <v>5.7948815165876688</v>
      </c>
      <c r="W158" s="26"/>
      <c r="X158" s="12"/>
      <c r="Y158" s="12">
        <f>Table2[[#This Row],[Away EV]]-Table2[[#This Row],[Home EV]]</f>
        <v>1.3851188799816185</v>
      </c>
      <c r="Z158" s="35"/>
      <c r="AA158" s="36"/>
      <c r="AB158" s="3" t="b">
        <f>IF(VLOOKUP(Table2[[#This Row],[Home/Neutral]],division_lookup,9,FALSE)=VLOOKUP(Table2[[#This Row],[Visitor/Neutral]],division_lookup,9,FALSE),TRUE,FALSE)</f>
        <v>0</v>
      </c>
      <c r="AC158" s="20" t="str">
        <f>VLOOKUP(Table2[[#This Row],[Home/Neutral]],division_lookup,9,FALSE)</f>
        <v>NW</v>
      </c>
      <c r="AD158" s="20"/>
      <c r="AE158" s="20" t="str">
        <f>IF(Table2[[#This Row],[Total EV ®]]&lt;Table2[[#This Row],[Total (V)]],"UNDER","OVER")</f>
        <v>OVER</v>
      </c>
      <c r="AF158" s="20"/>
      <c r="AG158" s="20"/>
      <c r="AH158" s="12"/>
      <c r="AI158" s="4">
        <f>Table2[[#This Row],[(A)]]-Table2[[#This Row],[Spread]]</f>
        <v>-19.205118483412331</v>
      </c>
      <c r="AJ158" s="4">
        <f>Table2[[#This Row],[(A) Err]]^2</f>
        <v>368.83657596190596</v>
      </c>
      <c r="AK158" s="4">
        <f>Table2[[#This Row],[EV]]-Table2[[#This Row],[Spread]]</f>
        <v>-23.614881120018381</v>
      </c>
      <c r="AL158" s="4">
        <f>Table2[[#This Row],[EV Err]]^2</f>
        <v>557.66261031260058</v>
      </c>
    </row>
    <row r="159" spans="1:38" x14ac:dyDescent="0.25">
      <c r="A159" t="s">
        <v>65</v>
      </c>
      <c r="B159" t="s">
        <v>11</v>
      </c>
      <c r="C159" t="s">
        <v>30</v>
      </c>
      <c r="E159">
        <v>107</v>
      </c>
      <c r="G159">
        <v>100</v>
      </c>
      <c r="H159" s="9">
        <f t="shared" si="4"/>
        <v>207</v>
      </c>
      <c r="K159" s="25">
        <f>(Table2[[#This Row],[Home Pace]]/100)*(VLOOKUP(Table2[[#This Row],[Home/Neutral]],home_lookup,8,FALSE)+VLOOKUP(Table2[[#This Row],[Home/Neutral]],OFR_lookup,2,FALSE)+VLOOKUP(Table2[[#This Row],[Visitor/Neutral]],def_diff_lookup,6,FALSE))</f>
        <v>100.43458904407282</v>
      </c>
      <c r="L159" s="25"/>
      <c r="M159" s="25">
        <f>(Table2[[#This Row],[Away Pace]]/100)*(VLOOKUP(Table2[[#This Row],[Visitor/Neutral]],OFR_lookup,2,FALSE)+VLOOKUP(Table2[[#This Row],[Home/Neutral]],def_diff_lookup,6,FALSE))</f>
        <v>94.79688533333335</v>
      </c>
      <c r="N159" s="25"/>
      <c r="O159" s="25"/>
      <c r="P159">
        <f>VLOOKUP(Table2[[#This Row],[Home/Neutral]],pace_lookup,7,FALSE)</f>
        <v>99.7</v>
      </c>
      <c r="Q159" s="5">
        <f>VLOOKUP(Table2[[#This Row],[Visitor/Neutral]],pace_lookup,7,FALSE)</f>
        <v>96.8</v>
      </c>
      <c r="R159" s="9">
        <f t="shared" si="5"/>
        <v>-7</v>
      </c>
      <c r="V159" s="2">
        <f>-home-VLOOKUP(Table2[[#This Row],[Home/Neutral]],rtg_vlookup,4,FALSE)+VLOOKUP(Table2[[#This Row],[Visitor/Neutral]],rtg_vlookup,4,FALSE)</f>
        <v>-11.555118483412331</v>
      </c>
      <c r="W159" s="25"/>
      <c r="X159" s="2"/>
      <c r="Y159" s="2">
        <f>Table2[[#This Row],[Away EV]]-Table2[[#This Row],[Home EV]]</f>
        <v>-5.6377037107394727</v>
      </c>
      <c r="Z159" s="33"/>
      <c r="AA159" s="34"/>
      <c r="AB159" t="b">
        <f>IF(VLOOKUP(Table2[[#This Row],[Home/Neutral]],division_lookup,9,FALSE)=VLOOKUP(Table2[[#This Row],[Visitor/Neutral]],division_lookup,9,FALSE),TRUE,FALSE)</f>
        <v>0</v>
      </c>
      <c r="AC159" s="19" t="str">
        <f>VLOOKUP(Table2[[#This Row],[Home/Neutral]],division_lookup,9,FALSE)</f>
        <v>SE</v>
      </c>
      <c r="AD159" s="19"/>
      <c r="AE159" s="19" t="str">
        <f>IF(Table2[[#This Row],[Total EV ®]]&lt;Table2[[#This Row],[Total (V)]],"UNDER","OVER")</f>
        <v>OVER</v>
      </c>
      <c r="AF159" s="19"/>
      <c r="AG159" s="19"/>
      <c r="AH159" s="2"/>
      <c r="AI159" s="22">
        <f>Table2[[#This Row],[(A)]]-Table2[[#This Row],[Spread]]</f>
        <v>-4.5551184834123308</v>
      </c>
      <c r="AJ159" s="1">
        <f>Table2[[#This Row],[(A) Err]]^2</f>
        <v>20.749104397924654</v>
      </c>
      <c r="AK159" s="6">
        <f>Table2[[#This Row],[EV]]-Table2[[#This Row],[Spread]]</f>
        <v>1.3622962892605273</v>
      </c>
      <c r="AL159" s="1">
        <f>Table2[[#This Row],[EV Err]]^2</f>
        <v>1.8558511797330022</v>
      </c>
    </row>
    <row r="160" spans="1:38" x14ac:dyDescent="0.25">
      <c r="A160" t="s">
        <v>65</v>
      </c>
      <c r="B160" t="s">
        <v>26</v>
      </c>
      <c r="C160" t="s">
        <v>37</v>
      </c>
      <c r="E160">
        <v>90</v>
      </c>
      <c r="G160">
        <v>83</v>
      </c>
      <c r="H160" s="9">
        <f t="shared" si="4"/>
        <v>173</v>
      </c>
      <c r="K160" s="25">
        <f>(Table2[[#This Row],[Home Pace]]/100)*(VLOOKUP(Table2[[#This Row],[Home/Neutral]],home_lookup,8,FALSE)+VLOOKUP(Table2[[#This Row],[Home/Neutral]],OFR_lookup,2,FALSE)+VLOOKUP(Table2[[#This Row],[Visitor/Neutral]],def_diff_lookup,6,FALSE))</f>
        <v>103.91376358918158</v>
      </c>
      <c r="L160" s="25"/>
      <c r="M160" s="25">
        <f>(Table2[[#This Row],[Away Pace]]/100)*(VLOOKUP(Table2[[#This Row],[Visitor/Neutral]],OFR_lookup,2,FALSE)+VLOOKUP(Table2[[#This Row],[Home/Neutral]],def_diff_lookup,6,FALSE))</f>
        <v>89.807324000000008</v>
      </c>
      <c r="N160" s="25"/>
      <c r="O160" s="25"/>
      <c r="P160">
        <f>VLOOKUP(Table2[[#This Row],[Home/Neutral]],pace_lookup,7,FALSE)</f>
        <v>96</v>
      </c>
      <c r="Q160" s="5">
        <f>VLOOKUP(Table2[[#This Row],[Visitor/Neutral]],pace_lookup,7,FALSE)</f>
        <v>92.1</v>
      </c>
      <c r="R160" s="9">
        <f t="shared" si="5"/>
        <v>-7</v>
      </c>
      <c r="V160" s="2">
        <f>-home-VLOOKUP(Table2[[#This Row],[Home/Neutral]],rtg_vlookup,4,FALSE)+VLOOKUP(Table2[[#This Row],[Visitor/Neutral]],rtg_vlookup,4,FALSE)</f>
        <v>-9.9851184834123323</v>
      </c>
      <c r="W160" s="25"/>
      <c r="X160" s="2"/>
      <c r="Y160" s="2">
        <f>Table2[[#This Row],[Away EV]]-Table2[[#This Row],[Home EV]]</f>
        <v>-14.106439589181576</v>
      </c>
      <c r="Z160" s="33"/>
      <c r="AA160" s="34"/>
      <c r="AB160" t="b">
        <f>IF(VLOOKUP(Table2[[#This Row],[Home/Neutral]],division_lookup,9,FALSE)=VLOOKUP(Table2[[#This Row],[Visitor/Neutral]],division_lookup,9,FALSE),TRUE,FALSE)</f>
        <v>0</v>
      </c>
      <c r="AC160" s="19" t="str">
        <f>VLOOKUP(Table2[[#This Row],[Home/Neutral]],division_lookup,9,FALSE)</f>
        <v>A</v>
      </c>
      <c r="AD160" s="19"/>
      <c r="AE160" s="19" t="str">
        <f>IF(Table2[[#This Row],[Total EV ®]]&lt;Table2[[#This Row],[Total (V)]],"UNDER","OVER")</f>
        <v>OVER</v>
      </c>
      <c r="AF160" s="19"/>
      <c r="AG160" s="19"/>
      <c r="AH160" s="2"/>
      <c r="AI160" s="22">
        <f>Table2[[#This Row],[(A)]]-Table2[[#This Row],[Spread]]</f>
        <v>-2.9851184834123323</v>
      </c>
      <c r="AJ160" s="1">
        <f>Table2[[#This Row],[(A) Err]]^2</f>
        <v>8.9109323600099426</v>
      </c>
      <c r="AK160" s="6">
        <f>Table2[[#This Row],[EV]]-Table2[[#This Row],[Spread]]</f>
        <v>-7.1064395891815764</v>
      </c>
      <c r="AL160" s="1">
        <f>Table2[[#This Row],[EV Err]]^2</f>
        <v>50.501483634687212</v>
      </c>
    </row>
    <row r="161" spans="1:38" x14ac:dyDescent="0.25">
      <c r="A161" t="s">
        <v>65</v>
      </c>
      <c r="B161" t="s">
        <v>27</v>
      </c>
      <c r="C161" t="s">
        <v>36</v>
      </c>
      <c r="E161">
        <v>120</v>
      </c>
      <c r="G161">
        <v>104</v>
      </c>
      <c r="H161" s="9">
        <f t="shared" si="4"/>
        <v>224</v>
      </c>
      <c r="K161" s="25">
        <f>(Table2[[#This Row],[Home Pace]]/100)*(VLOOKUP(Table2[[#This Row],[Home/Neutral]],home_lookup,8,FALSE)+VLOOKUP(Table2[[#This Row],[Home/Neutral]],OFR_lookup,2,FALSE)+VLOOKUP(Table2[[#This Row],[Visitor/Neutral]],def_diff_lookup,6,FALSE))</f>
        <v>107.37675642647257</v>
      </c>
      <c r="L161" s="25"/>
      <c r="M161" s="25">
        <f>(Table2[[#This Row],[Away Pace]]/100)*(VLOOKUP(Table2[[#This Row],[Visitor/Neutral]],OFR_lookup,2,FALSE)+VLOOKUP(Table2[[#This Row],[Home/Neutral]],def_diff_lookup,6,FALSE))</f>
        <v>104.79656133333334</v>
      </c>
      <c r="N161" s="25"/>
      <c r="O161" s="25"/>
      <c r="P161">
        <f>VLOOKUP(Table2[[#This Row],[Home/Neutral]],pace_lookup,7,FALSE)</f>
        <v>99</v>
      </c>
      <c r="Q161" s="5">
        <f>VLOOKUP(Table2[[#This Row],[Visitor/Neutral]],pace_lookup,7,FALSE)</f>
        <v>102.2</v>
      </c>
      <c r="R161" s="9">
        <f t="shared" si="5"/>
        <v>-16</v>
      </c>
      <c r="V161" s="2">
        <f>-home-VLOOKUP(Table2[[#This Row],[Home/Neutral]],rtg_vlookup,4,FALSE)+VLOOKUP(Table2[[#This Row],[Visitor/Neutral]],rtg_vlookup,4,FALSE)</f>
        <v>-8.3351184834123302</v>
      </c>
      <c r="W161" s="25"/>
      <c r="X161" s="2"/>
      <c r="Y161" s="2">
        <f>Table2[[#This Row],[Away EV]]-Table2[[#This Row],[Home EV]]</f>
        <v>-2.5801950931392241</v>
      </c>
      <c r="Z161" s="33"/>
      <c r="AA161" s="34"/>
      <c r="AB161" t="b">
        <f>IF(VLOOKUP(Table2[[#This Row],[Home/Neutral]],division_lookup,9,FALSE)=VLOOKUP(Table2[[#This Row],[Visitor/Neutral]],division_lookup,9,FALSE),TRUE,FALSE)</f>
        <v>0</v>
      </c>
      <c r="AC161" s="19" t="str">
        <f>VLOOKUP(Table2[[#This Row],[Home/Neutral]],division_lookup,9,FALSE)</f>
        <v>NW</v>
      </c>
      <c r="AD161" s="19"/>
      <c r="AE161" s="19" t="str">
        <f>IF(Table2[[#This Row],[Total EV ®]]&lt;Table2[[#This Row],[Total (V)]],"UNDER","OVER")</f>
        <v>OVER</v>
      </c>
      <c r="AF161" s="19"/>
      <c r="AG161" s="19"/>
      <c r="AH161" s="2"/>
      <c r="AI161" s="22">
        <f>Table2[[#This Row],[(A)]]-Table2[[#This Row],[Spread]]</f>
        <v>7.6648815165876698</v>
      </c>
      <c r="AJ161" s="1">
        <f>Table2[[#This Row],[(A) Err]]^2</f>
        <v>58.750408663327299</v>
      </c>
      <c r="AK161" s="6">
        <f>Table2[[#This Row],[EV]]-Table2[[#This Row],[Spread]]</f>
        <v>13.419804906860776</v>
      </c>
      <c r="AL161" s="1">
        <f>Table2[[#This Row],[EV Err]]^2</f>
        <v>180.09116373820456</v>
      </c>
    </row>
    <row r="162" spans="1:38" x14ac:dyDescent="0.25">
      <c r="A162" t="s">
        <v>65</v>
      </c>
      <c r="B162" t="s">
        <v>33</v>
      </c>
      <c r="C162" t="s">
        <v>8</v>
      </c>
      <c r="E162">
        <v>103</v>
      </c>
      <c r="G162">
        <v>93</v>
      </c>
      <c r="H162" s="9">
        <f t="shared" si="4"/>
        <v>196</v>
      </c>
      <c r="K162" s="25">
        <f>(Table2[[#This Row],[Home Pace]]/100)*(VLOOKUP(Table2[[#This Row],[Home/Neutral]],home_lookup,8,FALSE)+VLOOKUP(Table2[[#This Row],[Home/Neutral]],OFR_lookup,2,FALSE)+VLOOKUP(Table2[[#This Row],[Visitor/Neutral]],def_diff_lookup,6,FALSE))</f>
        <v>105.58445852057507</v>
      </c>
      <c r="L162" s="25"/>
      <c r="M162" s="25">
        <f>(Table2[[#This Row],[Away Pace]]/100)*(VLOOKUP(Table2[[#This Row],[Visitor/Neutral]],OFR_lookup,2,FALSE)+VLOOKUP(Table2[[#This Row],[Home/Neutral]],def_diff_lookup,6,FALSE))</f>
        <v>110.48788800000001</v>
      </c>
      <c r="N162" s="25"/>
      <c r="O162" s="25"/>
      <c r="P162">
        <f>VLOOKUP(Table2[[#This Row],[Home/Neutral]],pace_lookup,7,FALSE)</f>
        <v>98.2</v>
      </c>
      <c r="Q162" s="5">
        <f>VLOOKUP(Table2[[#This Row],[Visitor/Neutral]],pace_lookup,7,FALSE)</f>
        <v>97.2</v>
      </c>
      <c r="R162" s="9">
        <f t="shared" si="5"/>
        <v>-10</v>
      </c>
      <c r="V162" s="2">
        <f>-home-VLOOKUP(Table2[[#This Row],[Home/Neutral]],rtg_vlookup,4,FALSE)+VLOOKUP(Table2[[#This Row],[Visitor/Neutral]],rtg_vlookup,4,FALSE)</f>
        <v>9.3748815165876707</v>
      </c>
      <c r="W162" s="25"/>
      <c r="X162" s="2"/>
      <c r="Y162" s="2">
        <f>Table2[[#This Row],[Away EV]]-Table2[[#This Row],[Home EV]]</f>
        <v>4.9034294794249433</v>
      </c>
      <c r="Z162" s="33"/>
      <c r="AA162" s="34"/>
      <c r="AB162" t="b">
        <f>IF(VLOOKUP(Table2[[#This Row],[Home/Neutral]],division_lookup,9,FALSE)=VLOOKUP(Table2[[#This Row],[Visitor/Neutral]],division_lookup,9,FALSE),TRUE,FALSE)</f>
        <v>1</v>
      </c>
      <c r="AC162" s="19" t="str">
        <f>VLOOKUP(Table2[[#This Row],[Home/Neutral]],division_lookup,9,FALSE)</f>
        <v>C</v>
      </c>
      <c r="AD162" s="19"/>
      <c r="AE162" s="19" t="str">
        <f>IF(Table2[[#This Row],[Total EV ®]]&lt;Table2[[#This Row],[Total (V)]],"UNDER","OVER")</f>
        <v>OVER</v>
      </c>
      <c r="AF162" s="19"/>
      <c r="AG162" s="19"/>
      <c r="AH162" s="2"/>
      <c r="AI162" s="22">
        <f>Table2[[#This Row],[(A)]]-Table2[[#This Row],[Spread]]</f>
        <v>19.374881516587671</v>
      </c>
      <c r="AJ162" s="1">
        <f>Table2[[#This Row],[(A) Err]]^2</f>
        <v>375.38603378181057</v>
      </c>
      <c r="AK162" s="6">
        <f>Table2[[#This Row],[EV]]-Table2[[#This Row],[Spread]]</f>
        <v>14.903429479424943</v>
      </c>
      <c r="AL162" s="1">
        <f>Table2[[#This Row],[EV Err]]^2</f>
        <v>222.11221024819244</v>
      </c>
    </row>
    <row r="163" spans="1:38" x14ac:dyDescent="0.25">
      <c r="A163" t="s">
        <v>65</v>
      </c>
      <c r="B163" t="s">
        <v>4</v>
      </c>
      <c r="C163" t="s">
        <v>23</v>
      </c>
      <c r="E163">
        <v>107</v>
      </c>
      <c r="G163">
        <v>111</v>
      </c>
      <c r="H163" s="9">
        <f t="shared" si="4"/>
        <v>218</v>
      </c>
      <c r="K163" s="25">
        <f>(Table2[[#This Row],[Home Pace]]/100)*(VLOOKUP(Table2[[#This Row],[Home/Neutral]],home_lookup,8,FALSE)+VLOOKUP(Table2[[#This Row],[Home/Neutral]],OFR_lookup,2,FALSE)+VLOOKUP(Table2[[#This Row],[Visitor/Neutral]],def_diff_lookup,6,FALSE))</f>
        <v>98.079667813934449</v>
      </c>
      <c r="L163" s="25"/>
      <c r="M163" s="25">
        <f>(Table2[[#This Row],[Away Pace]]/100)*(VLOOKUP(Table2[[#This Row],[Visitor/Neutral]],OFR_lookup,2,FALSE)+VLOOKUP(Table2[[#This Row],[Home/Neutral]],def_diff_lookup,6,FALSE))</f>
        <v>90.863366666666678</v>
      </c>
      <c r="N163" s="25"/>
      <c r="O163" s="25"/>
      <c r="P163">
        <f>VLOOKUP(Table2[[#This Row],[Home/Neutral]],pace_lookup,7,FALSE)</f>
        <v>96.6</v>
      </c>
      <c r="Q163" s="5">
        <f>VLOOKUP(Table2[[#This Row],[Visitor/Neutral]],pace_lookup,7,FALSE)</f>
        <v>92.5</v>
      </c>
      <c r="R163" s="9">
        <f t="shared" si="5"/>
        <v>4</v>
      </c>
      <c r="V163" s="2">
        <f>-home-VLOOKUP(Table2[[#This Row],[Home/Neutral]],rtg_vlookup,4,FALSE)+VLOOKUP(Table2[[#This Row],[Visitor/Neutral]],rtg_vlookup,4,FALSE)</f>
        <v>-14.965118483412331</v>
      </c>
      <c r="W163" s="25"/>
      <c r="X163" s="2"/>
      <c r="Y163" s="2">
        <f>Table2[[#This Row],[Away EV]]-Table2[[#This Row],[Home EV]]</f>
        <v>-7.2163011472677709</v>
      </c>
      <c r="Z163" s="33"/>
      <c r="AA163" s="34"/>
      <c r="AB163" t="b">
        <f>IF(VLOOKUP(Table2[[#This Row],[Home/Neutral]],division_lookup,9,FALSE)=VLOOKUP(Table2[[#This Row],[Visitor/Neutral]],division_lookup,9,FALSE),TRUE,FALSE)</f>
        <v>0</v>
      </c>
      <c r="AC163" s="19" t="str">
        <f>VLOOKUP(Table2[[#This Row],[Home/Neutral]],division_lookup,9,FALSE)</f>
        <v>P</v>
      </c>
      <c r="AD163" s="19"/>
      <c r="AE163" s="19" t="str">
        <f>IF(Table2[[#This Row],[Total EV ®]]&lt;Table2[[#This Row],[Total (V)]],"UNDER","OVER")</f>
        <v>OVER</v>
      </c>
      <c r="AF163" s="19"/>
      <c r="AG163" s="19"/>
      <c r="AH163" s="2"/>
      <c r="AI163" s="22">
        <f>Table2[[#This Row],[(A)]]-Table2[[#This Row],[Spread]]</f>
        <v>-18.965118483412333</v>
      </c>
      <c r="AJ163" s="1">
        <f>Table2[[#This Row],[(A) Err]]^2</f>
        <v>359.6757190898681</v>
      </c>
      <c r="AK163" s="6">
        <f>Table2[[#This Row],[EV]]-Table2[[#This Row],[Spread]]</f>
        <v>-11.216301147267771</v>
      </c>
      <c r="AL163" s="1">
        <f>Table2[[#This Row],[EV Err]]^2</f>
        <v>125.80541142620031</v>
      </c>
    </row>
    <row r="164" spans="1:38" x14ac:dyDescent="0.25">
      <c r="A164" t="s">
        <v>65</v>
      </c>
      <c r="B164" t="s">
        <v>31</v>
      </c>
      <c r="C164" t="s">
        <v>25</v>
      </c>
      <c r="E164">
        <v>105</v>
      </c>
      <c r="G164">
        <v>102</v>
      </c>
      <c r="H164" s="9">
        <f t="shared" si="4"/>
        <v>207</v>
      </c>
      <c r="K164" s="25">
        <f>(Table2[[#This Row],[Home Pace]]/100)*(VLOOKUP(Table2[[#This Row],[Home/Neutral]],home_lookup,8,FALSE)+VLOOKUP(Table2[[#This Row],[Home/Neutral]],OFR_lookup,2,FALSE)+VLOOKUP(Table2[[#This Row],[Visitor/Neutral]],def_diff_lookup,6,FALSE))</f>
        <v>106.80937430217891</v>
      </c>
      <c r="L164" s="25"/>
      <c r="M164" s="25">
        <f>(Table2[[#This Row],[Away Pace]]/100)*(VLOOKUP(Table2[[#This Row],[Visitor/Neutral]],OFR_lookup,2,FALSE)+VLOOKUP(Table2[[#This Row],[Home/Neutral]],def_diff_lookup,6,FALSE))</f>
        <v>101.32014933333335</v>
      </c>
      <c r="N164" s="25"/>
      <c r="O164" s="25"/>
      <c r="P164">
        <f>VLOOKUP(Table2[[#This Row],[Home/Neutral]],pace_lookup,7,FALSE)</f>
        <v>96</v>
      </c>
      <c r="Q164" s="5">
        <f>VLOOKUP(Table2[[#This Row],[Visitor/Neutral]],pace_lookup,7,FALSE)</f>
        <v>94.4</v>
      </c>
      <c r="R164" s="9">
        <f t="shared" si="5"/>
        <v>-3</v>
      </c>
      <c r="V164" s="2">
        <f>-home-VLOOKUP(Table2[[#This Row],[Home/Neutral]],rtg_vlookup,4,FALSE)+VLOOKUP(Table2[[#This Row],[Visitor/Neutral]],rtg_vlookup,4,FALSE)</f>
        <v>-0.49511848341233056</v>
      </c>
      <c r="W164" s="25"/>
      <c r="X164" s="2"/>
      <c r="Y164" s="2">
        <f>Table2[[#This Row],[Away EV]]-Table2[[#This Row],[Home EV]]</f>
        <v>-5.4892249688455621</v>
      </c>
      <c r="Z164" s="33"/>
      <c r="AA164" s="34"/>
      <c r="AB164" t="b">
        <f>IF(VLOOKUP(Table2[[#This Row],[Home/Neutral]],division_lookup,9,FALSE)=VLOOKUP(Table2[[#This Row],[Visitor/Neutral]],division_lookup,9,FALSE),TRUE,FALSE)</f>
        <v>0</v>
      </c>
      <c r="AC164" s="19" t="str">
        <f>VLOOKUP(Table2[[#This Row],[Home/Neutral]],division_lookup,9,FALSE)</f>
        <v>A</v>
      </c>
      <c r="AD164" s="19"/>
      <c r="AE164" s="19" t="str">
        <f>IF(Table2[[#This Row],[Total EV ®]]&lt;Table2[[#This Row],[Total (V)]],"UNDER","OVER")</f>
        <v>OVER</v>
      </c>
      <c r="AF164" s="19"/>
      <c r="AG164" s="19"/>
      <c r="AH164" s="2"/>
      <c r="AI164" s="22">
        <f>Table2[[#This Row],[(A)]]-Table2[[#This Row],[Spread]]</f>
        <v>2.5048815165876697</v>
      </c>
      <c r="AJ164" s="1">
        <f>Table2[[#This Row],[(A) Err]]^2</f>
        <v>6.274431412142544</v>
      </c>
      <c r="AK164" s="6">
        <f>Table2[[#This Row],[EV]]-Table2[[#This Row],[Spread]]</f>
        <v>-2.4892249688455621</v>
      </c>
      <c r="AL164" s="1">
        <f>Table2[[#This Row],[EV Err]]^2</f>
        <v>6.19624094552419</v>
      </c>
    </row>
    <row r="165" spans="1:38" x14ac:dyDescent="0.25">
      <c r="A165" t="s">
        <v>65</v>
      </c>
      <c r="B165" t="s">
        <v>18</v>
      </c>
      <c r="C165" t="s">
        <v>17</v>
      </c>
      <c r="E165">
        <v>105</v>
      </c>
      <c r="G165">
        <v>103</v>
      </c>
      <c r="H165" s="9">
        <f t="shared" si="4"/>
        <v>208</v>
      </c>
      <c r="K165" s="25">
        <f>(Table2[[#This Row],[Home Pace]]/100)*(VLOOKUP(Table2[[#This Row],[Home/Neutral]],home_lookup,8,FALSE)+VLOOKUP(Table2[[#This Row],[Home/Neutral]],OFR_lookup,2,FALSE)+VLOOKUP(Table2[[#This Row],[Visitor/Neutral]],def_diff_lookup,6,FALSE))</f>
        <v>106.13885616021132</v>
      </c>
      <c r="L165" s="25"/>
      <c r="M165" s="25">
        <f>(Table2[[#This Row],[Away Pace]]/100)*(VLOOKUP(Table2[[#This Row],[Visitor/Neutral]],OFR_lookup,2,FALSE)+VLOOKUP(Table2[[#This Row],[Home/Neutral]],def_diff_lookup,6,FALSE))</f>
        <v>106.03219466666667</v>
      </c>
      <c r="N165" s="25"/>
      <c r="O165" s="25"/>
      <c r="P165">
        <f>VLOOKUP(Table2[[#This Row],[Home/Neutral]],pace_lookup,7,FALSE)</f>
        <v>99.5</v>
      </c>
      <c r="Q165" s="5">
        <f>VLOOKUP(Table2[[#This Row],[Visitor/Neutral]],pace_lookup,7,FALSE)</f>
        <v>96.7</v>
      </c>
      <c r="R165" s="9">
        <f t="shared" si="5"/>
        <v>-2</v>
      </c>
      <c r="V165" s="2">
        <f>-home-VLOOKUP(Table2[[#This Row],[Home/Neutral]],rtg_vlookup,4,FALSE)+VLOOKUP(Table2[[#This Row],[Visitor/Neutral]],rtg_vlookup,4,FALSE)</f>
        <v>-0.81511848341233062</v>
      </c>
      <c r="W165" s="25"/>
      <c r="X165" s="2"/>
      <c r="Y165" s="2">
        <f>Table2[[#This Row],[Away EV]]-Table2[[#This Row],[Home EV]]</f>
        <v>-0.10666149354464949</v>
      </c>
      <c r="Z165" s="33"/>
      <c r="AA165" s="34"/>
      <c r="AB165" t="b">
        <f>IF(VLOOKUP(Table2[[#This Row],[Home/Neutral]],division_lookup,9,FALSE)=VLOOKUP(Table2[[#This Row],[Visitor/Neutral]],division_lookup,9,FALSE),TRUE,FALSE)</f>
        <v>0</v>
      </c>
      <c r="AC165" s="19" t="str">
        <f>VLOOKUP(Table2[[#This Row],[Home/Neutral]],division_lookup,9,FALSE)</f>
        <v>NW</v>
      </c>
      <c r="AD165" s="19"/>
      <c r="AE165" s="19" t="str">
        <f>IF(Table2[[#This Row],[Total EV ®]]&lt;Table2[[#This Row],[Total (V)]],"UNDER","OVER")</f>
        <v>OVER</v>
      </c>
      <c r="AF165" s="19"/>
      <c r="AG165" s="19"/>
      <c r="AH165" s="2"/>
      <c r="AI165" s="22">
        <f>Table2[[#This Row],[(A)]]-Table2[[#This Row],[Spread]]</f>
        <v>1.1848815165876694</v>
      </c>
      <c r="AJ165" s="1">
        <f>Table2[[#This Row],[(A) Err]]^2</f>
        <v>1.4039442083510953</v>
      </c>
      <c r="AK165" s="6">
        <f>Table2[[#This Row],[EV]]-Table2[[#This Row],[Spread]]</f>
        <v>1.8933385064553505</v>
      </c>
      <c r="AL165" s="1">
        <f>Table2[[#This Row],[EV Err]]^2</f>
        <v>3.5847307000265776</v>
      </c>
    </row>
    <row r="166" spans="1:38" x14ac:dyDescent="0.25">
      <c r="A166" t="s">
        <v>65</v>
      </c>
      <c r="B166" t="s">
        <v>38</v>
      </c>
      <c r="C166" t="s">
        <v>34</v>
      </c>
      <c r="E166">
        <v>89</v>
      </c>
      <c r="G166">
        <v>82</v>
      </c>
      <c r="H166" s="9">
        <f t="shared" si="4"/>
        <v>171</v>
      </c>
      <c r="K166" s="25">
        <f>(Table2[[#This Row],[Home Pace]]/100)*(VLOOKUP(Table2[[#This Row],[Home/Neutral]],home_lookup,8,FALSE)+VLOOKUP(Table2[[#This Row],[Home/Neutral]],OFR_lookup,2,FALSE)+VLOOKUP(Table2[[#This Row],[Visitor/Neutral]],def_diff_lookup,6,FALSE))</f>
        <v>105.75171167891479</v>
      </c>
      <c r="L166" s="25"/>
      <c r="M166" s="25">
        <f>(Table2[[#This Row],[Away Pace]]/100)*(VLOOKUP(Table2[[#This Row],[Visitor/Neutral]],OFR_lookup,2,FALSE)+VLOOKUP(Table2[[#This Row],[Home/Neutral]],def_diff_lookup,6,FALSE))</f>
        <v>100.90509866666667</v>
      </c>
      <c r="N166" s="25"/>
      <c r="O166" s="25"/>
      <c r="P166">
        <f>VLOOKUP(Table2[[#This Row],[Home/Neutral]],pace_lookup,7,FALSE)</f>
        <v>94.2</v>
      </c>
      <c r="Q166" s="5">
        <f>VLOOKUP(Table2[[#This Row],[Visitor/Neutral]],pace_lookup,7,FALSE)</f>
        <v>98.8</v>
      </c>
      <c r="R166" s="9">
        <f t="shared" si="5"/>
        <v>-7</v>
      </c>
      <c r="V166" s="2">
        <f>-home-VLOOKUP(Table2[[#This Row],[Home/Neutral]],rtg_vlookup,4,FALSE)+VLOOKUP(Table2[[#This Row],[Visitor/Neutral]],rtg_vlookup,4,FALSE)</f>
        <v>0.93488151658766849</v>
      </c>
      <c r="W166" s="25"/>
      <c r="X166" s="2"/>
      <c r="Y166" s="2">
        <f>Table2[[#This Row],[Away EV]]-Table2[[#This Row],[Home EV]]</f>
        <v>-4.8466130122481133</v>
      </c>
      <c r="Z166" s="33"/>
      <c r="AA166" s="34"/>
      <c r="AB166" t="b">
        <f>IF(VLOOKUP(Table2[[#This Row],[Home/Neutral]],division_lookup,9,FALSE)=VLOOKUP(Table2[[#This Row],[Visitor/Neutral]],division_lookup,9,FALSE),TRUE,FALSE)</f>
        <v>0</v>
      </c>
      <c r="AC166" s="19" t="str">
        <f>VLOOKUP(Table2[[#This Row],[Home/Neutral]],division_lookup,9,FALSE)</f>
        <v>SE</v>
      </c>
      <c r="AD166" s="19"/>
      <c r="AE166" s="19" t="str">
        <f>IF(Table2[[#This Row],[Total EV ®]]&lt;Table2[[#This Row],[Total (V)]],"UNDER","OVER")</f>
        <v>OVER</v>
      </c>
      <c r="AF166" s="19"/>
      <c r="AG166" s="19"/>
      <c r="AH166" s="2"/>
      <c r="AI166" s="22">
        <f>Table2[[#This Row],[(A)]]-Table2[[#This Row],[Spread]]</f>
        <v>7.9348815165876685</v>
      </c>
      <c r="AJ166" s="1">
        <f>Table2[[#This Row],[(A) Err]]^2</f>
        <v>62.962344682284616</v>
      </c>
      <c r="AK166" s="6">
        <f>Table2[[#This Row],[EV]]-Table2[[#This Row],[Spread]]</f>
        <v>2.1533869877518867</v>
      </c>
      <c r="AL166" s="1">
        <f>Table2[[#This Row],[EV Err]]^2</f>
        <v>4.6370755190191444</v>
      </c>
    </row>
    <row r="167" spans="1:38" x14ac:dyDescent="0.25">
      <c r="A167" t="s">
        <v>65</v>
      </c>
      <c r="B167" t="s">
        <v>39</v>
      </c>
      <c r="C167" t="s">
        <v>28</v>
      </c>
      <c r="E167">
        <v>109</v>
      </c>
      <c r="G167">
        <v>102</v>
      </c>
      <c r="H167" s="9">
        <f t="shared" si="4"/>
        <v>211</v>
      </c>
      <c r="K167" s="25">
        <f>(Table2[[#This Row],[Home Pace]]/100)*(VLOOKUP(Table2[[#This Row],[Home/Neutral]],home_lookup,8,FALSE)+VLOOKUP(Table2[[#This Row],[Home/Neutral]],OFR_lookup,2,FALSE)+VLOOKUP(Table2[[#This Row],[Visitor/Neutral]],def_diff_lookup,6,FALSE))</f>
        <v>110.24327211468578</v>
      </c>
      <c r="L167" s="25"/>
      <c r="M167" s="25">
        <f>(Table2[[#This Row],[Away Pace]]/100)*(VLOOKUP(Table2[[#This Row],[Visitor/Neutral]],OFR_lookup,2,FALSE)+VLOOKUP(Table2[[#This Row],[Home/Neutral]],def_diff_lookup,6,FALSE))</f>
        <v>106.31584199999999</v>
      </c>
      <c r="N167" s="25"/>
      <c r="O167" s="25"/>
      <c r="P167">
        <f>VLOOKUP(Table2[[#This Row],[Home/Neutral]],pace_lookup,7,FALSE)</f>
        <v>97.5</v>
      </c>
      <c r="Q167" s="5">
        <f>VLOOKUP(Table2[[#This Row],[Visitor/Neutral]],pace_lookup,7,FALSE)</f>
        <v>96.3</v>
      </c>
      <c r="R167" s="9">
        <f t="shared" si="5"/>
        <v>-7</v>
      </c>
      <c r="V167" s="2">
        <f>-home-VLOOKUP(Table2[[#This Row],[Home/Neutral]],rtg_vlookup,4,FALSE)+VLOOKUP(Table2[[#This Row],[Visitor/Neutral]],rtg_vlookup,4,FALSE)</f>
        <v>4.6348815165876687</v>
      </c>
      <c r="W167" s="25"/>
      <c r="X167" s="2"/>
      <c r="Y167" s="2">
        <f>Table2[[#This Row],[Away EV]]-Table2[[#This Row],[Home EV]]</f>
        <v>-3.9274301146857908</v>
      </c>
      <c r="Z167" s="33"/>
      <c r="AA167" s="34"/>
      <c r="AB167" t="b">
        <f>IF(VLOOKUP(Table2[[#This Row],[Home/Neutral]],division_lookup,9,FALSE)=VLOOKUP(Table2[[#This Row],[Visitor/Neutral]],division_lookup,9,FALSE),TRUE,FALSE)</f>
        <v>0</v>
      </c>
      <c r="AC167" s="19" t="str">
        <f>VLOOKUP(Table2[[#This Row],[Home/Neutral]],division_lookup,9,FALSE)</f>
        <v>A</v>
      </c>
      <c r="AD167" s="19"/>
      <c r="AE167" s="19" t="str">
        <f>IF(Table2[[#This Row],[Total EV ®]]&lt;Table2[[#This Row],[Total (V)]],"UNDER","OVER")</f>
        <v>OVER</v>
      </c>
      <c r="AF167" s="19"/>
      <c r="AG167" s="19"/>
      <c r="AH167" s="2"/>
      <c r="AI167" s="22">
        <f>Table2[[#This Row],[(A)]]-Table2[[#This Row],[Spread]]</f>
        <v>11.634881516587669</v>
      </c>
      <c r="AJ167" s="1">
        <f>Table2[[#This Row],[(A) Err]]^2</f>
        <v>135.37046790503337</v>
      </c>
      <c r="AK167" s="6">
        <f>Table2[[#This Row],[EV]]-Table2[[#This Row],[Spread]]</f>
        <v>3.0725698853142092</v>
      </c>
      <c r="AL167" s="1">
        <f>Table2[[#This Row],[EV Err]]^2</f>
        <v>9.4406857001397722</v>
      </c>
    </row>
    <row r="168" spans="1:38" x14ac:dyDescent="0.25">
      <c r="A168" t="s">
        <v>65</v>
      </c>
      <c r="B168" t="s">
        <v>29</v>
      </c>
      <c r="C168" t="s">
        <v>6</v>
      </c>
      <c r="E168">
        <v>105</v>
      </c>
      <c r="G168">
        <v>110</v>
      </c>
      <c r="H168" s="9">
        <f t="shared" si="4"/>
        <v>215</v>
      </c>
      <c r="K168" s="25">
        <f>(Table2[[#This Row],[Home Pace]]/100)*(VLOOKUP(Table2[[#This Row],[Home/Neutral]],home_lookup,8,FALSE)+VLOOKUP(Table2[[#This Row],[Home/Neutral]],OFR_lookup,2,FALSE)+VLOOKUP(Table2[[#This Row],[Visitor/Neutral]],def_diff_lookup,6,FALSE))</f>
        <v>106.80368926898524</v>
      </c>
      <c r="L168" s="25"/>
      <c r="M168" s="25">
        <f>(Table2[[#This Row],[Away Pace]]/100)*(VLOOKUP(Table2[[#This Row],[Visitor/Neutral]],OFR_lookup,2,FALSE)+VLOOKUP(Table2[[#This Row],[Home/Neutral]],def_diff_lookup,6,FALSE))</f>
        <v>106.44185066666667</v>
      </c>
      <c r="N168" s="25"/>
      <c r="O168" s="25"/>
      <c r="P168">
        <f>VLOOKUP(Table2[[#This Row],[Home/Neutral]],pace_lookup,7,FALSE)</f>
        <v>93.8</v>
      </c>
      <c r="Q168" s="5">
        <f>VLOOKUP(Table2[[#This Row],[Visitor/Neutral]],pace_lookup,7,FALSE)</f>
        <v>93.1</v>
      </c>
      <c r="R168" s="9">
        <f t="shared" si="5"/>
        <v>5</v>
      </c>
      <c r="V168" s="2">
        <f>-home-VLOOKUP(Table2[[#This Row],[Home/Neutral]],rtg_vlookup,4,FALSE)+VLOOKUP(Table2[[#This Row],[Visitor/Neutral]],rtg_vlookup,4,FALSE)</f>
        <v>6.5648815165876693</v>
      </c>
      <c r="W168" s="25"/>
      <c r="X168" s="2"/>
      <c r="Y168" s="2">
        <f>Table2[[#This Row],[Away EV]]-Table2[[#This Row],[Home EV]]</f>
        <v>-0.36183860231857068</v>
      </c>
      <c r="Z168" s="33"/>
      <c r="AA168" s="34"/>
      <c r="AB168" t="b">
        <f>IF(VLOOKUP(Table2[[#This Row],[Home/Neutral]],division_lookup,9,FALSE)=VLOOKUP(Table2[[#This Row],[Visitor/Neutral]],division_lookup,9,FALSE),TRUE,FALSE)</f>
        <v>0</v>
      </c>
      <c r="AC168" s="19" t="str">
        <f>VLOOKUP(Table2[[#This Row],[Home/Neutral]],division_lookup,9,FALSE)</f>
        <v>P</v>
      </c>
      <c r="AD168" s="19"/>
      <c r="AE168" s="19" t="str">
        <f>IF(Table2[[#This Row],[Total EV ®]]&lt;Table2[[#This Row],[Total (V)]],"UNDER","OVER")</f>
        <v>OVER</v>
      </c>
      <c r="AF168" s="19"/>
      <c r="AG168" s="19"/>
      <c r="AH168" s="2"/>
      <c r="AI168" s="22">
        <f>Table2[[#This Row],[(A)]]-Table2[[#This Row],[Spread]]</f>
        <v>1.5648815165876693</v>
      </c>
      <c r="AJ168" s="1">
        <f>Table2[[#This Row],[(A) Err]]^2</f>
        <v>2.4488541609577239</v>
      </c>
      <c r="AK168" s="6">
        <f>Table2[[#This Row],[EV]]-Table2[[#This Row],[Spread]]</f>
        <v>-5.3618386023185707</v>
      </c>
      <c r="AL168" s="1">
        <f>Table2[[#This Row],[EV Err]]^2</f>
        <v>28.749313197313562</v>
      </c>
    </row>
    <row r="169" spans="1:38" ht="15.75" thickBot="1" x14ac:dyDescent="0.3">
      <c r="A169" s="3" t="s">
        <v>65</v>
      </c>
      <c r="B169" s="3" t="s">
        <v>14</v>
      </c>
      <c r="C169" s="3" t="s">
        <v>10</v>
      </c>
      <c r="D169" s="3"/>
      <c r="E169" s="3">
        <v>121</v>
      </c>
      <c r="F169" s="3"/>
      <c r="G169" s="3">
        <v>127</v>
      </c>
      <c r="H169" s="10">
        <f t="shared" si="4"/>
        <v>248</v>
      </c>
      <c r="I169" s="3"/>
      <c r="J169" s="3"/>
      <c r="K169" s="26">
        <f>(Table2[[#This Row],[Home Pace]]/100)*(VLOOKUP(Table2[[#This Row],[Home/Neutral]],home_lookup,8,FALSE)+VLOOKUP(Table2[[#This Row],[Home/Neutral]],OFR_lookup,2,FALSE)+VLOOKUP(Table2[[#This Row],[Visitor/Neutral]],def_diff_lookup,6,FALSE))</f>
        <v>108.6734141424145</v>
      </c>
      <c r="L169" s="26"/>
      <c r="M169" s="26">
        <f>(Table2[[#This Row],[Away Pace]]/100)*(VLOOKUP(Table2[[#This Row],[Visitor/Neutral]],OFR_lookup,2,FALSE)+VLOOKUP(Table2[[#This Row],[Home/Neutral]],def_diff_lookup,6,FALSE))</f>
        <v>118.60541866666667</v>
      </c>
      <c r="N169" s="26"/>
      <c r="O169" s="26"/>
      <c r="P169" s="3">
        <f>VLOOKUP(Table2[[#This Row],[Home/Neutral]],pace_lookup,7,FALSE)</f>
        <v>95.9</v>
      </c>
      <c r="Q169" s="3">
        <f>VLOOKUP(Table2[[#This Row],[Visitor/Neutral]],pace_lookup,7,FALSE)</f>
        <v>100.3</v>
      </c>
      <c r="R169" s="10">
        <f t="shared" si="5"/>
        <v>6</v>
      </c>
      <c r="S169" s="3"/>
      <c r="T169" s="3"/>
      <c r="U169" s="3"/>
      <c r="V169" s="12">
        <f>-home-VLOOKUP(Table2[[#This Row],[Home/Neutral]],rtg_vlookup,4,FALSE)+VLOOKUP(Table2[[#This Row],[Visitor/Neutral]],rtg_vlookup,4,FALSE)</f>
        <v>0.78488151658766991</v>
      </c>
      <c r="W169" s="26"/>
      <c r="X169" s="12"/>
      <c r="Y169" s="12">
        <f>Table2[[#This Row],[Away EV]]-Table2[[#This Row],[Home EV]]</f>
        <v>9.9320045242521644</v>
      </c>
      <c r="Z169" s="35"/>
      <c r="AA169" s="36"/>
      <c r="AB169" s="3" t="b">
        <f>IF(VLOOKUP(Table2[[#This Row],[Home/Neutral]],division_lookup,9,FALSE)=VLOOKUP(Table2[[#This Row],[Visitor/Neutral]],division_lookup,9,FALSE),TRUE,FALSE)</f>
        <v>0</v>
      </c>
      <c r="AC169" s="20" t="str">
        <f>VLOOKUP(Table2[[#This Row],[Home/Neutral]],division_lookup,9,FALSE)</f>
        <v>A</v>
      </c>
      <c r="AD169" s="20"/>
      <c r="AE169" s="20" t="str">
        <f>IF(Table2[[#This Row],[Total EV ®]]&lt;Table2[[#This Row],[Total (V)]],"UNDER","OVER")</f>
        <v>OVER</v>
      </c>
      <c r="AF169" s="20"/>
      <c r="AG169" s="20"/>
      <c r="AH169" s="29"/>
      <c r="AI169" s="23">
        <f>Table2[[#This Row],[(A)]]-Table2[[#This Row],[Spread]]</f>
        <v>-5.2151184834123301</v>
      </c>
      <c r="AJ169" s="4">
        <f>Table2[[#This Row],[(A) Err]]^2</f>
        <v>27.197460796028921</v>
      </c>
      <c r="AK169" s="4">
        <f>Table2[[#This Row],[EV]]-Table2[[#This Row],[Spread]]</f>
        <v>3.9320045242521644</v>
      </c>
      <c r="AL169" s="4">
        <f>Table2[[#This Row],[EV Err]]^2</f>
        <v>15.46065957873949</v>
      </c>
    </row>
    <row r="170" spans="1:38" x14ac:dyDescent="0.25">
      <c r="A170" t="s">
        <v>66</v>
      </c>
      <c r="B170" t="s">
        <v>17</v>
      </c>
      <c r="C170" t="s">
        <v>32</v>
      </c>
      <c r="E170">
        <v>126</v>
      </c>
      <c r="G170">
        <v>109</v>
      </c>
      <c r="H170" s="9">
        <f t="shared" si="4"/>
        <v>235</v>
      </c>
      <c r="K170" s="25">
        <f>(Table2[[#This Row],[Home Pace]]/100)*(VLOOKUP(Table2[[#This Row],[Home/Neutral]],home_lookup,8,FALSE)+VLOOKUP(Table2[[#This Row],[Home/Neutral]],OFR_lookup,2,FALSE)+VLOOKUP(Table2[[#This Row],[Visitor/Neutral]],def_diff_lookup,6,FALSE))</f>
        <v>114.19054692873544</v>
      </c>
      <c r="L170" s="25"/>
      <c r="M170" s="25">
        <f>(Table2[[#This Row],[Away Pace]]/100)*(VLOOKUP(Table2[[#This Row],[Visitor/Neutral]],OFR_lookup,2,FALSE)+VLOOKUP(Table2[[#This Row],[Home/Neutral]],def_diff_lookup,6,FALSE))</f>
        <v>110.19601733333334</v>
      </c>
      <c r="N170" s="25"/>
      <c r="O170" s="25"/>
      <c r="P170">
        <f>VLOOKUP(Table2[[#This Row],[Home/Neutral]],pace_lookup,7,FALSE)</f>
        <v>96.7</v>
      </c>
      <c r="Q170" s="5">
        <f>VLOOKUP(Table2[[#This Row],[Visitor/Neutral]],pace_lookup,7,FALSE)</f>
        <v>98.6</v>
      </c>
      <c r="R170" s="9">
        <f t="shared" si="5"/>
        <v>-17</v>
      </c>
      <c r="V170" s="2">
        <f>-home-VLOOKUP(Table2[[#This Row],[Home/Neutral]],rtg_vlookup,4,FALSE)+VLOOKUP(Table2[[#This Row],[Visitor/Neutral]],rtg_vlookup,4,FALSE)</f>
        <v>-9.8451184834123318</v>
      </c>
      <c r="W170" s="25"/>
      <c r="X170" s="2"/>
      <c r="Y170" s="2">
        <f>Table2[[#This Row],[Away EV]]-Table2[[#This Row],[Home EV]]</f>
        <v>-3.9945295954020992</v>
      </c>
      <c r="Z170" s="33"/>
      <c r="AA170" s="34"/>
      <c r="AB170" t="b">
        <f>IF(VLOOKUP(Table2[[#This Row],[Home/Neutral]],division_lookup,9,FALSE)=VLOOKUP(Table2[[#This Row],[Visitor/Neutral]],division_lookup,9,FALSE),TRUE,FALSE)</f>
        <v>0</v>
      </c>
      <c r="AC170" s="19" t="str">
        <f>VLOOKUP(Table2[[#This Row],[Home/Neutral]],division_lookup,9,FALSE)</f>
        <v>SW</v>
      </c>
      <c r="AD170" s="19"/>
      <c r="AE170" s="19" t="str">
        <f>IF(Table2[[#This Row],[Total EV ®]]&lt;Table2[[#This Row],[Total (V)]],"UNDER","OVER")</f>
        <v>OVER</v>
      </c>
      <c r="AF170" s="19"/>
      <c r="AG170" s="19"/>
      <c r="AH170" s="2"/>
      <c r="AI170" s="22">
        <f>Table2[[#This Row],[(A)]]-Table2[[#This Row],[Spread]]</f>
        <v>7.1548815165876682</v>
      </c>
      <c r="AJ170" s="1">
        <f>Table2[[#This Row],[(A) Err]]^2</f>
        <v>51.192329516407852</v>
      </c>
      <c r="AK170" s="6">
        <f>Table2[[#This Row],[EV]]-Table2[[#This Row],[Spread]]</f>
        <v>13.005470404597901</v>
      </c>
      <c r="AL170" s="1">
        <f>Table2[[#This Row],[EV Err]]^2</f>
        <v>169.14226044487188</v>
      </c>
    </row>
    <row r="171" spans="1:38" x14ac:dyDescent="0.25">
      <c r="A171" t="s">
        <v>66</v>
      </c>
      <c r="B171" t="s">
        <v>21</v>
      </c>
      <c r="C171" t="s">
        <v>30</v>
      </c>
      <c r="E171">
        <v>96</v>
      </c>
      <c r="G171">
        <v>73</v>
      </c>
      <c r="H171" s="9">
        <f t="shared" si="4"/>
        <v>169</v>
      </c>
      <c r="K171" s="25">
        <f>(Table2[[#This Row],[Home Pace]]/100)*(VLOOKUP(Table2[[#This Row],[Home/Neutral]],home_lookup,8,FALSE)+VLOOKUP(Table2[[#This Row],[Home/Neutral]],OFR_lookup,2,FALSE)+VLOOKUP(Table2[[#This Row],[Visitor/Neutral]],def_diff_lookup,6,FALSE))</f>
        <v>103.2966711752439</v>
      </c>
      <c r="L171" s="25"/>
      <c r="M171" s="25">
        <f>(Table2[[#This Row],[Away Pace]]/100)*(VLOOKUP(Table2[[#This Row],[Visitor/Neutral]],OFR_lookup,2,FALSE)+VLOOKUP(Table2[[#This Row],[Home/Neutral]],def_diff_lookup,6,FALSE))</f>
        <v>98.697925333333345</v>
      </c>
      <c r="N171" s="25"/>
      <c r="O171" s="25"/>
      <c r="P171">
        <f>VLOOKUP(Table2[[#This Row],[Home/Neutral]],pace_lookup,7,FALSE)</f>
        <v>94.2</v>
      </c>
      <c r="Q171" s="5">
        <f>VLOOKUP(Table2[[#This Row],[Visitor/Neutral]],pace_lookup,7,FALSE)</f>
        <v>96.8</v>
      </c>
      <c r="R171" s="9">
        <f t="shared" si="5"/>
        <v>-23</v>
      </c>
      <c r="V171" s="2">
        <f>-home-VLOOKUP(Table2[[#This Row],[Home/Neutral]],rtg_vlookup,4,FALSE)+VLOOKUP(Table2[[#This Row],[Visitor/Neutral]],rtg_vlookup,4,FALSE)</f>
        <v>-5.1451184834123307</v>
      </c>
      <c r="W171" s="25"/>
      <c r="X171" s="2"/>
      <c r="Y171" s="2">
        <f>Table2[[#This Row],[Away EV]]-Table2[[#This Row],[Home EV]]</f>
        <v>-4.5987458419105565</v>
      </c>
      <c r="Z171" s="33"/>
      <c r="AA171" s="34"/>
      <c r="AB171" t="b">
        <f>IF(VLOOKUP(Table2[[#This Row],[Home/Neutral]],division_lookup,9,FALSE)=VLOOKUP(Table2[[#This Row],[Visitor/Neutral]],division_lookup,9,FALSE),TRUE,FALSE)</f>
        <v>0</v>
      </c>
      <c r="AC171" s="19" t="str">
        <f>VLOOKUP(Table2[[#This Row],[Home/Neutral]],division_lookup,9,FALSE)</f>
        <v>SE</v>
      </c>
      <c r="AD171" s="19"/>
      <c r="AE171" s="19" t="str">
        <f>IF(Table2[[#This Row],[Total EV ®]]&lt;Table2[[#This Row],[Total (V)]],"UNDER","OVER")</f>
        <v>OVER</v>
      </c>
      <c r="AF171" s="19"/>
      <c r="AG171" s="19"/>
      <c r="AH171" s="2"/>
      <c r="AI171" s="22">
        <f>Table2[[#This Row],[(A)]]-Table2[[#This Row],[Spread]]</f>
        <v>17.854881516587668</v>
      </c>
      <c r="AJ171" s="1">
        <f>Table2[[#This Row],[(A) Err]]^2</f>
        <v>318.79679397138392</v>
      </c>
      <c r="AK171" s="6">
        <f>Table2[[#This Row],[EV]]-Table2[[#This Row],[Spread]]</f>
        <v>18.401254158089444</v>
      </c>
      <c r="AL171" s="1">
        <f>Table2[[#This Row],[EV Err]]^2</f>
        <v>338.60615459060404</v>
      </c>
    </row>
    <row r="172" spans="1:38" x14ac:dyDescent="0.25">
      <c r="A172" t="s">
        <v>66</v>
      </c>
      <c r="B172" t="s">
        <v>22</v>
      </c>
      <c r="C172" t="s">
        <v>39</v>
      </c>
      <c r="E172">
        <v>110</v>
      </c>
      <c r="G172">
        <v>86</v>
      </c>
      <c r="H172" s="9">
        <f t="shared" si="4"/>
        <v>196</v>
      </c>
      <c r="K172" s="25">
        <f>(Table2[[#This Row],[Home Pace]]/100)*(VLOOKUP(Table2[[#This Row],[Home/Neutral]],home_lookup,8,FALSE)+VLOOKUP(Table2[[#This Row],[Home/Neutral]],OFR_lookup,2,FALSE)+VLOOKUP(Table2[[#This Row],[Visitor/Neutral]],def_diff_lookup,6,FALSE))</f>
        <v>113.78534922968976</v>
      </c>
      <c r="L172" s="25"/>
      <c r="M172" s="25">
        <f>(Table2[[#This Row],[Away Pace]]/100)*(VLOOKUP(Table2[[#This Row],[Visitor/Neutral]],OFR_lookup,2,FALSE)+VLOOKUP(Table2[[#This Row],[Home/Neutral]],def_diff_lookup,6,FALSE))</f>
        <v>101.48840000000001</v>
      </c>
      <c r="N172" s="25"/>
      <c r="O172" s="25"/>
      <c r="P172">
        <f>VLOOKUP(Table2[[#This Row],[Home/Neutral]],pace_lookup,7,FALSE)</f>
        <v>94.7</v>
      </c>
      <c r="Q172" s="5">
        <f>VLOOKUP(Table2[[#This Row],[Visitor/Neutral]],pace_lookup,7,FALSE)</f>
        <v>97.5</v>
      </c>
      <c r="R172" s="9">
        <f t="shared" si="5"/>
        <v>-24</v>
      </c>
      <c r="V172" s="2">
        <f>-home-VLOOKUP(Table2[[#This Row],[Home/Neutral]],rtg_vlookup,4,FALSE)+VLOOKUP(Table2[[#This Row],[Visitor/Neutral]],rtg_vlookup,4,FALSE)</f>
        <v>-12.90511848341233</v>
      </c>
      <c r="W172" s="25"/>
      <c r="X172" s="2"/>
      <c r="Y172" s="2">
        <f>Table2[[#This Row],[Away EV]]-Table2[[#This Row],[Home EV]]</f>
        <v>-12.296949229689744</v>
      </c>
      <c r="Z172" s="33"/>
      <c r="AA172" s="34"/>
      <c r="AB172" t="b">
        <f>IF(VLOOKUP(Table2[[#This Row],[Home/Neutral]],division_lookup,9,FALSE)=VLOOKUP(Table2[[#This Row],[Visitor/Neutral]],division_lookup,9,FALSE),TRUE,FALSE)</f>
        <v>0</v>
      </c>
      <c r="AC172" s="19" t="str">
        <f>VLOOKUP(Table2[[#This Row],[Home/Neutral]],division_lookup,9,FALSE)</f>
        <v>NW</v>
      </c>
      <c r="AD172" s="19"/>
      <c r="AE172" s="19" t="str">
        <f>IF(Table2[[#This Row],[Total EV ®]]&lt;Table2[[#This Row],[Total (V)]],"UNDER","OVER")</f>
        <v>OVER</v>
      </c>
      <c r="AF172" s="19"/>
      <c r="AG172" s="19"/>
      <c r="AH172" s="2"/>
      <c r="AI172" s="22">
        <f>Table2[[#This Row],[(A)]]-Table2[[#This Row],[Spread]]</f>
        <v>11.09488151658767</v>
      </c>
      <c r="AJ172" s="1">
        <f>Table2[[#This Row],[(A) Err]]^2</f>
        <v>123.0963958671187</v>
      </c>
      <c r="AK172" s="6">
        <f>Table2[[#This Row],[EV]]-Table2[[#This Row],[Spread]]</f>
        <v>11.703050770310256</v>
      </c>
      <c r="AL172" s="1">
        <f>Table2[[#This Row],[EV Err]]^2</f>
        <v>136.96139733245948</v>
      </c>
    </row>
    <row r="173" spans="1:38" x14ac:dyDescent="0.25">
      <c r="A173" t="s">
        <v>66</v>
      </c>
      <c r="B173" t="s">
        <v>20</v>
      </c>
      <c r="C173" t="s">
        <v>13</v>
      </c>
      <c r="E173">
        <v>77</v>
      </c>
      <c r="G173">
        <v>85</v>
      </c>
      <c r="H173" s="9">
        <f t="shared" si="4"/>
        <v>162</v>
      </c>
      <c r="K173" s="25">
        <f>(Table2[[#This Row],[Home Pace]]/100)*(VLOOKUP(Table2[[#This Row],[Home/Neutral]],home_lookup,8,FALSE)+VLOOKUP(Table2[[#This Row],[Home/Neutral]],OFR_lookup,2,FALSE)+VLOOKUP(Table2[[#This Row],[Visitor/Neutral]],def_diff_lookup,6,FALSE))</f>
        <v>103.28339528915178</v>
      </c>
      <c r="L173" s="25"/>
      <c r="M173" s="25">
        <f>(Table2[[#This Row],[Away Pace]]/100)*(VLOOKUP(Table2[[#This Row],[Visitor/Neutral]],OFR_lookup,2,FALSE)+VLOOKUP(Table2[[#This Row],[Home/Neutral]],def_diff_lookup,6,FALSE))</f>
        <v>103.76163000000001</v>
      </c>
      <c r="N173" s="25"/>
      <c r="O173" s="25"/>
      <c r="P173">
        <f>VLOOKUP(Table2[[#This Row],[Home/Neutral]],pace_lookup,7,FALSE)</f>
        <v>90.9</v>
      </c>
      <c r="Q173" s="5">
        <f>VLOOKUP(Table2[[#This Row],[Visitor/Neutral]],pace_lookup,7,FALSE)</f>
        <v>94.5</v>
      </c>
      <c r="R173" s="9">
        <f t="shared" si="5"/>
        <v>8</v>
      </c>
      <c r="V173" s="2">
        <f>-home-VLOOKUP(Table2[[#This Row],[Home/Neutral]],rtg_vlookup,4,FALSE)+VLOOKUP(Table2[[#This Row],[Visitor/Neutral]],rtg_vlookup,4,FALSE)</f>
        <v>1.1748815165876687</v>
      </c>
      <c r="W173" s="25"/>
      <c r="X173" s="2"/>
      <c r="Y173" s="2">
        <f>Table2[[#This Row],[Away EV]]-Table2[[#This Row],[Home EV]]</f>
        <v>0.478234710848227</v>
      </c>
      <c r="Z173" s="33"/>
      <c r="AA173" s="34"/>
      <c r="AB173" t="b">
        <f>IF(VLOOKUP(Table2[[#This Row],[Home/Neutral]],division_lookup,9,FALSE)=VLOOKUP(Table2[[#This Row],[Visitor/Neutral]],division_lookup,9,FALSE),TRUE,FALSE)</f>
        <v>0</v>
      </c>
      <c r="AC173" s="19" t="str">
        <f>VLOOKUP(Table2[[#This Row],[Home/Neutral]],division_lookup,9,FALSE)</f>
        <v>NW</v>
      </c>
      <c r="AD173" s="19"/>
      <c r="AE173" s="19" t="str">
        <f>IF(Table2[[#This Row],[Total EV ®]]&lt;Table2[[#This Row],[Total (V)]],"UNDER","OVER")</f>
        <v>OVER</v>
      </c>
      <c r="AF173" s="19"/>
      <c r="AG173" s="19"/>
      <c r="AH173" s="2"/>
      <c r="AI173" s="22">
        <f>Table2[[#This Row],[(A)]]-Table2[[#This Row],[Spread]]</f>
        <v>-6.8251184834123313</v>
      </c>
      <c r="AJ173" s="1">
        <f>Table2[[#This Row],[(A) Err]]^2</f>
        <v>46.582242312616643</v>
      </c>
      <c r="AK173" s="6">
        <f>Table2[[#This Row],[EV]]-Table2[[#This Row],[Spread]]</f>
        <v>-7.521765289151773</v>
      </c>
      <c r="AL173" s="1">
        <f>Table2[[#This Row],[EV Err]]^2</f>
        <v>56.576953065088453</v>
      </c>
    </row>
    <row r="174" spans="1:38" ht="15.75" thickBot="1" x14ac:dyDescent="0.3">
      <c r="A174" s="3" t="s">
        <v>66</v>
      </c>
      <c r="B174" s="3" t="s">
        <v>28</v>
      </c>
      <c r="C174" s="3" t="s">
        <v>31</v>
      </c>
      <c r="D174" s="3"/>
      <c r="E174" s="3">
        <v>119</v>
      </c>
      <c r="F174" s="3"/>
      <c r="G174" s="3">
        <v>112</v>
      </c>
      <c r="H174" s="10">
        <f t="shared" si="4"/>
        <v>231</v>
      </c>
      <c r="I174" s="3"/>
      <c r="J174" s="3"/>
      <c r="K174" s="26">
        <f>(Table2[[#This Row],[Home Pace]]/100)*(VLOOKUP(Table2[[#This Row],[Home/Neutral]],home_lookup,8,FALSE)+VLOOKUP(Table2[[#This Row],[Home/Neutral]],OFR_lookup,2,FALSE)+VLOOKUP(Table2[[#This Row],[Visitor/Neutral]],def_diff_lookup,6,FALSE))</f>
        <v>112.87040553204274</v>
      </c>
      <c r="L174" s="26"/>
      <c r="M174" s="26">
        <f>(Table2[[#This Row],[Away Pace]]/100)*(VLOOKUP(Table2[[#This Row],[Visitor/Neutral]],OFR_lookup,2,FALSE)+VLOOKUP(Table2[[#This Row],[Home/Neutral]],def_diff_lookup,6,FALSE))</f>
        <v>107.29024000000001</v>
      </c>
      <c r="N174" s="26"/>
      <c r="O174" s="26"/>
      <c r="P174" s="3">
        <f>VLOOKUP(Table2[[#This Row],[Home/Neutral]],pace_lookup,7,FALSE)</f>
        <v>96.3</v>
      </c>
      <c r="Q174" s="3">
        <f>VLOOKUP(Table2[[#This Row],[Visitor/Neutral]],pace_lookup,7,FALSE)</f>
        <v>96</v>
      </c>
      <c r="R174" s="10">
        <f t="shared" si="5"/>
        <v>-7</v>
      </c>
      <c r="S174" s="3"/>
      <c r="T174" s="3"/>
      <c r="U174" s="3"/>
      <c r="V174" s="12">
        <f>-home-VLOOKUP(Table2[[#This Row],[Home/Neutral]],rtg_vlookup,4,FALSE)+VLOOKUP(Table2[[#This Row],[Visitor/Neutral]],rtg_vlookup,4,FALSE)</f>
        <v>-3.0551184834123308</v>
      </c>
      <c r="W174" s="26"/>
      <c r="X174" s="12"/>
      <c r="Y174" s="12">
        <f>Table2[[#This Row],[Away EV]]-Table2[[#This Row],[Home EV]]</f>
        <v>-5.5801655320427272</v>
      </c>
      <c r="Z174" s="35"/>
      <c r="AA174" s="36"/>
      <c r="AB174" s="3" t="b">
        <f>IF(VLOOKUP(Table2[[#This Row],[Home/Neutral]],division_lookup,9,FALSE)=VLOOKUP(Table2[[#This Row],[Visitor/Neutral]],division_lookup,9,FALSE),TRUE,FALSE)</f>
        <v>0</v>
      </c>
      <c r="AC174" s="20" t="str">
        <f>VLOOKUP(Table2[[#This Row],[Home/Neutral]],division_lookup,9,FALSE)</f>
        <v>SE</v>
      </c>
      <c r="AD174" s="20"/>
      <c r="AE174" s="20" t="str">
        <f>IF(Table2[[#This Row],[Total EV ®]]&lt;Table2[[#This Row],[Total (V)]],"UNDER","OVER")</f>
        <v>OVER</v>
      </c>
      <c r="AF174" s="20"/>
      <c r="AG174" s="20"/>
      <c r="AH174" s="29"/>
      <c r="AI174" s="23">
        <f>Table2[[#This Row],[(A)]]-Table2[[#This Row],[Spread]]</f>
        <v>3.9448815165876692</v>
      </c>
      <c r="AJ174" s="4">
        <f>Table2[[#This Row],[(A) Err]]^2</f>
        <v>15.562090179915028</v>
      </c>
      <c r="AK174" s="4">
        <f>Table2[[#This Row],[EV]]-Table2[[#This Row],[Spread]]</f>
        <v>1.4198344679572728</v>
      </c>
      <c r="AL174" s="4">
        <f>Table2[[#This Row],[EV Err]]^2</f>
        <v>2.0159299163995117</v>
      </c>
    </row>
    <row r="175" spans="1:38" x14ac:dyDescent="0.25">
      <c r="A175" t="s">
        <v>67</v>
      </c>
      <c r="B175" t="s">
        <v>26</v>
      </c>
      <c r="C175" t="s">
        <v>10</v>
      </c>
      <c r="E175">
        <v>88</v>
      </c>
      <c r="G175">
        <v>104</v>
      </c>
      <c r="H175" s="9">
        <f t="shared" si="4"/>
        <v>192</v>
      </c>
      <c r="K175" s="25">
        <f>(Table2[[#This Row],[Home Pace]]/100)*(VLOOKUP(Table2[[#This Row],[Home/Neutral]],home_lookup,8,FALSE)+VLOOKUP(Table2[[#This Row],[Home/Neutral]],OFR_lookup,2,FALSE)+VLOOKUP(Table2[[#This Row],[Visitor/Neutral]],def_diff_lookup,6,FALSE))</f>
        <v>108.35856358918159</v>
      </c>
      <c r="L175" s="25"/>
      <c r="M175" s="25">
        <f>(Table2[[#This Row],[Away Pace]]/100)*(VLOOKUP(Table2[[#This Row],[Visitor/Neutral]],OFR_lookup,2,FALSE)+VLOOKUP(Table2[[#This Row],[Home/Neutral]],def_diff_lookup,6,FALSE))</f>
        <v>118.46499866666666</v>
      </c>
      <c r="N175" s="25"/>
      <c r="O175" s="25"/>
      <c r="P175">
        <f>VLOOKUP(Table2[[#This Row],[Home/Neutral]],pace_lookup,7,FALSE)</f>
        <v>96</v>
      </c>
      <c r="Q175" s="5">
        <f>VLOOKUP(Table2[[#This Row],[Visitor/Neutral]],pace_lookup,7,FALSE)</f>
        <v>100.3</v>
      </c>
      <c r="R175" s="9">
        <f t="shared" si="5"/>
        <v>16</v>
      </c>
      <c r="V175" s="2">
        <f>-home-VLOOKUP(Table2[[#This Row],[Home/Neutral]],rtg_vlookup,4,FALSE)+VLOOKUP(Table2[[#This Row],[Visitor/Neutral]],rtg_vlookup,4,FALSE)</f>
        <v>5.9748815165876694</v>
      </c>
      <c r="W175" s="25"/>
      <c r="X175" s="2"/>
      <c r="Y175" s="2">
        <f>Table2[[#This Row],[Away EV]]-Table2[[#This Row],[Home EV]]</f>
        <v>10.106435077485074</v>
      </c>
      <c r="Z175" s="33"/>
      <c r="AA175" s="34"/>
      <c r="AB175" t="b">
        <f>IF(VLOOKUP(Table2[[#This Row],[Home/Neutral]],division_lookup,9,FALSE)=VLOOKUP(Table2[[#This Row],[Visitor/Neutral]],division_lookup,9,FALSE),TRUE,FALSE)</f>
        <v>0</v>
      </c>
      <c r="AC175" s="19" t="str">
        <f>VLOOKUP(Table2[[#This Row],[Home/Neutral]],division_lookup,9,FALSE)</f>
        <v>A</v>
      </c>
      <c r="AD175" s="19"/>
      <c r="AE175" s="19" t="str">
        <f>IF(Table2[[#This Row],[Total EV ®]]&lt;Table2[[#This Row],[Total (V)]],"UNDER","OVER")</f>
        <v>OVER</v>
      </c>
      <c r="AF175" s="19"/>
      <c r="AG175" s="19"/>
      <c r="AH175" s="2"/>
      <c r="AI175" s="22">
        <f>Table2[[#This Row],[(A)]]-Table2[[#This Row],[Spread]]</f>
        <v>-10.025118483412331</v>
      </c>
      <c r="AJ175" s="1">
        <f>Table2[[#This Row],[(A) Err]]^2</f>
        <v>100.50300060645557</v>
      </c>
      <c r="AK175" s="6">
        <f>Table2[[#This Row],[EV]]-Table2[[#This Row],[Spread]]</f>
        <v>-5.8935649225149263</v>
      </c>
      <c r="AL175" s="1">
        <f>Table2[[#This Row],[EV Err]]^2</f>
        <v>34.734107495898371</v>
      </c>
    </row>
    <row r="176" spans="1:38" x14ac:dyDescent="0.25">
      <c r="A176" t="s">
        <v>67</v>
      </c>
      <c r="B176" t="s">
        <v>16</v>
      </c>
      <c r="C176" t="s">
        <v>11</v>
      </c>
      <c r="E176">
        <v>100</v>
      </c>
      <c r="G176">
        <v>96</v>
      </c>
      <c r="H176" s="9">
        <f t="shared" si="4"/>
        <v>196</v>
      </c>
      <c r="K176" s="25">
        <f>(Table2[[#This Row],[Home Pace]]/100)*(VLOOKUP(Table2[[#This Row],[Home/Neutral]],home_lookup,8,FALSE)+VLOOKUP(Table2[[#This Row],[Home/Neutral]],OFR_lookup,2,FALSE)+VLOOKUP(Table2[[#This Row],[Visitor/Neutral]],def_diff_lookup,6,FALSE))</f>
        <v>96.109106011159511</v>
      </c>
      <c r="L176" s="25"/>
      <c r="M176" s="25">
        <f>(Table2[[#This Row],[Away Pace]]/100)*(VLOOKUP(Table2[[#This Row],[Visitor/Neutral]],OFR_lookup,2,FALSE)+VLOOKUP(Table2[[#This Row],[Home/Neutral]],def_diff_lookup,6,FALSE))</f>
        <v>102.75148466666667</v>
      </c>
      <c r="N176" s="25"/>
      <c r="O176" s="25"/>
      <c r="P176">
        <f>VLOOKUP(Table2[[#This Row],[Home/Neutral]],pace_lookup,7,FALSE)</f>
        <v>97.5</v>
      </c>
      <c r="Q176" s="5">
        <f>VLOOKUP(Table2[[#This Row],[Visitor/Neutral]],pace_lookup,7,FALSE)</f>
        <v>99.7</v>
      </c>
      <c r="R176" s="9">
        <f t="shared" si="5"/>
        <v>-4</v>
      </c>
      <c r="V176" s="2">
        <f>-home-VLOOKUP(Table2[[#This Row],[Home/Neutral]],rtg_vlookup,4,FALSE)+VLOOKUP(Table2[[#This Row],[Visitor/Neutral]],rtg_vlookup,4,FALSE)</f>
        <v>0.97488151658766942</v>
      </c>
      <c r="W176" s="25"/>
      <c r="X176" s="2"/>
      <c r="Y176" s="2">
        <f>Table2[[#This Row],[Away EV]]-Table2[[#This Row],[Home EV]]</f>
        <v>6.6423786555071587</v>
      </c>
      <c r="Z176" s="33"/>
      <c r="AA176" s="34"/>
      <c r="AB176" t="b">
        <f>IF(VLOOKUP(Table2[[#This Row],[Home/Neutral]],division_lookup,9,FALSE)=VLOOKUP(Table2[[#This Row],[Visitor/Neutral]],division_lookup,9,FALSE),TRUE,FALSE)</f>
        <v>1</v>
      </c>
      <c r="AC176" s="19" t="str">
        <f>VLOOKUP(Table2[[#This Row],[Home/Neutral]],division_lookup,9,FALSE)</f>
        <v>SE</v>
      </c>
      <c r="AD176" s="19"/>
      <c r="AE176" s="19" t="str">
        <f>IF(Table2[[#This Row],[Total EV ®]]&lt;Table2[[#This Row],[Total (V)]],"UNDER","OVER")</f>
        <v>OVER</v>
      </c>
      <c r="AF176" s="19"/>
      <c r="AG176" s="19"/>
      <c r="AH176" s="2"/>
      <c r="AI176" s="22">
        <f>Table2[[#This Row],[(A)]]-Table2[[#This Row],[Spread]]</f>
        <v>4.9748815165876694</v>
      </c>
      <c r="AJ176" s="1">
        <f>Table2[[#This Row],[(A) Err]]^2</f>
        <v>24.749446104085628</v>
      </c>
      <c r="AK176" s="6">
        <f>Table2[[#This Row],[EV]]-Table2[[#This Row],[Spread]]</f>
        <v>10.642378655507159</v>
      </c>
      <c r="AL176" s="1">
        <f>Table2[[#This Row],[EV Err]]^2</f>
        <v>113.26022344719436</v>
      </c>
    </row>
    <row r="177" spans="1:38" x14ac:dyDescent="0.25">
      <c r="A177" t="s">
        <v>67</v>
      </c>
      <c r="B177" t="s">
        <v>8</v>
      </c>
      <c r="C177" t="s">
        <v>25</v>
      </c>
      <c r="E177">
        <v>104</v>
      </c>
      <c r="G177">
        <v>81</v>
      </c>
      <c r="H177" s="9">
        <f t="shared" si="4"/>
        <v>185</v>
      </c>
      <c r="K177" s="25">
        <f>(Table2[[#This Row],[Home Pace]]/100)*(VLOOKUP(Table2[[#This Row],[Home/Neutral]],home_lookup,8,FALSE)+VLOOKUP(Table2[[#This Row],[Home/Neutral]],OFR_lookup,2,FALSE)+VLOOKUP(Table2[[#This Row],[Visitor/Neutral]],def_diff_lookup,6,FALSE))</f>
        <v>101.20002036898181</v>
      </c>
      <c r="L177" s="25"/>
      <c r="M177" s="25">
        <f>(Table2[[#This Row],[Away Pace]]/100)*(VLOOKUP(Table2[[#This Row],[Visitor/Neutral]],OFR_lookup,2,FALSE)+VLOOKUP(Table2[[#This Row],[Home/Neutral]],def_diff_lookup,6,FALSE))</f>
        <v>95.004789333333349</v>
      </c>
      <c r="N177" s="25"/>
      <c r="O177" s="25"/>
      <c r="P177">
        <f>VLOOKUP(Table2[[#This Row],[Home/Neutral]],pace_lookup,7,FALSE)</f>
        <v>97.2</v>
      </c>
      <c r="Q177" s="5">
        <f>VLOOKUP(Table2[[#This Row],[Visitor/Neutral]],pace_lookup,7,FALSE)</f>
        <v>94.4</v>
      </c>
      <c r="R177" s="9">
        <f t="shared" si="5"/>
        <v>-23</v>
      </c>
      <c r="V177" s="2">
        <f>-home-VLOOKUP(Table2[[#This Row],[Home/Neutral]],rtg_vlookup,4,FALSE)+VLOOKUP(Table2[[#This Row],[Visitor/Neutral]],rtg_vlookup,4,FALSE)</f>
        <v>-9.59511848341233</v>
      </c>
      <c r="W177" s="25"/>
      <c r="X177" s="2"/>
      <c r="Y177" s="2">
        <f>Table2[[#This Row],[Away EV]]-Table2[[#This Row],[Home EV]]</f>
        <v>-6.1952310356484617</v>
      </c>
      <c r="Z177" s="33"/>
      <c r="AA177" s="34"/>
      <c r="AB177" t="b">
        <f>IF(VLOOKUP(Table2[[#This Row],[Home/Neutral]],division_lookup,9,FALSE)=VLOOKUP(Table2[[#This Row],[Visitor/Neutral]],division_lookup,9,FALSE),TRUE,FALSE)</f>
        <v>1</v>
      </c>
      <c r="AC177" s="19" t="str">
        <f>VLOOKUP(Table2[[#This Row],[Home/Neutral]],division_lookup,9,FALSE)</f>
        <v>C</v>
      </c>
      <c r="AD177" s="19"/>
      <c r="AE177" s="19" t="str">
        <f>IF(Table2[[#This Row],[Total EV ®]]&lt;Table2[[#This Row],[Total (V)]],"UNDER","OVER")</f>
        <v>OVER</v>
      </c>
      <c r="AF177" s="19"/>
      <c r="AG177" s="19"/>
      <c r="AH177" s="2"/>
      <c r="AI177" s="22">
        <f>Table2[[#This Row],[(A)]]-Table2[[#This Row],[Spread]]</f>
        <v>13.40488151658767</v>
      </c>
      <c r="AJ177" s="1">
        <f>Table2[[#This Row],[(A) Err]]^2</f>
        <v>179.69084847375376</v>
      </c>
      <c r="AK177" s="6">
        <f>Table2[[#This Row],[EV]]-Table2[[#This Row],[Spread]]</f>
        <v>16.804768964351538</v>
      </c>
      <c r="AL177" s="1">
        <f>Table2[[#This Row],[EV Err]]^2</f>
        <v>282.40025994523268</v>
      </c>
    </row>
    <row r="178" spans="1:38" x14ac:dyDescent="0.25">
      <c r="A178" t="s">
        <v>67</v>
      </c>
      <c r="B178" t="s">
        <v>37</v>
      </c>
      <c r="C178" t="s">
        <v>23</v>
      </c>
      <c r="E178">
        <v>64</v>
      </c>
      <c r="G178">
        <v>80</v>
      </c>
      <c r="H178" s="9">
        <f t="shared" si="4"/>
        <v>144</v>
      </c>
      <c r="K178" s="25">
        <f>(Table2[[#This Row],[Home Pace]]/100)*(VLOOKUP(Table2[[#This Row],[Home/Neutral]],home_lookup,8,FALSE)+VLOOKUP(Table2[[#This Row],[Home/Neutral]],OFR_lookup,2,FALSE)+VLOOKUP(Table2[[#This Row],[Visitor/Neutral]],def_diff_lookup,6,FALSE))</f>
        <v>98.342638093621233</v>
      </c>
      <c r="L178" s="25"/>
      <c r="M178" s="25">
        <f>(Table2[[#This Row],[Away Pace]]/100)*(VLOOKUP(Table2[[#This Row],[Visitor/Neutral]],OFR_lookup,2,FALSE)+VLOOKUP(Table2[[#This Row],[Home/Neutral]],def_diff_lookup,6,FALSE))</f>
        <v>93.666116666666682</v>
      </c>
      <c r="N178" s="25"/>
      <c r="O178" s="25"/>
      <c r="P178">
        <f>VLOOKUP(Table2[[#This Row],[Home/Neutral]],pace_lookup,7,FALSE)</f>
        <v>92.1</v>
      </c>
      <c r="Q178" s="5">
        <f>VLOOKUP(Table2[[#This Row],[Visitor/Neutral]],pace_lookup,7,FALSE)</f>
        <v>92.5</v>
      </c>
      <c r="R178" s="9">
        <f t="shared" si="5"/>
        <v>16</v>
      </c>
      <c r="V178" s="2">
        <f>-home-VLOOKUP(Table2[[#This Row],[Home/Neutral]],rtg_vlookup,4,FALSE)+VLOOKUP(Table2[[#This Row],[Visitor/Neutral]],rtg_vlookup,4,FALSE)</f>
        <v>7.15488151658767</v>
      </c>
      <c r="W178" s="25"/>
      <c r="X178" s="2"/>
      <c r="Y178" s="2">
        <f>Table2[[#This Row],[Away EV]]-Table2[[#This Row],[Home EV]]</f>
        <v>-4.676521426954551</v>
      </c>
      <c r="Z178" s="33"/>
      <c r="AA178" s="34"/>
      <c r="AB178" t="b">
        <f>IF(VLOOKUP(Table2[[#This Row],[Home/Neutral]],division_lookup,9,FALSE)=VLOOKUP(Table2[[#This Row],[Visitor/Neutral]],division_lookup,9,FALSE),TRUE,FALSE)</f>
        <v>1</v>
      </c>
      <c r="AC178" s="19" t="str">
        <f>VLOOKUP(Table2[[#This Row],[Home/Neutral]],division_lookup,9,FALSE)</f>
        <v>SW</v>
      </c>
      <c r="AD178" s="19"/>
      <c r="AE178" s="19" t="str">
        <f>IF(Table2[[#This Row],[Total EV ®]]&lt;Table2[[#This Row],[Total (V)]],"UNDER","OVER")</f>
        <v>OVER</v>
      </c>
      <c r="AF178" s="19"/>
      <c r="AG178" s="19"/>
      <c r="AH178" s="2"/>
      <c r="AI178" s="22">
        <f>Table2[[#This Row],[(A)]]-Table2[[#This Row],[Spread]]</f>
        <v>-8.84511848341233</v>
      </c>
      <c r="AJ178" s="1">
        <f>Table2[[#This Row],[(A) Err]]^2</f>
        <v>78.23612098560244</v>
      </c>
      <c r="AK178" s="6">
        <f>Table2[[#This Row],[EV]]-Table2[[#This Row],[Spread]]</f>
        <v>-20.676521426954551</v>
      </c>
      <c r="AL178" s="1">
        <f>Table2[[#This Row],[EV Err]]^2</f>
        <v>427.51853831931066</v>
      </c>
    </row>
    <row r="179" spans="1:38" x14ac:dyDescent="0.25">
      <c r="A179" t="s">
        <v>67</v>
      </c>
      <c r="B179" t="s">
        <v>27</v>
      </c>
      <c r="C179" t="s">
        <v>14</v>
      </c>
      <c r="E179">
        <v>111</v>
      </c>
      <c r="G179">
        <v>113</v>
      </c>
      <c r="H179" s="9">
        <f t="shared" si="4"/>
        <v>224</v>
      </c>
      <c r="K179" s="25">
        <f>(Table2[[#This Row],[Home Pace]]/100)*(VLOOKUP(Table2[[#This Row],[Home/Neutral]],home_lookup,8,FALSE)+VLOOKUP(Table2[[#This Row],[Home/Neutral]],OFR_lookup,2,FALSE)+VLOOKUP(Table2[[#This Row],[Visitor/Neutral]],def_diff_lookup,6,FALSE))</f>
        <v>106.42635642647258</v>
      </c>
      <c r="L179" s="25"/>
      <c r="M179" s="25">
        <f>(Table2[[#This Row],[Away Pace]]/100)*(VLOOKUP(Table2[[#This Row],[Visitor/Neutral]],OFR_lookup,2,FALSE)+VLOOKUP(Table2[[#This Row],[Home/Neutral]],def_diff_lookup,6,FALSE))</f>
        <v>108.13747933333336</v>
      </c>
      <c r="N179" s="25"/>
      <c r="O179" s="25"/>
      <c r="P179">
        <f>VLOOKUP(Table2[[#This Row],[Home/Neutral]],pace_lookup,7,FALSE)</f>
        <v>99</v>
      </c>
      <c r="Q179" s="5">
        <f>VLOOKUP(Table2[[#This Row],[Visitor/Neutral]],pace_lookup,7,FALSE)</f>
        <v>95.9</v>
      </c>
      <c r="R179" s="9">
        <f t="shared" si="5"/>
        <v>2</v>
      </c>
      <c r="V179" s="2">
        <f>-home-VLOOKUP(Table2[[#This Row],[Home/Neutral]],rtg_vlookup,4,FALSE)+VLOOKUP(Table2[[#This Row],[Visitor/Neutral]],rtg_vlookup,4,FALSE)</f>
        <v>2.8348815165876688</v>
      </c>
      <c r="W179" s="25"/>
      <c r="X179" s="2"/>
      <c r="Y179" s="2">
        <f>Table2[[#This Row],[Away EV]]-Table2[[#This Row],[Home EV]]</f>
        <v>1.7111229068607798</v>
      </c>
      <c r="Z179" s="33"/>
      <c r="AA179" s="34"/>
      <c r="AB179" t="b">
        <f>IF(VLOOKUP(Table2[[#This Row],[Home/Neutral]],division_lookup,9,FALSE)=VLOOKUP(Table2[[#This Row],[Visitor/Neutral]],division_lookup,9,FALSE),TRUE,FALSE)</f>
        <v>0</v>
      </c>
      <c r="AC179" s="19" t="str">
        <f>VLOOKUP(Table2[[#This Row],[Home/Neutral]],division_lookup,9,FALSE)</f>
        <v>NW</v>
      </c>
      <c r="AD179" s="19"/>
      <c r="AE179" s="19" t="str">
        <f>IF(Table2[[#This Row],[Total EV ®]]&lt;Table2[[#This Row],[Total (V)]],"UNDER","OVER")</f>
        <v>OVER</v>
      </c>
      <c r="AF179" s="19"/>
      <c r="AG179" s="19"/>
      <c r="AH179" s="2"/>
      <c r="AI179" s="22">
        <f>Table2[[#This Row],[(A)]]-Table2[[#This Row],[Spread]]</f>
        <v>0.83488151658766885</v>
      </c>
      <c r="AJ179" s="1">
        <f>Table2[[#This Row],[(A) Err]]^2</f>
        <v>0.69702714673972599</v>
      </c>
      <c r="AK179" s="6">
        <f>Table2[[#This Row],[EV]]-Table2[[#This Row],[Spread]]</f>
        <v>-0.28887709313922016</v>
      </c>
      <c r="AL179" s="1">
        <f>Table2[[#This Row],[EV Err]]^2</f>
        <v>8.3449974940565677E-2</v>
      </c>
    </row>
    <row r="180" spans="1:38" x14ac:dyDescent="0.25">
      <c r="A180" t="s">
        <v>67</v>
      </c>
      <c r="B180" t="s">
        <v>33</v>
      </c>
      <c r="C180" t="s">
        <v>36</v>
      </c>
      <c r="E180">
        <v>96</v>
      </c>
      <c r="G180">
        <v>116</v>
      </c>
      <c r="H180" s="9">
        <f t="shared" si="4"/>
        <v>212</v>
      </c>
      <c r="K180" s="25">
        <f>(Table2[[#This Row],[Home Pace]]/100)*(VLOOKUP(Table2[[#This Row],[Home/Neutral]],home_lookup,8,FALSE)+VLOOKUP(Table2[[#This Row],[Home/Neutral]],OFR_lookup,2,FALSE)+VLOOKUP(Table2[[#This Row],[Visitor/Neutral]],def_diff_lookup,6,FALSE))</f>
        <v>110.31769852057506</v>
      </c>
      <c r="L180" s="25"/>
      <c r="M180" s="25">
        <f>(Table2[[#This Row],[Away Pace]]/100)*(VLOOKUP(Table2[[#This Row],[Visitor/Neutral]],OFR_lookup,2,FALSE)+VLOOKUP(Table2[[#This Row],[Home/Neutral]],def_diff_lookup,6,FALSE))</f>
        <v>107.76036133333335</v>
      </c>
      <c r="N180" s="25"/>
      <c r="O180" s="25"/>
      <c r="P180">
        <f>VLOOKUP(Table2[[#This Row],[Home/Neutral]],pace_lookup,7,FALSE)</f>
        <v>98.2</v>
      </c>
      <c r="Q180" s="5">
        <f>VLOOKUP(Table2[[#This Row],[Visitor/Neutral]],pace_lookup,7,FALSE)</f>
        <v>102.2</v>
      </c>
      <c r="R180" s="9">
        <f t="shared" si="5"/>
        <v>20</v>
      </c>
      <c r="V180" s="2">
        <f>-home-VLOOKUP(Table2[[#This Row],[Home/Neutral]],rtg_vlookup,4,FALSE)+VLOOKUP(Table2[[#This Row],[Visitor/Neutral]],rtg_vlookup,4,FALSE)</f>
        <v>-3.6851184834123307</v>
      </c>
      <c r="W180" s="25"/>
      <c r="X180" s="2"/>
      <c r="Y180" s="2">
        <f>Table2[[#This Row],[Away EV]]-Table2[[#This Row],[Home EV]]</f>
        <v>-2.5573371872417141</v>
      </c>
      <c r="Z180" s="33"/>
      <c r="AA180" s="34"/>
      <c r="AB180" t="b">
        <f>IF(VLOOKUP(Table2[[#This Row],[Home/Neutral]],division_lookup,9,FALSE)=VLOOKUP(Table2[[#This Row],[Visitor/Neutral]],division_lookup,9,FALSE),TRUE,FALSE)</f>
        <v>0</v>
      </c>
      <c r="AC180" s="19" t="str">
        <f>VLOOKUP(Table2[[#This Row],[Home/Neutral]],division_lookup,9,FALSE)</f>
        <v>C</v>
      </c>
      <c r="AD180" s="19"/>
      <c r="AE180" s="19" t="str">
        <f>IF(Table2[[#This Row],[Total EV ®]]&lt;Table2[[#This Row],[Total (V)]],"UNDER","OVER")</f>
        <v>OVER</v>
      </c>
      <c r="AF180" s="19"/>
      <c r="AG180" s="19"/>
      <c r="AH180" s="2"/>
      <c r="AI180" s="22">
        <f>Table2[[#This Row],[(A)]]-Table2[[#This Row],[Spread]]</f>
        <v>-23.685118483412332</v>
      </c>
      <c r="AJ180" s="1">
        <f>Table2[[#This Row],[(A) Err]]^2</f>
        <v>560.98483757328052</v>
      </c>
      <c r="AK180" s="6">
        <f>Table2[[#This Row],[EV]]-Table2[[#This Row],[Spread]]</f>
        <v>-22.557337187241714</v>
      </c>
      <c r="AL180" s="1">
        <f>Table2[[#This Row],[EV Err]]^2</f>
        <v>508.83346097891791</v>
      </c>
    </row>
    <row r="181" spans="1:38" x14ac:dyDescent="0.25">
      <c r="A181" t="s">
        <v>67</v>
      </c>
      <c r="B181" t="s">
        <v>24</v>
      </c>
      <c r="C181" t="s">
        <v>6</v>
      </c>
      <c r="E181">
        <v>107</v>
      </c>
      <c r="G181">
        <v>116</v>
      </c>
      <c r="H181" s="9">
        <f t="shared" si="4"/>
        <v>223</v>
      </c>
      <c r="K181" s="25">
        <f>(Table2[[#This Row],[Home Pace]]/100)*(VLOOKUP(Table2[[#This Row],[Home/Neutral]],home_lookup,8,FALSE)+VLOOKUP(Table2[[#This Row],[Home/Neutral]],OFR_lookup,2,FALSE)+VLOOKUP(Table2[[#This Row],[Visitor/Neutral]],def_diff_lookup,6,FALSE))</f>
        <v>106.8888043283094</v>
      </c>
      <c r="L181" s="25"/>
      <c r="M181" s="25">
        <f>(Table2[[#This Row],[Away Pace]]/100)*(VLOOKUP(Table2[[#This Row],[Visitor/Neutral]],OFR_lookup,2,FALSE)+VLOOKUP(Table2[[#This Row],[Home/Neutral]],def_diff_lookup,6,FALSE))</f>
        <v>107.03769066666666</v>
      </c>
      <c r="N181" s="25"/>
      <c r="O181" s="25"/>
      <c r="P181">
        <f>VLOOKUP(Table2[[#This Row],[Home/Neutral]],pace_lookup,7,FALSE)</f>
        <v>99.9</v>
      </c>
      <c r="Q181" s="5">
        <f>VLOOKUP(Table2[[#This Row],[Visitor/Neutral]],pace_lookup,7,FALSE)</f>
        <v>93.1</v>
      </c>
      <c r="R181" s="9">
        <f t="shared" si="5"/>
        <v>9</v>
      </c>
      <c r="V181" s="2">
        <f>-home-VLOOKUP(Table2[[#This Row],[Home/Neutral]],rtg_vlookup,4,FALSE)+VLOOKUP(Table2[[#This Row],[Visitor/Neutral]],rtg_vlookup,4,FALSE)</f>
        <v>4.0148815165876695</v>
      </c>
      <c r="W181" s="25"/>
      <c r="X181" s="2"/>
      <c r="Y181" s="2">
        <f>Table2[[#This Row],[Away EV]]-Table2[[#This Row],[Home EV]]</f>
        <v>0.14888633835725784</v>
      </c>
      <c r="Z181" s="33"/>
      <c r="AA181" s="34"/>
      <c r="AB181" t="b">
        <f>IF(VLOOKUP(Table2[[#This Row],[Home/Neutral]],division_lookup,9,FALSE)=VLOOKUP(Table2[[#This Row],[Visitor/Neutral]],division_lookup,9,FALSE),TRUE,FALSE)</f>
        <v>0</v>
      </c>
      <c r="AC181" s="19" t="str">
        <f>VLOOKUP(Table2[[#This Row],[Home/Neutral]],division_lookup,9,FALSE)</f>
        <v>P</v>
      </c>
      <c r="AD181" s="19"/>
      <c r="AE181" s="19" t="str">
        <f>IF(Table2[[#This Row],[Total EV ®]]&lt;Table2[[#This Row],[Total (V)]],"UNDER","OVER")</f>
        <v>OVER</v>
      </c>
      <c r="AF181" s="19"/>
      <c r="AG181" s="19"/>
      <c r="AH181" s="2"/>
      <c r="AI181" s="22">
        <f>Table2[[#This Row],[(A)]]-Table2[[#This Row],[Spread]]</f>
        <v>-4.9851184834123305</v>
      </c>
      <c r="AJ181" s="1">
        <f>Table2[[#This Row],[(A) Err]]^2</f>
        <v>24.851406293659256</v>
      </c>
      <c r="AK181" s="6">
        <f>Table2[[#This Row],[EV]]-Table2[[#This Row],[Spread]]</f>
        <v>-8.8511136616427422</v>
      </c>
      <c r="AL181" s="1">
        <f>Table2[[#This Row],[EV Err]]^2</f>
        <v>78.342213051318794</v>
      </c>
    </row>
    <row r="182" spans="1:38" x14ac:dyDescent="0.25">
      <c r="A182" t="s">
        <v>67</v>
      </c>
      <c r="B182" t="s">
        <v>34</v>
      </c>
      <c r="C182" t="s">
        <v>32</v>
      </c>
      <c r="E182">
        <v>113</v>
      </c>
      <c r="G182">
        <v>101</v>
      </c>
      <c r="H182" s="9">
        <f t="shared" si="4"/>
        <v>214</v>
      </c>
      <c r="K182" s="25">
        <f>(Table2[[#This Row],[Home Pace]]/100)*(VLOOKUP(Table2[[#This Row],[Home/Neutral]],home_lookup,8,FALSE)+VLOOKUP(Table2[[#This Row],[Home/Neutral]],OFR_lookup,2,FALSE)+VLOOKUP(Table2[[#This Row],[Visitor/Neutral]],def_diff_lookup,6,FALSE))</f>
        <v>109.89695864565556</v>
      </c>
      <c r="L182" s="25"/>
      <c r="M182" s="25">
        <f>(Table2[[#This Row],[Away Pace]]/100)*(VLOOKUP(Table2[[#This Row],[Visitor/Neutral]],OFR_lookup,2,FALSE)+VLOOKUP(Table2[[#This Row],[Home/Neutral]],def_diff_lookup,6,FALSE))</f>
        <v>106.70557733333334</v>
      </c>
      <c r="N182" s="25"/>
      <c r="O182" s="25"/>
      <c r="P182">
        <f>VLOOKUP(Table2[[#This Row],[Home/Neutral]],pace_lookup,7,FALSE)</f>
        <v>98.8</v>
      </c>
      <c r="Q182" s="5">
        <f>VLOOKUP(Table2[[#This Row],[Visitor/Neutral]],pace_lookup,7,FALSE)</f>
        <v>98.6</v>
      </c>
      <c r="R182" s="9">
        <f t="shared" si="5"/>
        <v>-12</v>
      </c>
      <c r="V182" s="2">
        <f>-home-VLOOKUP(Table2[[#This Row],[Home/Neutral]],rtg_vlookup,4,FALSE)+VLOOKUP(Table2[[#This Row],[Visitor/Neutral]],rtg_vlookup,4,FALSE)</f>
        <v>-0.57511848341233041</v>
      </c>
      <c r="W182" s="25"/>
      <c r="X182" s="2"/>
      <c r="Y182" s="2">
        <f>Table2[[#This Row],[Away EV]]-Table2[[#This Row],[Home EV]]</f>
        <v>-3.1913813123222212</v>
      </c>
      <c r="Z182" s="33"/>
      <c r="AA182" s="34"/>
      <c r="AB182" t="b">
        <f>IF(VLOOKUP(Table2[[#This Row],[Home/Neutral]],division_lookup,9,FALSE)=VLOOKUP(Table2[[#This Row],[Visitor/Neutral]],division_lookup,9,FALSE),TRUE,FALSE)</f>
        <v>0</v>
      </c>
      <c r="AC182" s="19" t="str">
        <f>VLOOKUP(Table2[[#This Row],[Home/Neutral]],division_lookup,9,FALSE)</f>
        <v>SW</v>
      </c>
      <c r="AD182" s="19"/>
      <c r="AE182" s="19" t="str">
        <f>IF(Table2[[#This Row],[Total EV ®]]&lt;Table2[[#This Row],[Total (V)]],"UNDER","OVER")</f>
        <v>OVER</v>
      </c>
      <c r="AF182" s="19"/>
      <c r="AG182" s="19"/>
      <c r="AH182" s="2"/>
      <c r="AI182" s="22">
        <f>Table2[[#This Row],[(A)]]-Table2[[#This Row],[Spread]]</f>
        <v>11.42488151658767</v>
      </c>
      <c r="AJ182" s="1">
        <f>Table2[[#This Row],[(A) Err]]^2</f>
        <v>130.52791766806658</v>
      </c>
      <c r="AK182" s="6">
        <f>Table2[[#This Row],[EV]]-Table2[[#This Row],[Spread]]</f>
        <v>8.8086186876777788</v>
      </c>
      <c r="AL182" s="1">
        <f>Table2[[#This Row],[EV Err]]^2</f>
        <v>77.591763184906199</v>
      </c>
    </row>
    <row r="183" spans="1:38" x14ac:dyDescent="0.25">
      <c r="A183" t="s">
        <v>67</v>
      </c>
      <c r="B183" t="s">
        <v>18</v>
      </c>
      <c r="C183" t="s">
        <v>35</v>
      </c>
      <c r="E183">
        <v>124</v>
      </c>
      <c r="G183">
        <v>105</v>
      </c>
      <c r="H183" s="9">
        <f t="shared" si="4"/>
        <v>229</v>
      </c>
      <c r="K183" s="25">
        <f>(Table2[[#This Row],[Home Pace]]/100)*(VLOOKUP(Table2[[#This Row],[Home/Neutral]],home_lookup,8,FALSE)+VLOOKUP(Table2[[#This Row],[Home/Neutral]],OFR_lookup,2,FALSE)+VLOOKUP(Table2[[#This Row],[Visitor/Neutral]],def_diff_lookup,6,FALSE))</f>
        <v>106.42740616021131</v>
      </c>
      <c r="L183" s="25"/>
      <c r="M183" s="25">
        <f>(Table2[[#This Row],[Away Pace]]/100)*(VLOOKUP(Table2[[#This Row],[Visitor/Neutral]],OFR_lookup,2,FALSE)+VLOOKUP(Table2[[#This Row],[Home/Neutral]],def_diff_lookup,6,FALSE))</f>
        <v>101.57726133333334</v>
      </c>
      <c r="N183" s="25"/>
      <c r="O183" s="25"/>
      <c r="P183">
        <f>VLOOKUP(Table2[[#This Row],[Home/Neutral]],pace_lookup,7,FALSE)</f>
        <v>99.5</v>
      </c>
      <c r="Q183" s="5">
        <f>VLOOKUP(Table2[[#This Row],[Visitor/Neutral]],pace_lookup,7,FALSE)</f>
        <v>102.2</v>
      </c>
      <c r="R183" s="9">
        <f t="shared" si="5"/>
        <v>-19</v>
      </c>
      <c r="V183" s="2">
        <f>-home-VLOOKUP(Table2[[#This Row],[Home/Neutral]],rtg_vlookup,4,FALSE)+VLOOKUP(Table2[[#This Row],[Visitor/Neutral]],rtg_vlookup,4,FALSE)</f>
        <v>-11.365118483412331</v>
      </c>
      <c r="W183" s="25"/>
      <c r="X183" s="2"/>
      <c r="Y183" s="2">
        <f>Table2[[#This Row],[Away EV]]-Table2[[#This Row],[Home EV]]</f>
        <v>-4.8501448268779654</v>
      </c>
      <c r="Z183" s="33"/>
      <c r="AA183" s="34"/>
      <c r="AB183" t="b">
        <f>IF(VLOOKUP(Table2[[#This Row],[Home/Neutral]],division_lookup,9,FALSE)=VLOOKUP(Table2[[#This Row],[Visitor/Neutral]],division_lookup,9,FALSE),TRUE,FALSE)</f>
        <v>0</v>
      </c>
      <c r="AC183" s="19" t="str">
        <f>VLOOKUP(Table2[[#This Row],[Home/Neutral]],division_lookup,9,FALSE)</f>
        <v>NW</v>
      </c>
      <c r="AD183" s="19"/>
      <c r="AE183" s="19" t="str">
        <f>IF(Table2[[#This Row],[Total EV ®]]&lt;Table2[[#This Row],[Total (V)]],"UNDER","OVER")</f>
        <v>OVER</v>
      </c>
      <c r="AF183" s="19"/>
      <c r="AG183" s="19"/>
      <c r="AH183" s="2"/>
      <c r="AI183" s="22">
        <f>Table2[[#This Row],[(A)]]-Table2[[#This Row],[Spread]]</f>
        <v>7.6348815165876687</v>
      </c>
      <c r="AJ183" s="1">
        <f>Table2[[#This Row],[(A) Err]]^2</f>
        <v>58.291415772332023</v>
      </c>
      <c r="AK183" s="6">
        <f>Table2[[#This Row],[EV]]-Table2[[#This Row],[Spread]]</f>
        <v>14.149855173122035</v>
      </c>
      <c r="AL183" s="1">
        <f>Table2[[#This Row],[EV Err]]^2</f>
        <v>200.21840142032841</v>
      </c>
    </row>
    <row r="184" spans="1:38" ht="15.75" thickBot="1" x14ac:dyDescent="0.3">
      <c r="A184" s="3" t="s">
        <v>67</v>
      </c>
      <c r="B184" s="3" t="s">
        <v>29</v>
      </c>
      <c r="C184" s="3" t="s">
        <v>4</v>
      </c>
      <c r="D184" s="3"/>
      <c r="E184" s="3">
        <v>115</v>
      </c>
      <c r="F184" s="3"/>
      <c r="G184" s="3">
        <v>121</v>
      </c>
      <c r="H184" s="10">
        <f t="shared" si="4"/>
        <v>236</v>
      </c>
      <c r="I184" s="3"/>
      <c r="J184" s="3"/>
      <c r="K184" s="26">
        <f>(Table2[[#This Row],[Home Pace]]/100)*(VLOOKUP(Table2[[#This Row],[Home/Neutral]],home_lookup,8,FALSE)+VLOOKUP(Table2[[#This Row],[Home/Neutral]],OFR_lookup,2,FALSE)+VLOOKUP(Table2[[#This Row],[Visitor/Neutral]],def_diff_lookup,6,FALSE))</f>
        <v>103.24866926898522</v>
      </c>
      <c r="L184" s="26"/>
      <c r="M184" s="26">
        <f>(Table2[[#This Row],[Away Pace]]/100)*(VLOOKUP(Table2[[#This Row],[Visitor/Neutral]],OFR_lookup,2,FALSE)+VLOOKUP(Table2[[#This Row],[Home/Neutral]],def_diff_lookup,6,FALSE))</f>
        <v>114.16252399999999</v>
      </c>
      <c r="N184" s="26"/>
      <c r="O184" s="26"/>
      <c r="P184" s="3">
        <f>VLOOKUP(Table2[[#This Row],[Home/Neutral]],pace_lookup,7,FALSE)</f>
        <v>93.8</v>
      </c>
      <c r="Q184" s="3">
        <f>VLOOKUP(Table2[[#This Row],[Visitor/Neutral]],pace_lookup,7,FALSE)</f>
        <v>96.6</v>
      </c>
      <c r="R184" s="10">
        <f t="shared" si="5"/>
        <v>6</v>
      </c>
      <c r="S184" s="3"/>
      <c r="T184" s="3"/>
      <c r="U184" s="3"/>
      <c r="V184" s="12">
        <f>-home-VLOOKUP(Table2[[#This Row],[Home/Neutral]],rtg_vlookup,4,FALSE)+VLOOKUP(Table2[[#This Row],[Visitor/Neutral]],rtg_vlookup,4,FALSE)</f>
        <v>14.204881516587669</v>
      </c>
      <c r="W184" s="26"/>
      <c r="X184" s="12"/>
      <c r="Y184" s="12">
        <f>Table2[[#This Row],[Away EV]]-Table2[[#This Row],[Home EV]]</f>
        <v>10.913854731014766</v>
      </c>
      <c r="Z184" s="35"/>
      <c r="AA184" s="36"/>
      <c r="AB184" s="3" t="b">
        <f>IF(VLOOKUP(Table2[[#This Row],[Home/Neutral]],division_lookup,9,FALSE)=VLOOKUP(Table2[[#This Row],[Visitor/Neutral]],division_lookup,9,FALSE),TRUE,FALSE)</f>
        <v>1</v>
      </c>
      <c r="AC184" s="20" t="str">
        <f>VLOOKUP(Table2[[#This Row],[Home/Neutral]],division_lookup,9,FALSE)</f>
        <v>P</v>
      </c>
      <c r="AD184" s="20"/>
      <c r="AE184" s="20" t="str">
        <f>IF(Table2[[#This Row],[Total EV ®]]&lt;Table2[[#This Row],[Total (V)]],"UNDER","OVER")</f>
        <v>OVER</v>
      </c>
      <c r="AF184" s="20"/>
      <c r="AG184" s="20"/>
      <c r="AH184" s="29"/>
      <c r="AI184" s="23">
        <f>Table2[[#This Row],[(A)]]-Table2[[#This Row],[Spread]]</f>
        <v>8.204881516587669</v>
      </c>
      <c r="AJ184" s="4">
        <f>Table2[[#This Row],[(A) Err]]^2</f>
        <v>67.320080701241963</v>
      </c>
      <c r="AK184" s="6">
        <f>Table2[[#This Row],[EV]]-Table2[[#This Row],[Spread]]</f>
        <v>4.9138547310147658</v>
      </c>
      <c r="AL184" s="1">
        <f>Table2[[#This Row],[EV Err]]^2</f>
        <v>24.145968317516196</v>
      </c>
    </row>
    <row r="185" spans="1:38" x14ac:dyDescent="0.25">
      <c r="A185" t="s">
        <v>68</v>
      </c>
      <c r="B185" t="s">
        <v>25</v>
      </c>
      <c r="C185" t="s">
        <v>26</v>
      </c>
      <c r="E185">
        <v>92</v>
      </c>
      <c r="G185">
        <v>94</v>
      </c>
      <c r="H185" s="9">
        <f t="shared" si="4"/>
        <v>186</v>
      </c>
      <c r="K185" s="25">
        <f>(Table2[[#This Row],[Home Pace]]/100)*(VLOOKUP(Table2[[#This Row],[Home/Neutral]],home_lookup,8,FALSE)+VLOOKUP(Table2[[#This Row],[Home/Neutral]],OFR_lookup,2,FALSE)+VLOOKUP(Table2[[#This Row],[Visitor/Neutral]],def_diff_lookup,6,FALSE))</f>
        <v>104.92414444427257</v>
      </c>
      <c r="L185" s="25"/>
      <c r="M185" s="25">
        <f>(Table2[[#This Row],[Away Pace]]/100)*(VLOOKUP(Table2[[#This Row],[Visitor/Neutral]],OFR_lookup,2,FALSE)+VLOOKUP(Table2[[#This Row],[Home/Neutral]],def_diff_lookup,6,FALSE))</f>
        <v>99.984640000000013</v>
      </c>
      <c r="N185" s="25"/>
      <c r="O185" s="25"/>
      <c r="P185">
        <f>VLOOKUP(Table2[[#This Row],[Home/Neutral]],pace_lookup,7,FALSE)</f>
        <v>94.4</v>
      </c>
      <c r="Q185" s="5">
        <f>VLOOKUP(Table2[[#This Row],[Visitor/Neutral]],pace_lookup,7,FALSE)</f>
        <v>96</v>
      </c>
      <c r="R185" s="9">
        <f t="shared" si="5"/>
        <v>2</v>
      </c>
      <c r="T185">
        <v>0</v>
      </c>
      <c r="V185" s="2">
        <f>-home-VLOOKUP(Table2[[#This Row],[Home/Neutral]],rtg_vlookup,4,FALSE)+VLOOKUP(Table2[[#This Row],[Visitor/Neutral]],rtg_vlookup,4,FALSE)</f>
        <v>-2.9351184834123307</v>
      </c>
      <c r="W185" s="25"/>
      <c r="X185" s="2"/>
      <c r="Y185" s="2">
        <f>Table2[[#This Row],[Away EV]]-Table2[[#This Row],[Home EV]]</f>
        <v>-4.9395044442725577</v>
      </c>
      <c r="Z185" s="33"/>
      <c r="AA185" s="34"/>
      <c r="AB185" t="b">
        <f>IF(VLOOKUP(Table2[[#This Row],[Home/Neutral]],division_lookup,9,FALSE)=VLOOKUP(Table2[[#This Row],[Visitor/Neutral]],division_lookup,9,FALSE),TRUE,FALSE)</f>
        <v>0</v>
      </c>
      <c r="AC185" s="19" t="str">
        <f>VLOOKUP(Table2[[#This Row],[Home/Neutral]],division_lookup,9,FALSE)</f>
        <v>C</v>
      </c>
      <c r="AD185" s="19"/>
      <c r="AE185" s="19" t="str">
        <f>IF(Table2[[#This Row],[Total EV ®]]&lt;Table2[[#This Row],[Total (V)]],"UNDER","OVER")</f>
        <v>OVER</v>
      </c>
      <c r="AF185" s="19"/>
      <c r="AG185" s="19"/>
      <c r="AH185" s="2"/>
      <c r="AI185" s="22">
        <f>Table2[[#This Row],[(A)]]-Table2[[#This Row],[Spread]]</f>
        <v>-4.9351184834123307</v>
      </c>
      <c r="AJ185" s="1">
        <f>Table2[[#This Row],[(A) Err]]^2</f>
        <v>24.355394445318023</v>
      </c>
      <c r="AK185" s="6">
        <f>Table2[[#This Row],[EV]]-Table2[[#This Row],[Spread]]</f>
        <v>-6.9395044442725577</v>
      </c>
      <c r="AL185" s="1">
        <f>Table2[[#This Row],[EV Err]]^2</f>
        <v>48.156721932078582</v>
      </c>
    </row>
    <row r="186" spans="1:38" x14ac:dyDescent="0.25">
      <c r="A186" t="s">
        <v>68</v>
      </c>
      <c r="B186" t="s">
        <v>17</v>
      </c>
      <c r="C186" t="s">
        <v>20</v>
      </c>
      <c r="E186">
        <v>111</v>
      </c>
      <c r="G186">
        <v>102</v>
      </c>
      <c r="H186" s="9">
        <f t="shared" si="4"/>
        <v>213</v>
      </c>
      <c r="K186" s="25">
        <f>(Table2[[#This Row],[Home Pace]]/100)*(VLOOKUP(Table2[[#This Row],[Home/Neutral]],home_lookup,8,FALSE)+VLOOKUP(Table2[[#This Row],[Home/Neutral]],OFR_lookup,2,FALSE)+VLOOKUP(Table2[[#This Row],[Visitor/Neutral]],def_diff_lookup,6,FALSE))</f>
        <v>107.88570692873546</v>
      </c>
      <c r="L186" s="25"/>
      <c r="M186" s="25">
        <f>(Table2[[#This Row],[Away Pace]]/100)*(VLOOKUP(Table2[[#This Row],[Visitor/Neutral]],OFR_lookup,2,FALSE)+VLOOKUP(Table2[[#This Row],[Home/Neutral]],def_diff_lookup,6,FALSE))</f>
        <v>99.881526000000022</v>
      </c>
      <c r="N186" s="25"/>
      <c r="O186" s="25"/>
      <c r="P186">
        <f>VLOOKUP(Table2[[#This Row],[Home/Neutral]],pace_lookup,7,FALSE)</f>
        <v>96.7</v>
      </c>
      <c r="Q186" s="5">
        <f>VLOOKUP(Table2[[#This Row],[Visitor/Neutral]],pace_lookup,7,FALSE)</f>
        <v>90.9</v>
      </c>
      <c r="R186" s="9">
        <f t="shared" si="5"/>
        <v>-9</v>
      </c>
      <c r="T186">
        <v>0</v>
      </c>
      <c r="V186" s="2">
        <f>-home-VLOOKUP(Table2[[#This Row],[Home/Neutral]],rtg_vlookup,4,FALSE)+VLOOKUP(Table2[[#This Row],[Visitor/Neutral]],rtg_vlookup,4,FALSE)</f>
        <v>-5.2251184834123308</v>
      </c>
      <c r="W186" s="25"/>
      <c r="X186" s="2"/>
      <c r="Y186" s="2">
        <f>Table2[[#This Row],[Away EV]]-Table2[[#This Row],[Home EV]]</f>
        <v>-8.0041809287354369</v>
      </c>
      <c r="Z186" s="33"/>
      <c r="AA186" s="34"/>
      <c r="AB186" t="b">
        <f>IF(VLOOKUP(Table2[[#This Row],[Home/Neutral]],division_lookup,9,FALSE)=VLOOKUP(Table2[[#This Row],[Visitor/Neutral]],division_lookup,9,FALSE),TRUE,FALSE)</f>
        <v>0</v>
      </c>
      <c r="AC186" s="19" t="str">
        <f>VLOOKUP(Table2[[#This Row],[Home/Neutral]],division_lookup,9,FALSE)</f>
        <v>SW</v>
      </c>
      <c r="AD186" s="19"/>
      <c r="AE186" s="19" t="str">
        <f>IF(Table2[[#This Row],[Total EV ®]]&lt;Table2[[#This Row],[Total (V)]],"UNDER","OVER")</f>
        <v>OVER</v>
      </c>
      <c r="AF186" s="19"/>
      <c r="AG186" s="19"/>
      <c r="AH186" s="2"/>
      <c r="AI186" s="22">
        <f>Table2[[#This Row],[(A)]]-Table2[[#This Row],[Spread]]</f>
        <v>3.7748815165876692</v>
      </c>
      <c r="AJ186" s="1">
        <f>Table2[[#This Row],[(A) Err]]^2</f>
        <v>14.249730464275222</v>
      </c>
      <c r="AK186" s="6">
        <f>Table2[[#This Row],[EV]]-Table2[[#This Row],[Spread]]</f>
        <v>0.99581907126456315</v>
      </c>
      <c r="AL186" s="1">
        <f>Table2[[#This Row],[EV Err]]^2</f>
        <v>0.99165562269421714</v>
      </c>
    </row>
    <row r="187" spans="1:38" x14ac:dyDescent="0.25">
      <c r="A187" t="s">
        <v>68</v>
      </c>
      <c r="B187" t="s">
        <v>4</v>
      </c>
      <c r="C187" t="s">
        <v>13</v>
      </c>
      <c r="E187">
        <v>102</v>
      </c>
      <c r="G187">
        <v>95</v>
      </c>
      <c r="H187" s="9">
        <f t="shared" si="4"/>
        <v>197</v>
      </c>
      <c r="K187" s="25">
        <f>(Table2[[#This Row],[Home Pace]]/100)*(VLOOKUP(Table2[[#This Row],[Home/Neutral]],home_lookup,8,FALSE)+VLOOKUP(Table2[[#This Row],[Home/Neutral]],OFR_lookup,2,FALSE)+VLOOKUP(Table2[[#This Row],[Visitor/Neutral]],def_diff_lookup,6,FALSE))</f>
        <v>101.64420781393446</v>
      </c>
      <c r="L187" s="25"/>
      <c r="M187" s="25">
        <f>(Table2[[#This Row],[Away Pace]]/100)*(VLOOKUP(Table2[[#This Row],[Visitor/Neutral]],OFR_lookup,2,FALSE)+VLOOKUP(Table2[[#This Row],[Home/Neutral]],def_diff_lookup,6,FALSE))</f>
        <v>99.386279999999999</v>
      </c>
      <c r="N187" s="25"/>
      <c r="O187" s="25"/>
      <c r="P187">
        <f>VLOOKUP(Table2[[#This Row],[Home/Neutral]],pace_lookup,7,FALSE)</f>
        <v>96.6</v>
      </c>
      <c r="Q187" s="5">
        <f>VLOOKUP(Table2[[#This Row],[Visitor/Neutral]],pace_lookup,7,FALSE)</f>
        <v>94.5</v>
      </c>
      <c r="R187" s="9">
        <f t="shared" si="5"/>
        <v>-7</v>
      </c>
      <c r="T187">
        <v>0</v>
      </c>
      <c r="V187" s="2">
        <f>-home-VLOOKUP(Table2[[#This Row],[Home/Neutral]],rtg_vlookup,4,FALSE)+VLOOKUP(Table2[[#This Row],[Visitor/Neutral]],rtg_vlookup,4,FALSE)</f>
        <v>-11.725118483412331</v>
      </c>
      <c r="W187" s="25"/>
      <c r="X187" s="2"/>
      <c r="Y187" s="2">
        <f>Table2[[#This Row],[Away EV]]-Table2[[#This Row],[Home EV]]</f>
        <v>-2.2579278139344581</v>
      </c>
      <c r="Z187" s="33"/>
      <c r="AA187" s="34"/>
      <c r="AB187" t="b">
        <f>IF(VLOOKUP(Table2[[#This Row],[Home/Neutral]],division_lookup,9,FALSE)=VLOOKUP(Table2[[#This Row],[Visitor/Neutral]],division_lookup,9,FALSE),TRUE,FALSE)</f>
        <v>0</v>
      </c>
      <c r="AC187" s="19" t="str">
        <f>VLOOKUP(Table2[[#This Row],[Home/Neutral]],division_lookup,9,FALSE)</f>
        <v>P</v>
      </c>
      <c r="AD187" s="19"/>
      <c r="AE187" s="19" t="str">
        <f>IF(Table2[[#This Row],[Total EV ®]]&lt;Table2[[#This Row],[Total (V)]],"UNDER","OVER")</f>
        <v>OVER</v>
      </c>
      <c r="AF187" s="19"/>
      <c r="AG187" s="19"/>
      <c r="AH187" s="2"/>
      <c r="AI187" s="22">
        <f>Table2[[#This Row],[(A)]]-Table2[[#This Row],[Spread]]</f>
        <v>-4.7251184834123308</v>
      </c>
      <c r="AJ187" s="1">
        <f>Table2[[#This Row],[(A) Err]]^2</f>
        <v>22.326744682284843</v>
      </c>
      <c r="AK187" s="6">
        <f>Table2[[#This Row],[EV]]-Table2[[#This Row],[Spread]]</f>
        <v>4.7420721860655419</v>
      </c>
      <c r="AL187" s="1">
        <f>Table2[[#This Row],[EV Err]]^2</f>
        <v>22.487248617856427</v>
      </c>
    </row>
    <row r="188" spans="1:38" x14ac:dyDescent="0.25">
      <c r="A188" t="s">
        <v>68</v>
      </c>
      <c r="B188" t="s">
        <v>23</v>
      </c>
      <c r="C188" t="s">
        <v>22</v>
      </c>
      <c r="E188">
        <v>93</v>
      </c>
      <c r="G188">
        <v>71</v>
      </c>
      <c r="H188" s="9">
        <f t="shared" si="4"/>
        <v>164</v>
      </c>
      <c r="K188" s="25">
        <f>(Table2[[#This Row],[Home Pace]]/100)*(VLOOKUP(Table2[[#This Row],[Home/Neutral]],home_lookup,8,FALSE)+VLOOKUP(Table2[[#This Row],[Home/Neutral]],OFR_lookup,2,FALSE)+VLOOKUP(Table2[[#This Row],[Visitor/Neutral]],def_diff_lookup,6,FALSE))</f>
        <v>105.66213735871359</v>
      </c>
      <c r="L188" s="25"/>
      <c r="M188" s="25">
        <f>(Table2[[#This Row],[Away Pace]]/100)*(VLOOKUP(Table2[[#This Row],[Visitor/Neutral]],OFR_lookup,2,FALSE)+VLOOKUP(Table2[[#This Row],[Home/Neutral]],def_diff_lookup,6,FALSE))</f>
        <v>101.19705133333336</v>
      </c>
      <c r="N188" s="25"/>
      <c r="O188" s="25"/>
      <c r="P188">
        <f>VLOOKUP(Table2[[#This Row],[Home/Neutral]],pace_lookup,7,FALSE)</f>
        <v>92.5</v>
      </c>
      <c r="Q188" s="5">
        <f>VLOOKUP(Table2[[#This Row],[Visitor/Neutral]],pace_lookup,7,FALSE)</f>
        <v>94.7</v>
      </c>
      <c r="R188" s="9">
        <f t="shared" si="5"/>
        <v>-22</v>
      </c>
      <c r="T188">
        <v>0</v>
      </c>
      <c r="V188" s="2">
        <f>-home-VLOOKUP(Table2[[#This Row],[Home/Neutral]],rtg_vlookup,4,FALSE)+VLOOKUP(Table2[[#This Row],[Visitor/Neutral]],rtg_vlookup,4,FALSE)</f>
        <v>-4.215118483412331</v>
      </c>
      <c r="W188" s="25"/>
      <c r="X188" s="2"/>
      <c r="Y188" s="2">
        <f>Table2[[#This Row],[Away EV]]-Table2[[#This Row],[Home EV]]</f>
        <v>-4.4650860253802307</v>
      </c>
      <c r="Z188" s="33"/>
      <c r="AA188" s="34"/>
      <c r="AB188" t="b">
        <f>IF(VLOOKUP(Table2[[#This Row],[Home/Neutral]],division_lookup,9,FALSE)=VLOOKUP(Table2[[#This Row],[Visitor/Neutral]],division_lookup,9,FALSE),TRUE,FALSE)</f>
        <v>0</v>
      </c>
      <c r="AC188" s="19" t="str">
        <f>VLOOKUP(Table2[[#This Row],[Home/Neutral]],division_lookup,9,FALSE)</f>
        <v>SW</v>
      </c>
      <c r="AD188" s="19"/>
      <c r="AE188" s="19" t="str">
        <f>IF(Table2[[#This Row],[Total EV ®]]&lt;Table2[[#This Row],[Total (V)]],"UNDER","OVER")</f>
        <v>OVER</v>
      </c>
      <c r="AF188" s="19"/>
      <c r="AG188" s="19"/>
      <c r="AH188" s="2"/>
      <c r="AI188" s="22">
        <f>Table2[[#This Row],[(A)]]-Table2[[#This Row],[Spread]]</f>
        <v>17.784881516587667</v>
      </c>
      <c r="AJ188" s="1">
        <f>Table2[[#This Row],[(A) Err]]^2</f>
        <v>316.30201055906167</v>
      </c>
      <c r="AK188" s="6">
        <f>Table2[[#This Row],[EV]]-Table2[[#This Row],[Spread]]</f>
        <v>17.534913974619769</v>
      </c>
      <c r="AL188" s="1">
        <f>Table2[[#This Row],[EV Err]]^2</f>
        <v>307.47320809731565</v>
      </c>
    </row>
    <row r="189" spans="1:38" x14ac:dyDescent="0.25">
      <c r="A189" t="s">
        <v>68</v>
      </c>
      <c r="B189" t="s">
        <v>30</v>
      </c>
      <c r="C189" t="s">
        <v>10</v>
      </c>
      <c r="E189">
        <v>121</v>
      </c>
      <c r="G189">
        <v>124</v>
      </c>
      <c r="H189" s="9">
        <f t="shared" si="4"/>
        <v>245</v>
      </c>
      <c r="K189" s="25">
        <f>(Table2[[#This Row],[Home Pace]]/100)*(VLOOKUP(Table2[[#This Row],[Home/Neutral]],home_lookup,8,FALSE)+VLOOKUP(Table2[[#This Row],[Home/Neutral]],OFR_lookup,2,FALSE)+VLOOKUP(Table2[[#This Row],[Visitor/Neutral]],def_diff_lookup,6,FALSE))</f>
        <v>109.63208034993644</v>
      </c>
      <c r="L189" s="25"/>
      <c r="M189" s="25">
        <f>(Table2[[#This Row],[Away Pace]]/100)*(VLOOKUP(Table2[[#This Row],[Visitor/Neutral]],OFR_lookup,2,FALSE)+VLOOKUP(Table2[[#This Row],[Home/Neutral]],def_diff_lookup,6,FALSE))</f>
        <v>118.64553866666667</v>
      </c>
      <c r="N189" s="25"/>
      <c r="O189" s="25"/>
      <c r="P189">
        <f>VLOOKUP(Table2[[#This Row],[Home/Neutral]],pace_lookup,7,FALSE)</f>
        <v>96.8</v>
      </c>
      <c r="Q189" s="5">
        <f>VLOOKUP(Table2[[#This Row],[Visitor/Neutral]],pace_lookup,7,FALSE)</f>
        <v>100.3</v>
      </c>
      <c r="R189" s="9">
        <f t="shared" si="5"/>
        <v>3</v>
      </c>
      <c r="T189">
        <v>0</v>
      </c>
      <c r="V189" s="2">
        <f>-home-VLOOKUP(Table2[[#This Row],[Home/Neutral]],rtg_vlookup,4,FALSE)+VLOOKUP(Table2[[#This Row],[Visitor/Neutral]],rtg_vlookup,4,FALSE)</f>
        <v>8.2648815165876695</v>
      </c>
      <c r="W189" s="25"/>
      <c r="X189" s="2"/>
      <c r="Y189" s="2">
        <f>Table2[[#This Row],[Away EV]]-Table2[[#This Row],[Home EV]]</f>
        <v>9.0134583167302225</v>
      </c>
      <c r="Z189" s="33"/>
      <c r="AA189" s="34"/>
      <c r="AB189" t="b">
        <f>IF(VLOOKUP(Table2[[#This Row],[Home/Neutral]],division_lookup,9,FALSE)=VLOOKUP(Table2[[#This Row],[Visitor/Neutral]],division_lookup,9,FALSE),TRUE,FALSE)</f>
        <v>0</v>
      </c>
      <c r="AC189" s="19" t="str">
        <f>VLOOKUP(Table2[[#This Row],[Home/Neutral]],division_lookup,9,FALSE)</f>
        <v>C</v>
      </c>
      <c r="AD189" s="19"/>
      <c r="AE189" s="19" t="str">
        <f>IF(Table2[[#This Row],[Total EV ®]]&lt;Table2[[#This Row],[Total (V)]],"UNDER","OVER")</f>
        <v>OVER</v>
      </c>
      <c r="AF189" s="19"/>
      <c r="AG189" s="19"/>
      <c r="AH189" s="2"/>
      <c r="AI189" s="22">
        <f>Table2[[#This Row],[(A)]]-Table2[[#This Row],[Spread]]</f>
        <v>5.2648815165876695</v>
      </c>
      <c r="AJ189" s="1">
        <f>Table2[[#This Row],[(A) Err]]^2</f>
        <v>27.718977383706477</v>
      </c>
      <c r="AK189" s="6">
        <f>Table2[[#This Row],[EV]]-Table2[[#This Row],[Spread]]</f>
        <v>6.0134583167302225</v>
      </c>
      <c r="AL189" s="1">
        <f>Table2[[#This Row],[EV Err]]^2</f>
        <v>36.161680927051883</v>
      </c>
    </row>
    <row r="190" spans="1:38" x14ac:dyDescent="0.25">
      <c r="A190" t="s">
        <v>68</v>
      </c>
      <c r="B190" t="s">
        <v>34</v>
      </c>
      <c r="C190" t="s">
        <v>16</v>
      </c>
      <c r="E190">
        <v>121</v>
      </c>
      <c r="G190">
        <v>116</v>
      </c>
      <c r="H190" s="9">
        <f t="shared" si="4"/>
        <v>237</v>
      </c>
      <c r="K190" s="25">
        <f>(Table2[[#This Row],[Home Pace]]/100)*(VLOOKUP(Table2[[#This Row],[Home/Neutral]],home_lookup,8,FALSE)+VLOOKUP(Table2[[#This Row],[Home/Neutral]],OFR_lookup,2,FALSE)+VLOOKUP(Table2[[#This Row],[Visitor/Neutral]],def_diff_lookup,6,FALSE))</f>
        <v>103.14891864565556</v>
      </c>
      <c r="L190" s="25"/>
      <c r="M190" s="25">
        <f>(Table2[[#This Row],[Away Pace]]/100)*(VLOOKUP(Table2[[#This Row],[Visitor/Neutral]],OFR_lookup,2,FALSE)+VLOOKUP(Table2[[#This Row],[Home/Neutral]],def_diff_lookup,6,FALSE))</f>
        <v>104.22815</v>
      </c>
      <c r="N190" s="25"/>
      <c r="O190" s="25"/>
      <c r="P190">
        <f>VLOOKUP(Table2[[#This Row],[Home/Neutral]],pace_lookup,7,FALSE)</f>
        <v>98.8</v>
      </c>
      <c r="Q190" s="5">
        <f>VLOOKUP(Table2[[#This Row],[Visitor/Neutral]],pace_lookup,7,FALSE)</f>
        <v>97.5</v>
      </c>
      <c r="R190" s="9">
        <f t="shared" si="5"/>
        <v>-5</v>
      </c>
      <c r="T190">
        <v>0</v>
      </c>
      <c r="V190" s="2">
        <f>-home-VLOOKUP(Table2[[#This Row],[Home/Neutral]],rtg_vlookup,4,FALSE)+VLOOKUP(Table2[[#This Row],[Visitor/Neutral]],rtg_vlookup,4,FALSE)</f>
        <v>4.9248815165876696</v>
      </c>
      <c r="W190" s="25"/>
      <c r="X190" s="2"/>
      <c r="Y190" s="2">
        <f>Table2[[#This Row],[Away EV]]-Table2[[#This Row],[Home EV]]</f>
        <v>1.0792313543444436</v>
      </c>
      <c r="Z190" s="33"/>
      <c r="AA190" s="34"/>
      <c r="AB190" t="b">
        <f>IF(VLOOKUP(Table2[[#This Row],[Home/Neutral]],division_lookup,9,FALSE)=VLOOKUP(Table2[[#This Row],[Visitor/Neutral]],division_lookup,9,FALSE),TRUE,FALSE)</f>
        <v>0</v>
      </c>
      <c r="AC190" s="19" t="str">
        <f>VLOOKUP(Table2[[#This Row],[Home/Neutral]],division_lookup,9,FALSE)</f>
        <v>SW</v>
      </c>
      <c r="AD190" s="19"/>
      <c r="AE190" s="19" t="str">
        <f>IF(Table2[[#This Row],[Total EV ®]]&lt;Table2[[#This Row],[Total (V)]],"UNDER","OVER")</f>
        <v>OVER</v>
      </c>
      <c r="AF190" s="19"/>
      <c r="AG190" s="19"/>
      <c r="AH190" s="2"/>
      <c r="AI190" s="22">
        <f>Table2[[#This Row],[(A)]]-Table2[[#This Row],[Spread]]</f>
        <v>9.9248815165876696</v>
      </c>
      <c r="AJ190" s="1">
        <f>Table2[[#This Row],[(A) Err]]^2</f>
        <v>98.503273118303554</v>
      </c>
      <c r="AK190" s="6">
        <f>Table2[[#This Row],[EV]]-Table2[[#This Row],[Spread]]</f>
        <v>6.0792313543444436</v>
      </c>
      <c r="AL190" s="1">
        <f>Table2[[#This Row],[EV Err]]^2</f>
        <v>36.957053859644581</v>
      </c>
    </row>
    <row r="191" spans="1:38" x14ac:dyDescent="0.25">
      <c r="A191" t="s">
        <v>68</v>
      </c>
      <c r="B191" t="s">
        <v>38</v>
      </c>
      <c r="C191" t="s">
        <v>37</v>
      </c>
      <c r="E191">
        <v>95</v>
      </c>
      <c r="G191">
        <v>87</v>
      </c>
      <c r="H191" s="9">
        <f t="shared" si="4"/>
        <v>182</v>
      </c>
      <c r="K191" s="25">
        <f>(Table2[[#This Row],[Home Pace]]/100)*(VLOOKUP(Table2[[#This Row],[Home/Neutral]],home_lookup,8,FALSE)+VLOOKUP(Table2[[#This Row],[Home/Neutral]],OFR_lookup,2,FALSE)+VLOOKUP(Table2[[#This Row],[Visitor/Neutral]],def_diff_lookup,6,FALSE))</f>
        <v>103.1141116789148</v>
      </c>
      <c r="L191" s="25"/>
      <c r="M191" s="25">
        <f>(Table2[[#This Row],[Away Pace]]/100)*(VLOOKUP(Table2[[#This Row],[Visitor/Neutral]],OFR_lookup,2,FALSE)+VLOOKUP(Table2[[#This Row],[Home/Neutral]],def_diff_lookup,6,FALSE))</f>
        <v>89.217883999999998</v>
      </c>
      <c r="N191" s="25"/>
      <c r="O191" s="25"/>
      <c r="P191">
        <f>VLOOKUP(Table2[[#This Row],[Home/Neutral]],pace_lookup,7,FALSE)</f>
        <v>94.2</v>
      </c>
      <c r="Q191" s="5">
        <f>VLOOKUP(Table2[[#This Row],[Visitor/Neutral]],pace_lookup,7,FALSE)</f>
        <v>92.1</v>
      </c>
      <c r="R191" s="9">
        <f t="shared" si="5"/>
        <v>-8</v>
      </c>
      <c r="T191">
        <v>0</v>
      </c>
      <c r="V191" s="2">
        <f>-home-VLOOKUP(Table2[[#This Row],[Home/Neutral]],rtg_vlookup,4,FALSE)+VLOOKUP(Table2[[#This Row],[Visitor/Neutral]],rtg_vlookup,4,FALSE)</f>
        <v>-1.5151184834123317</v>
      </c>
      <c r="W191" s="25"/>
      <c r="X191" s="2"/>
      <c r="Y191" s="2">
        <f>Table2[[#This Row],[Away EV]]-Table2[[#This Row],[Home EV]]</f>
        <v>-13.896227678914798</v>
      </c>
      <c r="Z191" s="33"/>
      <c r="AA191" s="34"/>
      <c r="AB191" t="b">
        <f>IF(VLOOKUP(Table2[[#This Row],[Home/Neutral]],division_lookup,9,FALSE)=VLOOKUP(Table2[[#This Row],[Visitor/Neutral]],division_lookup,9,FALSE),TRUE,FALSE)</f>
        <v>0</v>
      </c>
      <c r="AC191" s="19" t="str">
        <f>VLOOKUP(Table2[[#This Row],[Home/Neutral]],division_lookup,9,FALSE)</f>
        <v>SE</v>
      </c>
      <c r="AD191" s="19"/>
      <c r="AE191" s="19" t="str">
        <f>IF(Table2[[#This Row],[Total EV ®]]&lt;Table2[[#This Row],[Total (V)]],"UNDER","OVER")</f>
        <v>OVER</v>
      </c>
      <c r="AF191" s="19"/>
      <c r="AG191" s="19"/>
      <c r="AH191" s="2"/>
      <c r="AI191" s="22">
        <f>Table2[[#This Row],[(A)]]-Table2[[#This Row],[Spread]]</f>
        <v>6.4848815165876683</v>
      </c>
      <c r="AJ191" s="1">
        <f>Table2[[#This Row],[(A) Err]]^2</f>
        <v>42.053688284180375</v>
      </c>
      <c r="AK191" s="6">
        <f>Table2[[#This Row],[EV]]-Table2[[#This Row],[Spread]]</f>
        <v>-5.8962276789147978</v>
      </c>
      <c r="AL191" s="1">
        <f>Table2[[#This Row],[EV Err]]^2</f>
        <v>34.765500841600982</v>
      </c>
    </row>
    <row r="192" spans="1:38" x14ac:dyDescent="0.25">
      <c r="A192" t="s">
        <v>68</v>
      </c>
      <c r="B192" t="s">
        <v>39</v>
      </c>
      <c r="C192" t="s">
        <v>36</v>
      </c>
      <c r="E192">
        <v>120</v>
      </c>
      <c r="G192">
        <v>105</v>
      </c>
      <c r="H192" s="9">
        <f t="shared" si="4"/>
        <v>225</v>
      </c>
      <c r="K192" s="25">
        <f>(Table2[[#This Row],[Home Pace]]/100)*(VLOOKUP(Table2[[#This Row],[Home/Neutral]],home_lookup,8,FALSE)+VLOOKUP(Table2[[#This Row],[Home/Neutral]],OFR_lookup,2,FALSE)+VLOOKUP(Table2[[#This Row],[Visitor/Neutral]],def_diff_lookup,6,FALSE))</f>
        <v>110.11652211468578</v>
      </c>
      <c r="L192" s="25"/>
      <c r="M192" s="25">
        <f>(Table2[[#This Row],[Away Pace]]/100)*(VLOOKUP(Table2[[#This Row],[Visitor/Neutral]],OFR_lookup,2,FALSE)+VLOOKUP(Table2[[#This Row],[Home/Neutral]],def_diff_lookup,6,FALSE))</f>
        <v>108.31224133333335</v>
      </c>
      <c r="N192" s="25"/>
      <c r="O192" s="25"/>
      <c r="P192">
        <f>VLOOKUP(Table2[[#This Row],[Home/Neutral]],pace_lookup,7,FALSE)</f>
        <v>97.5</v>
      </c>
      <c r="Q192" s="5">
        <f>VLOOKUP(Table2[[#This Row],[Visitor/Neutral]],pace_lookup,7,FALSE)</f>
        <v>102.2</v>
      </c>
      <c r="R192" s="9">
        <f t="shared" si="5"/>
        <v>-15</v>
      </c>
      <c r="T192">
        <v>0</v>
      </c>
      <c r="V192" s="2">
        <f>-home-VLOOKUP(Table2[[#This Row],[Home/Neutral]],rtg_vlookup,4,FALSE)+VLOOKUP(Table2[[#This Row],[Visitor/Neutral]],rtg_vlookup,4,FALSE)</f>
        <v>0.34488151658766864</v>
      </c>
      <c r="W192" s="25"/>
      <c r="X192" s="2"/>
      <c r="Y192" s="2">
        <f>Table2[[#This Row],[Away EV]]-Table2[[#This Row],[Home EV]]</f>
        <v>-1.804280781352432</v>
      </c>
      <c r="Z192" s="33"/>
      <c r="AA192" s="34"/>
      <c r="AB192" t="b">
        <f>IF(VLOOKUP(Table2[[#This Row],[Home/Neutral]],division_lookup,9,FALSE)=VLOOKUP(Table2[[#This Row],[Visitor/Neutral]],division_lookup,9,FALSE),TRUE,FALSE)</f>
        <v>0</v>
      </c>
      <c r="AC192" s="19" t="str">
        <f>VLOOKUP(Table2[[#This Row],[Home/Neutral]],division_lookup,9,FALSE)</f>
        <v>A</v>
      </c>
      <c r="AD192" s="19"/>
      <c r="AE192" s="19" t="str">
        <f>IF(Table2[[#This Row],[Total EV ®]]&lt;Table2[[#This Row],[Total (V)]],"UNDER","OVER")</f>
        <v>OVER</v>
      </c>
      <c r="AG192" s="19"/>
      <c r="AH192" s="2"/>
      <c r="AI192" s="22">
        <f>Table2[[#This Row],[(A)]]-Table2[[#This Row],[Spread]]</f>
        <v>15.34488151658767</v>
      </c>
      <c r="AJ192" s="1">
        <f>Table2[[#This Row],[(A) Err]]^2</f>
        <v>235.4653887581139</v>
      </c>
      <c r="AK192" s="6">
        <f>Table2[[#This Row],[EV]]-Table2[[#This Row],[Spread]]</f>
        <v>13.195719218647568</v>
      </c>
      <c r="AL192" s="1">
        <f>Table2[[#This Row],[EV Err]]^2</f>
        <v>174.12700569738479</v>
      </c>
    </row>
    <row r="193" spans="1:38" ht="15.75" thickBot="1" x14ac:dyDescent="0.3">
      <c r="A193" s="3" t="s">
        <v>68</v>
      </c>
      <c r="B193" s="3" t="s">
        <v>28</v>
      </c>
      <c r="C193" s="3" t="s">
        <v>21</v>
      </c>
      <c r="D193" s="3"/>
      <c r="E193" s="3">
        <v>111</v>
      </c>
      <c r="F193" s="3"/>
      <c r="G193" s="3">
        <v>114</v>
      </c>
      <c r="H193" s="10">
        <f t="shared" si="4"/>
        <v>225</v>
      </c>
      <c r="I193" s="3"/>
      <c r="J193" s="3"/>
      <c r="K193" s="26">
        <f>(Table2[[#This Row],[Home Pace]]/100)*(VLOOKUP(Table2[[#This Row],[Home/Neutral]],home_lookup,8,FALSE)+VLOOKUP(Table2[[#This Row],[Home/Neutral]],OFR_lookup,2,FALSE)+VLOOKUP(Table2[[#This Row],[Visitor/Neutral]],def_diff_lookup,6,FALSE))</f>
        <v>104.69453553204274</v>
      </c>
      <c r="L193" s="26"/>
      <c r="M193" s="26">
        <f>(Table2[[#This Row],[Away Pace]]/100)*(VLOOKUP(Table2[[#This Row],[Visitor/Neutral]],OFR_lookup,2,FALSE)+VLOOKUP(Table2[[#This Row],[Home/Neutral]],def_diff_lookup,6,FALSE))</f>
        <v>99.325108000000029</v>
      </c>
      <c r="N193" s="26"/>
      <c r="O193" s="26"/>
      <c r="P193" s="3">
        <f>VLOOKUP(Table2[[#This Row],[Home/Neutral]],pace_lookup,7,FALSE)</f>
        <v>96.3</v>
      </c>
      <c r="Q193" s="3">
        <f>VLOOKUP(Table2[[#This Row],[Visitor/Neutral]],pace_lookup,7,FALSE)</f>
        <v>94.2</v>
      </c>
      <c r="R193" s="10">
        <f t="shared" si="5"/>
        <v>3</v>
      </c>
      <c r="S193" s="3"/>
      <c r="T193" s="3">
        <v>0</v>
      </c>
      <c r="U193" s="3"/>
      <c r="V193" s="12">
        <f>-home-VLOOKUP(Table2[[#This Row],[Home/Neutral]],rtg_vlookup,4,FALSE)+VLOOKUP(Table2[[#This Row],[Visitor/Neutral]],rtg_vlookup,4,FALSE)</f>
        <v>-0.9051184834123307</v>
      </c>
      <c r="W193" s="26"/>
      <c r="X193" s="12"/>
      <c r="Y193" s="12">
        <f>Table2[[#This Row],[Away EV]]-Table2[[#This Row],[Home EV]]</f>
        <v>-5.3694275320427067</v>
      </c>
      <c r="Z193" s="35"/>
      <c r="AA193" s="36"/>
      <c r="AB193" s="3" t="b">
        <f>IF(VLOOKUP(Table2[[#This Row],[Home/Neutral]],division_lookup,9,FALSE)=VLOOKUP(Table2[[#This Row],[Visitor/Neutral]],division_lookup,9,FALSE),TRUE,FALSE)</f>
        <v>1</v>
      </c>
      <c r="AC193" s="20" t="str">
        <f>VLOOKUP(Table2[[#This Row],[Home/Neutral]],division_lookup,9,FALSE)</f>
        <v>SE</v>
      </c>
      <c r="AD193" s="20"/>
      <c r="AE193" s="20" t="str">
        <f>IF(Table2[[#This Row],[Total EV ®]]&lt;Table2[[#This Row],[Total (V)]],"UNDER","OVER")</f>
        <v>OVER</v>
      </c>
      <c r="AF193" s="3"/>
      <c r="AG193" s="20"/>
      <c r="AH193" s="12"/>
      <c r="AI193" s="4">
        <f>Table2[[#This Row],[(A)]]-Table2[[#This Row],[Spread]]</f>
        <v>-3.9051184834123305</v>
      </c>
      <c r="AJ193" s="4">
        <f>Table2[[#This Row],[(A) Err]]^2</f>
        <v>15.249950369488619</v>
      </c>
      <c r="AK193" s="6">
        <f>Table2[[#This Row],[EV]]-Table2[[#This Row],[Spread]]</f>
        <v>-8.3694275320427067</v>
      </c>
      <c r="AL193" s="1">
        <f>Table2[[#This Row],[EV Err]]^2</f>
        <v>70.047317214114472</v>
      </c>
    </row>
    <row r="194" spans="1:38" x14ac:dyDescent="0.25">
      <c r="A194" t="s">
        <v>69</v>
      </c>
      <c r="B194" t="s">
        <v>35</v>
      </c>
      <c r="C194" t="s">
        <v>32</v>
      </c>
      <c r="E194">
        <v>109</v>
      </c>
      <c r="G194">
        <v>129</v>
      </c>
      <c r="H194" s="9">
        <f t="shared" si="4"/>
        <v>238</v>
      </c>
      <c r="K194" s="25">
        <f>(Table2[[#This Row],[Home Pace]]/100)*(VLOOKUP(Table2[[#This Row],[Home/Neutral]],home_lookup,8,FALSE)+VLOOKUP(Table2[[#This Row],[Home/Neutral]],OFR_lookup,2,FALSE)+VLOOKUP(Table2[[#This Row],[Visitor/Neutral]],def_diff_lookup,6,FALSE))</f>
        <v>112.79137121209625</v>
      </c>
      <c r="L194" s="25"/>
      <c r="M194" s="25">
        <f>(Table2[[#This Row],[Away Pace]]/100)*(VLOOKUP(Table2[[#This Row],[Visitor/Neutral]],OFR_lookup,2,FALSE)+VLOOKUP(Table2[[#This Row],[Home/Neutral]],def_diff_lookup,6,FALSE))</f>
        <v>110.48195733333334</v>
      </c>
      <c r="N194" s="25"/>
      <c r="O194" s="25"/>
      <c r="P194">
        <f>VLOOKUP(Table2[[#This Row],[Home/Neutral]],pace_lookup,7,FALSE)</f>
        <v>102.2</v>
      </c>
      <c r="Q194" s="5">
        <f>VLOOKUP(Table2[[#This Row],[Visitor/Neutral]],pace_lookup,7,FALSE)</f>
        <v>98.6</v>
      </c>
      <c r="R194" s="9">
        <f t="shared" si="5"/>
        <v>20</v>
      </c>
      <c r="T194">
        <v>0</v>
      </c>
      <c r="V194" s="2">
        <f>-home-VLOOKUP(Table2[[#This Row],[Home/Neutral]],rtg_vlookup,4,FALSE)+VLOOKUP(Table2[[#This Row],[Visitor/Neutral]],rtg_vlookup,4,FALSE)</f>
        <v>0.70488151658766895</v>
      </c>
      <c r="W194" s="25"/>
      <c r="X194" s="2"/>
      <c r="Y194" s="2">
        <f>Table2[[#This Row],[Away EV]]-Table2[[#This Row],[Home EV]]</f>
        <v>-2.3094138787629106</v>
      </c>
      <c r="Z194" s="33"/>
      <c r="AA194" s="34"/>
      <c r="AB194" t="b">
        <f>IF(VLOOKUP(Table2[[#This Row],[Home/Neutral]],division_lookup,9,FALSE)=VLOOKUP(Table2[[#This Row],[Visitor/Neutral]],division_lookup,9,FALSE),TRUE,FALSE)</f>
        <v>0</v>
      </c>
      <c r="AC194" s="19" t="str">
        <f>VLOOKUP(Table2[[#This Row],[Home/Neutral]],division_lookup,9,FALSE)</f>
        <v>A</v>
      </c>
      <c r="AD194" s="19"/>
      <c r="AE194" s="19" t="str">
        <f>IF(Table2[[#This Row],[Total EV ®]]&lt;Table2[[#This Row],[Total (V)]],"UNDER","OVER")</f>
        <v>OVER</v>
      </c>
      <c r="AG194" s="19"/>
      <c r="AH194" s="2"/>
      <c r="AI194" s="22">
        <f>Table2[[#This Row],[(A)]]-Table2[[#This Row],[Spread]]</f>
        <v>-19.295118483412331</v>
      </c>
      <c r="AJ194" s="1">
        <f>Table2[[#This Row],[(A) Err]]^2</f>
        <v>372.30159728892016</v>
      </c>
      <c r="AK194" s="6">
        <f>Table2[[#This Row],[EV]]-Table2[[#This Row],[Spread]]</f>
        <v>-22.309413878762911</v>
      </c>
      <c r="AL194" s="1">
        <f>Table2[[#This Row],[EV Err]]^2</f>
        <v>497.70994761393916</v>
      </c>
    </row>
    <row r="195" spans="1:38" x14ac:dyDescent="0.25">
      <c r="A195" t="s">
        <v>69</v>
      </c>
      <c r="B195" t="s">
        <v>27</v>
      </c>
      <c r="C195" t="s">
        <v>20</v>
      </c>
      <c r="E195">
        <v>105</v>
      </c>
      <c r="G195">
        <v>91</v>
      </c>
      <c r="H195" s="9">
        <f t="shared" ref="H195:H208" si="6">E195+G195</f>
        <v>196</v>
      </c>
      <c r="K195" s="25">
        <f>(Table2[[#This Row],[Home Pace]]/100)*(VLOOKUP(Table2[[#This Row],[Home/Neutral]],home_lookup,8,FALSE)+VLOOKUP(Table2[[#This Row],[Home/Neutral]],OFR_lookup,2,FALSE)+VLOOKUP(Table2[[#This Row],[Visitor/Neutral]],def_diff_lookup,6,FALSE))</f>
        <v>103.10985642647259</v>
      </c>
      <c r="L195" s="25"/>
      <c r="M195" s="25">
        <f>(Table2[[#This Row],[Away Pace]]/100)*(VLOOKUP(Table2[[#This Row],[Visitor/Neutral]],OFR_lookup,2,FALSE)+VLOOKUP(Table2[[#This Row],[Home/Neutral]],def_diff_lookup,6,FALSE))</f>
        <v>96.518226000000013</v>
      </c>
      <c r="N195" s="25"/>
      <c r="O195" s="25"/>
      <c r="P195">
        <f>VLOOKUP(Table2[[#This Row],[Home/Neutral]],pace_lookup,7,FALSE)</f>
        <v>99</v>
      </c>
      <c r="Q195" s="5">
        <f>VLOOKUP(Table2[[#This Row],[Visitor/Neutral]],pace_lookup,7,FALSE)</f>
        <v>90.9</v>
      </c>
      <c r="R195" s="9">
        <f>G195-E195</f>
        <v>-14</v>
      </c>
      <c r="T195">
        <v>0</v>
      </c>
      <c r="V195" s="2">
        <f>-home-VLOOKUP(Table2[[#This Row],[Home/Neutral]],rtg_vlookup,4,FALSE)+VLOOKUP(Table2[[#This Row],[Visitor/Neutral]],rtg_vlookup,4,FALSE)</f>
        <v>-0.39511848341233091</v>
      </c>
      <c r="W195" s="25"/>
      <c r="X195" s="2"/>
      <c r="Y195" s="2">
        <f>Table2[[#This Row],[Away EV]]-Table2[[#This Row],[Home EV]]</f>
        <v>-6.5916304264725767</v>
      </c>
      <c r="Z195" s="33"/>
      <c r="AA195" s="34"/>
      <c r="AB195" t="b">
        <f>IF(VLOOKUP(Table2[[#This Row],[Home/Neutral]],division_lookup,9,FALSE)=VLOOKUP(Table2[[#This Row],[Visitor/Neutral]],division_lookup,9,FALSE),TRUE,FALSE)</f>
        <v>1</v>
      </c>
      <c r="AC195" s="19" t="str">
        <f>VLOOKUP(Table2[[#This Row],[Home/Neutral]],division_lookup,9,FALSE)</f>
        <v>NW</v>
      </c>
      <c r="AD195" s="19"/>
      <c r="AE195" s="19" t="str">
        <f>IF(Table2[[#This Row],[Total EV ®]]&lt;Table2[[#This Row],[Total (V)]],"UNDER","OVER")</f>
        <v>OVER</v>
      </c>
      <c r="AG195" s="19"/>
      <c r="AH195" s="2"/>
      <c r="AI195" s="22">
        <f>Table2[[#This Row],[(A)]]-Table2[[#This Row],[Spread]]</f>
        <v>13.604881516587669</v>
      </c>
      <c r="AJ195" s="1">
        <f>Table2[[#This Row],[(A) Err]]^2</f>
        <v>185.0928010803888</v>
      </c>
      <c r="AK195" s="6">
        <f>Table2[[#This Row],[EV]]-Table2[[#This Row],[Spread]]</f>
        <v>7.4083695735274233</v>
      </c>
      <c r="AL195" s="1">
        <f>Table2[[#This Row],[EV Err]]^2</f>
        <v>54.883939737966898</v>
      </c>
    </row>
    <row r="196" spans="1:38" x14ac:dyDescent="0.25">
      <c r="A196" t="s">
        <v>69</v>
      </c>
      <c r="B196" t="s">
        <v>24</v>
      </c>
      <c r="C196" t="s">
        <v>13</v>
      </c>
      <c r="E196">
        <v>110</v>
      </c>
      <c r="G196">
        <v>118</v>
      </c>
      <c r="H196" s="9">
        <f t="shared" si="6"/>
        <v>228</v>
      </c>
      <c r="K196" s="25">
        <f>(Table2[[#This Row],[Home Pace]]/100)*(VLOOKUP(Table2[[#This Row],[Home/Neutral]],home_lookup,8,FALSE)+VLOOKUP(Table2[[#This Row],[Home/Neutral]],OFR_lookup,2,FALSE)+VLOOKUP(Table2[[#This Row],[Visitor/Neutral]],def_diff_lookup,6,FALSE))</f>
        <v>108.4971943283094</v>
      </c>
      <c r="L196" s="25"/>
      <c r="M196" s="25">
        <f>(Table2[[#This Row],[Away Pace]]/100)*(VLOOKUP(Table2[[#This Row],[Visitor/Neutral]],OFR_lookup,2,FALSE)+VLOOKUP(Table2[[#This Row],[Home/Neutral]],def_diff_lookup,6,FALSE))</f>
        <v>108.88353000000001</v>
      </c>
      <c r="N196" s="25"/>
      <c r="O196" s="25"/>
      <c r="P196">
        <f>VLOOKUP(Table2[[#This Row],[Home/Neutral]],pace_lookup,7,FALSE)</f>
        <v>99.9</v>
      </c>
      <c r="Q196" s="5">
        <f>VLOOKUP(Table2[[#This Row],[Visitor/Neutral]],pace_lookup,7,FALSE)</f>
        <v>94.5</v>
      </c>
      <c r="R196" s="9">
        <f>G196-E196</f>
        <v>8</v>
      </c>
      <c r="T196">
        <v>0</v>
      </c>
      <c r="V196" s="2">
        <f>-home-VLOOKUP(Table2[[#This Row],[Home/Neutral]],rtg_vlookup,4,FALSE)+VLOOKUP(Table2[[#This Row],[Visitor/Neutral]],rtg_vlookup,4,FALSE)</f>
        <v>2.6548815165876691</v>
      </c>
      <c r="W196" s="25"/>
      <c r="X196" s="2"/>
      <c r="Y196" s="2">
        <f>Table2[[#This Row],[Away EV]]-Table2[[#This Row],[Home EV]]</f>
        <v>0.38633567169060257</v>
      </c>
      <c r="Z196" s="33"/>
      <c r="AA196" s="34"/>
      <c r="AB196" t="b">
        <f>IF(VLOOKUP(Table2[[#This Row],[Home/Neutral]],division_lookup,9,FALSE)=VLOOKUP(Table2[[#This Row],[Visitor/Neutral]],division_lookup,9,FALSE),TRUE,FALSE)</f>
        <v>0</v>
      </c>
      <c r="AC196" s="19" t="str">
        <f>VLOOKUP(Table2[[#This Row],[Home/Neutral]],division_lookup,9,FALSE)</f>
        <v>P</v>
      </c>
      <c r="AD196" s="19"/>
      <c r="AE196" s="19" t="str">
        <f>IF(Table2[[#This Row],[Total EV ®]]&lt;Table2[[#This Row],[Total (V)]],"UNDER","OVER")</f>
        <v>OVER</v>
      </c>
      <c r="AG196" s="19"/>
      <c r="AH196" s="2"/>
      <c r="AI196" s="22">
        <f>Table2[[#This Row],[(A)]]-Table2[[#This Row],[Spread]]</f>
        <v>-5.3451184834123309</v>
      </c>
      <c r="AJ196" s="1">
        <f>Table2[[#This Row],[(A) Err]]^2</f>
        <v>28.570291601716136</v>
      </c>
      <c r="AK196" s="6">
        <f>Table2[[#This Row],[EV]]-Table2[[#This Row],[Spread]]</f>
        <v>-7.6136643283093974</v>
      </c>
      <c r="AL196" s="1">
        <f>Table2[[#This Row],[EV Err]]^2</f>
        <v>57.967884504170989</v>
      </c>
    </row>
    <row r="197" spans="1:38" x14ac:dyDescent="0.25">
      <c r="A197" t="s">
        <v>69</v>
      </c>
      <c r="B197" t="s">
        <v>31</v>
      </c>
      <c r="C197" t="s">
        <v>11</v>
      </c>
      <c r="E197">
        <v>104</v>
      </c>
      <c r="G197">
        <v>94</v>
      </c>
      <c r="H197" s="9">
        <f t="shared" si="6"/>
        <v>198</v>
      </c>
      <c r="K197" s="25">
        <f>(Table2[[#This Row],[Home Pace]]/100)*(VLOOKUP(Table2[[#This Row],[Home/Neutral]],home_lookup,8,FALSE)+VLOOKUP(Table2[[#This Row],[Home/Neutral]],OFR_lookup,2,FALSE)+VLOOKUP(Table2[[#This Row],[Visitor/Neutral]],def_diff_lookup,6,FALSE))</f>
        <v>102.86377430217891</v>
      </c>
      <c r="L197" s="25"/>
      <c r="M197" s="25">
        <f>(Table2[[#This Row],[Away Pace]]/100)*(VLOOKUP(Table2[[#This Row],[Visitor/Neutral]],OFR_lookup,2,FALSE)+VLOOKUP(Table2[[#This Row],[Home/Neutral]],def_diff_lookup,6,FALSE))</f>
        <v>109.22201466666667</v>
      </c>
      <c r="N197" s="25"/>
      <c r="O197" s="25"/>
      <c r="P197">
        <f>VLOOKUP(Table2[[#This Row],[Home/Neutral]],pace_lookup,7,FALSE)</f>
        <v>96</v>
      </c>
      <c r="Q197" s="5">
        <f>VLOOKUP(Table2[[#This Row],[Visitor/Neutral]],pace_lookup,7,FALSE)</f>
        <v>99.7</v>
      </c>
      <c r="R197" s="9">
        <f>G197-E197</f>
        <v>-10</v>
      </c>
      <c r="T197">
        <v>0</v>
      </c>
      <c r="V197" s="2">
        <f>-home-VLOOKUP(Table2[[#This Row],[Home/Neutral]],rtg_vlookup,4,FALSE)+VLOOKUP(Table2[[#This Row],[Visitor/Neutral]],rtg_vlookup,4,FALSE)</f>
        <v>5.8348815165876697</v>
      </c>
      <c r="W197" s="25"/>
      <c r="X197" s="2"/>
      <c r="Y197" s="2">
        <f>Table2[[#This Row],[Away EV]]-Table2[[#This Row],[Home EV]]</f>
        <v>6.3582403644877559</v>
      </c>
      <c r="Z197" s="33"/>
      <c r="AA197" s="34"/>
      <c r="AB197" t="b">
        <f>IF(VLOOKUP(Table2[[#This Row],[Home/Neutral]],division_lookup,9,FALSE)=VLOOKUP(Table2[[#This Row],[Visitor/Neutral]],division_lookup,9,FALSE),TRUE,FALSE)</f>
        <v>0</v>
      </c>
      <c r="AC197" s="19" t="str">
        <f>VLOOKUP(Table2[[#This Row],[Home/Neutral]],division_lookup,9,FALSE)</f>
        <v>A</v>
      </c>
      <c r="AD197" s="19"/>
      <c r="AE197" s="19" t="str">
        <f>IF(Table2[[#This Row],[Total EV ®]]&lt;Table2[[#This Row],[Total (V)]],"UNDER","OVER")</f>
        <v>OVER</v>
      </c>
      <c r="AG197" s="19"/>
      <c r="AH197" s="2"/>
      <c r="AI197" s="22">
        <f>Table2[[#This Row],[(A)]]-Table2[[#This Row],[Spread]]</f>
        <v>15.83488151658767</v>
      </c>
      <c r="AJ197" s="1">
        <f>Table2[[#This Row],[(A) Err]]^2</f>
        <v>250.74347264436983</v>
      </c>
      <c r="AK197" s="6">
        <f>Table2[[#This Row],[EV]]-Table2[[#This Row],[Spread]]</f>
        <v>16.358240364487756</v>
      </c>
      <c r="AL197" s="1">
        <f>Table2[[#This Row],[EV Err]]^2</f>
        <v>267.5920278223565</v>
      </c>
    </row>
    <row r="198" spans="1:38" x14ac:dyDescent="0.25">
      <c r="A198" t="s">
        <v>69</v>
      </c>
      <c r="B198" t="s">
        <v>18</v>
      </c>
      <c r="C198" t="s">
        <v>33</v>
      </c>
      <c r="E198">
        <v>111</v>
      </c>
      <c r="G198">
        <v>115</v>
      </c>
      <c r="H198" s="9">
        <f t="shared" si="6"/>
        <v>226</v>
      </c>
      <c r="K198" s="25">
        <f>(Table2[[#This Row],[Home Pace]]/100)*(VLOOKUP(Table2[[#This Row],[Home/Neutral]],home_lookup,8,FALSE)+VLOOKUP(Table2[[#This Row],[Home/Neutral]],OFR_lookup,2,FALSE)+VLOOKUP(Table2[[#This Row],[Visitor/Neutral]],def_diff_lookup,6,FALSE))</f>
        <v>105.34285616021133</v>
      </c>
      <c r="L198" s="25"/>
      <c r="M198" s="25">
        <f>(Table2[[#This Row],[Away Pace]]/100)*(VLOOKUP(Table2[[#This Row],[Visitor/Neutral]],OFR_lookup,2,FALSE)+VLOOKUP(Table2[[#This Row],[Home/Neutral]],def_diff_lookup,6,FALSE))</f>
        <v>97.58199466666666</v>
      </c>
      <c r="N198" s="25"/>
      <c r="O198" s="25"/>
      <c r="P198">
        <f>VLOOKUP(Table2[[#This Row],[Home/Neutral]],pace_lookup,7,FALSE)</f>
        <v>99.5</v>
      </c>
      <c r="Q198" s="5">
        <f>VLOOKUP(Table2[[#This Row],[Visitor/Neutral]],pace_lookup,7,FALSE)</f>
        <v>98.2</v>
      </c>
      <c r="R198" s="9">
        <f>G198-E198</f>
        <v>4</v>
      </c>
      <c r="T198">
        <v>1</v>
      </c>
      <c r="V198" s="2">
        <f>-home-VLOOKUP(Table2[[#This Row],[Home/Neutral]],rtg_vlookup,4,FALSE)+VLOOKUP(Table2[[#This Row],[Visitor/Neutral]],rtg_vlookup,4,FALSE)</f>
        <v>-10.295118483412331</v>
      </c>
      <c r="W198" s="25"/>
      <c r="X198" s="2"/>
      <c r="Y198" s="2">
        <f>Table2[[#This Row],[Away EV]]-Table2[[#This Row],[Home EV]]</f>
        <v>-7.7608614935446667</v>
      </c>
      <c r="Z198" s="33"/>
      <c r="AA198" s="34"/>
      <c r="AB198" t="b">
        <f>IF(VLOOKUP(Table2[[#This Row],[Home/Neutral]],division_lookup,9,FALSE)=VLOOKUP(Table2[[#This Row],[Visitor/Neutral]],division_lookup,9,FALSE),TRUE,FALSE)</f>
        <v>0</v>
      </c>
      <c r="AC198" s="19" t="str">
        <f>VLOOKUP(Table2[[#This Row],[Home/Neutral]],division_lookup,9,FALSE)</f>
        <v>NW</v>
      </c>
      <c r="AD198" s="19"/>
      <c r="AE198" s="19" t="str">
        <f>IF(Table2[[#This Row],[Total EV ®]]&lt;Table2[[#This Row],[Total (V)]],"UNDER","OVER")</f>
        <v>OVER</v>
      </c>
      <c r="AG198" s="19"/>
      <c r="AH198" s="2"/>
      <c r="AI198" s="22">
        <f>Table2[[#This Row],[(A)]]-Table2[[#This Row],[Spread]]</f>
        <v>-14.295118483412331</v>
      </c>
      <c r="AJ198" s="1">
        <f>Table2[[#This Row],[(A) Err]]^2</f>
        <v>204.35041245479687</v>
      </c>
      <c r="AK198" s="6">
        <f>Table2[[#This Row],[EV]]-Table2[[#This Row],[Spread]]</f>
        <v>-11.760861493544667</v>
      </c>
      <c r="AL198" s="1">
        <f>Table2[[#This Row],[EV Err]]^2</f>
        <v>138.3178630703417</v>
      </c>
    </row>
    <row r="199" spans="1:38" ht="15.75" thickBot="1" x14ac:dyDescent="0.3">
      <c r="A199" s="3" t="s">
        <v>69</v>
      </c>
      <c r="B199" s="3" t="s">
        <v>29</v>
      </c>
      <c r="C199" s="3" t="s">
        <v>14</v>
      </c>
      <c r="D199" s="3"/>
      <c r="E199" s="3">
        <v>102</v>
      </c>
      <c r="F199" s="3"/>
      <c r="G199" s="3">
        <v>99</v>
      </c>
      <c r="H199" s="10">
        <f t="shared" si="6"/>
        <v>201</v>
      </c>
      <c r="I199" s="3"/>
      <c r="J199" s="3"/>
      <c r="K199" s="26">
        <f>(Table2[[#This Row],[Home Pace]]/100)*(VLOOKUP(Table2[[#This Row],[Home/Neutral]],home_lookup,8,FALSE)+VLOOKUP(Table2[[#This Row],[Home/Neutral]],OFR_lookup,2,FALSE)+VLOOKUP(Table2[[#This Row],[Visitor/Neutral]],def_diff_lookup,6,FALSE))</f>
        <v>110.73390926898523</v>
      </c>
      <c r="L199" s="26"/>
      <c r="M199" s="26">
        <f>(Table2[[#This Row],[Away Pace]]/100)*(VLOOKUP(Table2[[#This Row],[Visitor/Neutral]],OFR_lookup,2,FALSE)+VLOOKUP(Table2[[#This Row],[Home/Neutral]],def_diff_lookup,6,FALSE))</f>
        <v>111.72413933333335</v>
      </c>
      <c r="N199" s="26"/>
      <c r="O199" s="26"/>
      <c r="P199" s="3">
        <f>VLOOKUP(Table2[[#This Row],[Home/Neutral]],pace_lookup,7,FALSE)</f>
        <v>93.8</v>
      </c>
      <c r="Q199" s="3">
        <f>VLOOKUP(Table2[[#This Row],[Visitor/Neutral]],pace_lookup,7,FALSE)</f>
        <v>95.9</v>
      </c>
      <c r="R199" s="10">
        <f>G199-E199</f>
        <v>-3</v>
      </c>
      <c r="S199" s="3"/>
      <c r="T199" s="3">
        <v>0</v>
      </c>
      <c r="U199" s="3"/>
      <c r="V199" s="12">
        <f>-home-VLOOKUP(Table2[[#This Row],[Home/Neutral]],rtg_vlookup,4,FALSE)+VLOOKUP(Table2[[#This Row],[Visitor/Neutral]],rtg_vlookup,4,FALSE)</f>
        <v>4.534881516587669</v>
      </c>
      <c r="W199" s="26"/>
      <c r="X199" s="12"/>
      <c r="Y199" s="12">
        <f>Table2[[#This Row],[Away EV]]-Table2[[#This Row],[Home EV]]</f>
        <v>0.99023006434812544</v>
      </c>
      <c r="Z199" s="35"/>
      <c r="AA199" s="36"/>
      <c r="AB199" s="3" t="b">
        <f>IF(VLOOKUP(Table2[[#This Row],[Home/Neutral]],division_lookup,9,FALSE)=VLOOKUP(Table2[[#This Row],[Visitor/Neutral]],division_lookup,9,FALSE),TRUE,FALSE)</f>
        <v>0</v>
      </c>
      <c r="AC199" s="20" t="str">
        <f>VLOOKUP(Table2[[#This Row],[Home/Neutral]],division_lookup,9,FALSE)</f>
        <v>P</v>
      </c>
      <c r="AD199" s="20"/>
      <c r="AE199" s="20" t="str">
        <f>IF(Table2[[#This Row],[Total EV ®]]&lt;Table2[[#This Row],[Total (V)]],"UNDER","OVER")</f>
        <v>OVER</v>
      </c>
      <c r="AF199" s="3"/>
      <c r="AG199" s="20"/>
      <c r="AH199" s="12"/>
      <c r="AI199" s="4">
        <f>Table2[[#This Row],[(A)]]-Table2[[#This Row],[Spread]]</f>
        <v>7.534881516587669</v>
      </c>
      <c r="AJ199" s="4">
        <f>Table2[[#This Row],[(A) Err]]^2</f>
        <v>56.774439469014489</v>
      </c>
      <c r="AK199" s="6">
        <f>Table2[[#This Row],[EV]]-Table2[[#This Row],[Spread]]</f>
        <v>3.9902300643481254</v>
      </c>
      <c r="AL199" s="1">
        <f>Table2[[#This Row],[EV Err]]^2</f>
        <v>15.921935966427645</v>
      </c>
    </row>
    <row r="200" spans="1:38" x14ac:dyDescent="0.25">
      <c r="A200" t="s">
        <v>70</v>
      </c>
      <c r="B200" t="s">
        <v>16</v>
      </c>
      <c r="C200" t="s">
        <v>23</v>
      </c>
      <c r="D200">
        <f>IF(Table2[[#This Row],[Spread]]&lt;Table2[[#This Row],[Spread (V)]],1,0)</f>
        <v>0</v>
      </c>
      <c r="E200">
        <v>90</v>
      </c>
      <c r="F200">
        <f>IF(Table2[[#This Row],[Spread]]&gt;Table2[[#This Row],[Spread (V)]],1,0)</f>
        <v>1</v>
      </c>
      <c r="G200">
        <v>105</v>
      </c>
      <c r="H200" s="9">
        <f t="shared" si="6"/>
        <v>195</v>
      </c>
      <c r="K200" s="25">
        <f>(Table2[[#This Row],[Home Pace]]/100)*(VLOOKUP(Table2[[#This Row],[Home/Neutral]],home_lookup,8,FALSE)+VLOOKUP(Table2[[#This Row],[Home/Neutral]],OFR_lookup,2,FALSE)+VLOOKUP(Table2[[#This Row],[Visitor/Neutral]],def_diff_lookup,6,FALSE))</f>
        <v>99.443606011159517</v>
      </c>
      <c r="L200" s="25"/>
      <c r="M200" s="25">
        <f>(Table2[[#This Row],[Away Pace]]/100)*(VLOOKUP(Table2[[#This Row],[Visitor/Neutral]],OFR_lookup,2,FALSE)+VLOOKUP(Table2[[#This Row],[Home/Neutral]],def_diff_lookup,6,FALSE))</f>
        <v>94.859366666666688</v>
      </c>
      <c r="N200" s="25"/>
      <c r="O200" s="25"/>
      <c r="P200">
        <f>VLOOKUP(Table2[[#This Row],[Home/Neutral]],pace_lookup,7,FALSE)</f>
        <v>97.5</v>
      </c>
      <c r="Q200" s="5">
        <f>VLOOKUP(Table2[[#This Row],[Visitor/Neutral]],pace_lookup,7,FALSE)</f>
        <v>92.5</v>
      </c>
      <c r="R200" s="9">
        <f t="shared" ref="R200:R208" si="7">G200-E200</f>
        <v>15</v>
      </c>
      <c r="S200">
        <v>4.5</v>
      </c>
      <c r="T200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00">
        <v>-6.3</v>
      </c>
      <c r="V200" s="2">
        <f>-home-VLOOKUP(Table2[[#This Row],[Home/Neutral]],rtg_vlookup,4,FALSE)+VLOOKUP(Table2[[#This Row],[Visitor/Neutral]],rtg_vlookup,4,FALSE)</f>
        <v>-2.945118483412331</v>
      </c>
      <c r="W200" s="25"/>
      <c r="X200" s="2"/>
      <c r="Y200" s="2">
        <f>Table2[[#This Row],[Away EV]]-Table2[[#This Row],[Home EV]]</f>
        <v>-4.5842393444928291</v>
      </c>
      <c r="Z200" s="33" t="str">
        <f>IF(Table2[[#This Row],[Spread (V)]]&gt;Table2[[#This Row],[(A) Spread]],"HOME","AWAY")</f>
        <v>HOME</v>
      </c>
      <c r="AA200" s="33"/>
      <c r="AB200" t="b">
        <f>IF(VLOOKUP(Table2[[#This Row],[Home/Neutral]],division_lookup,9,FALSE)=VLOOKUP(Table2[[#This Row],[Visitor/Neutral]],division_lookup,9,FALSE),TRUE,FALSE)</f>
        <v>0</v>
      </c>
      <c r="AC200" s="19" t="str">
        <f>VLOOKUP(Table2[[#This Row],[Home/Neutral]],division_lookup,9,FALSE)</f>
        <v>SE</v>
      </c>
      <c r="AD200" s="19"/>
      <c r="AE200" s="19" t="str">
        <f>IF(Table2[[#This Row],[Total EV ®]]&lt;Table2[[#This Row],[Total (V)]],"UNDER","OVER")</f>
        <v>OVER</v>
      </c>
      <c r="AF200" s="19">
        <f>Table2[[#This Row],[(A) Spread]]-Table2[[#This Row],[Spread (V)]]</f>
        <v>-10.8</v>
      </c>
      <c r="AG200" s="19"/>
      <c r="AH200" s="2">
        <f>Table2[[#This Row],[EV]]-Table2[[#This Row],[Spread (V)]]</f>
        <v>-9.0842393444928291</v>
      </c>
      <c r="AI200" s="22">
        <f>Table2[[#This Row],[(A)]]-Table2[[#This Row],[Spread]]</f>
        <v>-17.94511848341233</v>
      </c>
      <c r="AJ200" s="1">
        <f>Table2[[#This Row],[(A) Err]]^2</f>
        <v>322.0272773837068</v>
      </c>
      <c r="AK200" s="6">
        <f>Table2[[#This Row],[EV]]-Table2[[#This Row],[Spread]]</f>
        <v>-19.584239344492829</v>
      </c>
      <c r="AL200" s="1">
        <f>Table2[[#This Row],[EV Err]]^2</f>
        <v>383.5424307023809</v>
      </c>
    </row>
    <row r="201" spans="1:38" x14ac:dyDescent="0.25">
      <c r="A201" t="s">
        <v>70</v>
      </c>
      <c r="B201" t="s">
        <v>25</v>
      </c>
      <c r="C201" t="s">
        <v>17</v>
      </c>
      <c r="D201">
        <f>IF(Table2[[#This Row],[Spread]]&lt;Table2[[#This Row],[Spread (V)]],1,0)</f>
        <v>0</v>
      </c>
      <c r="E201">
        <v>96</v>
      </c>
      <c r="F201">
        <f>IF(Table2[[#This Row],[Spread]]&gt;Table2[[#This Row],[Spread (V)]],1,0)</f>
        <v>1</v>
      </c>
      <c r="G201">
        <v>99</v>
      </c>
      <c r="H201" s="9">
        <f t="shared" si="6"/>
        <v>195</v>
      </c>
      <c r="K201" s="25">
        <f>(Table2[[#This Row],[Home Pace]]/100)*(VLOOKUP(Table2[[#This Row],[Home/Neutral]],home_lookup,8,FALSE)+VLOOKUP(Table2[[#This Row],[Home/Neutral]],OFR_lookup,2,FALSE)+VLOOKUP(Table2[[#This Row],[Visitor/Neutral]],def_diff_lookup,6,FALSE))</f>
        <v>106.36846444427258</v>
      </c>
      <c r="L201" s="25"/>
      <c r="M201" s="25">
        <f>(Table2[[#This Row],[Away Pace]]/100)*(VLOOKUP(Table2[[#This Row],[Visitor/Neutral]],OFR_lookup,2,FALSE)+VLOOKUP(Table2[[#This Row],[Home/Neutral]],def_diff_lookup,6,FALSE))</f>
        <v>106.50602466666669</v>
      </c>
      <c r="N201" s="25"/>
      <c r="O201" s="25"/>
      <c r="P201">
        <f>VLOOKUP(Table2[[#This Row],[Home/Neutral]],pace_lookup,7,FALSE)</f>
        <v>94.4</v>
      </c>
      <c r="Q201" s="5">
        <f>VLOOKUP(Table2[[#This Row],[Visitor/Neutral]],pace_lookup,7,FALSE)</f>
        <v>96.7</v>
      </c>
      <c r="R201" s="9">
        <f t="shared" si="7"/>
        <v>3</v>
      </c>
      <c r="S201">
        <v>2.5</v>
      </c>
      <c r="T201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01">
        <v>1.2</v>
      </c>
      <c r="V201" s="2">
        <f>-home-VLOOKUP(Table2[[#This Row],[Home/Neutral]],rtg_vlookup,4,FALSE)+VLOOKUP(Table2[[#This Row],[Visitor/Neutral]],rtg_vlookup,4,FALSE)</f>
        <v>1.5248815165876692</v>
      </c>
      <c r="W201" s="25"/>
      <c r="X201" s="2"/>
      <c r="Y201" s="2">
        <f>Table2[[#This Row],[Away EV]]-Table2[[#This Row],[Home EV]]</f>
        <v>0.13756022239411436</v>
      </c>
      <c r="Z201" s="33" t="str">
        <f>IF(Table2[[#This Row],[Spread (V)]]&gt;Table2[[#This Row],[(A) Spread]],"HOME","AWAY")</f>
        <v>HOME</v>
      </c>
      <c r="AA201" s="37"/>
      <c r="AB201" t="b">
        <f>IF(VLOOKUP(Table2[[#This Row],[Home/Neutral]],division_lookup,9,FALSE)=VLOOKUP(Table2[[#This Row],[Visitor/Neutral]],division_lookup,9,FALSE),TRUE,FALSE)</f>
        <v>0</v>
      </c>
      <c r="AC201" s="19" t="str">
        <f>VLOOKUP(Table2[[#This Row],[Home/Neutral]],division_lookup,9,FALSE)</f>
        <v>C</v>
      </c>
      <c r="AD201" s="19"/>
      <c r="AE201" s="19" t="str">
        <f>IF(Table2[[#This Row],[Total EV ®]]&lt;Table2[[#This Row],[Total (V)]],"UNDER","OVER")</f>
        <v>OVER</v>
      </c>
      <c r="AF201" s="19">
        <f>Table2[[#This Row],[(A) Spread]]-Table2[[#This Row],[Spread (V)]]</f>
        <v>-1.3</v>
      </c>
      <c r="AG201" s="19"/>
      <c r="AH201" s="2">
        <f>Table2[[#This Row],[EV]]-Table2[[#This Row],[Spread (V)]]</f>
        <v>-2.3624397776058856</v>
      </c>
      <c r="AI201" s="22">
        <f>Table2[[#This Row],[(A)]]-Table2[[#This Row],[Spread]]</f>
        <v>-1.4751184834123308</v>
      </c>
      <c r="AJ201" s="1">
        <f>Table2[[#This Row],[(A) Err]]^2</f>
        <v>2.1759745401046948</v>
      </c>
      <c r="AK201" s="6">
        <f>Table2[[#This Row],[EV]]-Table2[[#This Row],[Spread]]</f>
        <v>-2.8624397776058856</v>
      </c>
      <c r="AL201" s="1">
        <f>Table2[[#This Row],[EV Err]]^2</f>
        <v>8.1935614804204313</v>
      </c>
    </row>
    <row r="202" spans="1:38" x14ac:dyDescent="0.25">
      <c r="A202" t="s">
        <v>70</v>
      </c>
      <c r="B202" t="s">
        <v>33</v>
      </c>
      <c r="C202" t="s">
        <v>10</v>
      </c>
      <c r="D202">
        <f>IF(Table2[[#This Row],[Spread]]&lt;Table2[[#This Row],[Spread (V)]],1,0)</f>
        <v>0</v>
      </c>
      <c r="E202">
        <v>83</v>
      </c>
      <c r="F202">
        <f>IF(Table2[[#This Row],[Spread]]&gt;Table2[[#This Row],[Spread (V)]],1,0)</f>
        <v>1</v>
      </c>
      <c r="G202">
        <v>120</v>
      </c>
      <c r="H202" s="9">
        <f t="shared" si="6"/>
        <v>203</v>
      </c>
      <c r="K202" s="25">
        <f>(Table2[[#This Row],[Home Pace]]/100)*(VLOOKUP(Table2[[#This Row],[Home/Neutral]],home_lookup,8,FALSE)+VLOOKUP(Table2[[#This Row],[Home/Neutral]],OFR_lookup,2,FALSE)+VLOOKUP(Table2[[#This Row],[Visitor/Neutral]],def_diff_lookup,6,FALSE))</f>
        <v>109.06073852057506</v>
      </c>
      <c r="L202" s="25"/>
      <c r="M202" s="25">
        <f>(Table2[[#This Row],[Away Pace]]/100)*(VLOOKUP(Table2[[#This Row],[Visitor/Neutral]],OFR_lookup,2,FALSE)+VLOOKUP(Table2[[#This Row],[Home/Neutral]],def_diff_lookup,6,FALSE))</f>
        <v>119.19718866666666</v>
      </c>
      <c r="N202" s="25"/>
      <c r="O202" s="25"/>
      <c r="P202">
        <f>VLOOKUP(Table2[[#This Row],[Home/Neutral]],pace_lookup,7,FALSE)</f>
        <v>98.2</v>
      </c>
      <c r="Q202" s="5">
        <f>VLOOKUP(Table2[[#This Row],[Visitor/Neutral]],pace_lookup,7,FALSE)</f>
        <v>100.3</v>
      </c>
      <c r="R202" s="9">
        <f t="shared" si="7"/>
        <v>37</v>
      </c>
      <c r="S202">
        <v>13</v>
      </c>
      <c r="T202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02">
        <v>7.1</v>
      </c>
      <c r="V202" s="2">
        <f>-home-VLOOKUP(Table2[[#This Row],[Home/Neutral]],rtg_vlookup,4,FALSE)+VLOOKUP(Table2[[#This Row],[Visitor/Neutral]],rtg_vlookup,4,FALSE)</f>
        <v>10.99488151658767</v>
      </c>
      <c r="W202" s="25"/>
      <c r="X202" s="2"/>
      <c r="Y202" s="2">
        <f>Table2[[#This Row],[Away EV]]-Table2[[#This Row],[Home EV]]</f>
        <v>10.136450146091605</v>
      </c>
      <c r="Z202" s="33" t="str">
        <f>IF(Table2[[#This Row],[Spread (V)]]&gt;Table2[[#This Row],[(A) Spread]],"HOME","AWAY")</f>
        <v>HOME</v>
      </c>
      <c r="AA202" s="37"/>
      <c r="AB202" t="b">
        <f>IF(VLOOKUP(Table2[[#This Row],[Home/Neutral]],division_lookup,9,FALSE)=VLOOKUP(Table2[[#This Row],[Visitor/Neutral]],division_lookup,9,FALSE),TRUE,FALSE)</f>
        <v>0</v>
      </c>
      <c r="AC202" s="19" t="str">
        <f>VLOOKUP(Table2[[#This Row],[Home/Neutral]],division_lookup,9,FALSE)</f>
        <v>C</v>
      </c>
      <c r="AD202" s="19"/>
      <c r="AE202" s="19" t="str">
        <f>IF(Table2[[#This Row],[Total EV ®]]&lt;Table2[[#This Row],[Total (V)]],"UNDER","OVER")</f>
        <v>OVER</v>
      </c>
      <c r="AF202" s="19">
        <f>Table2[[#This Row],[(A) Spread]]-Table2[[#This Row],[Spread (V)]]</f>
        <v>-5.9</v>
      </c>
      <c r="AG202" s="19"/>
      <c r="AH202" s="2">
        <f>Table2[[#This Row],[EV]]-Table2[[#This Row],[Spread (V)]]</f>
        <v>-2.8635498539083954</v>
      </c>
      <c r="AI202" s="22">
        <f>Table2[[#This Row],[(A)]]-Table2[[#This Row],[Spread]]</f>
        <v>-26.005118483412332</v>
      </c>
      <c r="AJ202" s="1">
        <f>Table2[[#This Row],[(A) Err]]^2</f>
        <v>676.26618733631369</v>
      </c>
      <c r="AK202" s="6">
        <f>Table2[[#This Row],[EV]]-Table2[[#This Row],[Spread]]</f>
        <v>-26.863549853908395</v>
      </c>
      <c r="AL202" s="1">
        <f>Table2[[#This Row],[EV Err]]^2</f>
        <v>721.65031075342176</v>
      </c>
    </row>
    <row r="203" spans="1:38" x14ac:dyDescent="0.25">
      <c r="A203" t="s">
        <v>70</v>
      </c>
      <c r="B203" t="s">
        <v>4</v>
      </c>
      <c r="C203" t="s">
        <v>14</v>
      </c>
      <c r="D203">
        <f>IF(Table2[[#This Row],[Spread]]&lt;Table2[[#This Row],[Spread (V)]],1,0)</f>
        <v>0</v>
      </c>
      <c r="E203">
        <v>123</v>
      </c>
      <c r="F203">
        <f>IF(Table2[[#This Row],[Spread]]&gt;Table2[[#This Row],[Spread (V)]],1,0)</f>
        <v>1</v>
      </c>
      <c r="G203">
        <v>115</v>
      </c>
      <c r="H203" s="9">
        <f t="shared" si="6"/>
        <v>238</v>
      </c>
      <c r="K203" s="25">
        <f>(Table2[[#This Row],[Home Pace]]/100)*(VLOOKUP(Table2[[#This Row],[Home/Neutral]],home_lookup,8,FALSE)+VLOOKUP(Table2[[#This Row],[Home/Neutral]],OFR_lookup,2,FALSE)+VLOOKUP(Table2[[#This Row],[Visitor/Neutral]],def_diff_lookup,6,FALSE))</f>
        <v>104.13648781393445</v>
      </c>
      <c r="L203" s="25"/>
      <c r="M203" s="25">
        <f>(Table2[[#This Row],[Away Pace]]/100)*(VLOOKUP(Table2[[#This Row],[Visitor/Neutral]],OFR_lookup,2,FALSE)+VLOOKUP(Table2[[#This Row],[Home/Neutral]],def_diff_lookup,6,FALSE))</f>
        <v>102.69994933333335</v>
      </c>
      <c r="N203" s="25"/>
      <c r="O203" s="25"/>
      <c r="P203">
        <f>VLOOKUP(Table2[[#This Row],[Home/Neutral]],pace_lookup,7,FALSE)</f>
        <v>96.6</v>
      </c>
      <c r="Q203" s="5">
        <f>VLOOKUP(Table2[[#This Row],[Visitor/Neutral]],pace_lookup,7,FALSE)</f>
        <v>95.9</v>
      </c>
      <c r="R203" s="9">
        <f t="shared" si="7"/>
        <v>-8</v>
      </c>
      <c r="S203">
        <v>-8.5</v>
      </c>
      <c r="T203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03">
        <v>-12.8</v>
      </c>
      <c r="V203" s="2">
        <f>-home-VLOOKUP(Table2[[#This Row],[Home/Neutral]],rtg_vlookup,4,FALSE)+VLOOKUP(Table2[[#This Row],[Visitor/Neutral]],rtg_vlookup,4,FALSE)</f>
        <v>-12.395118483412332</v>
      </c>
      <c r="W203" s="25"/>
      <c r="X203" s="2"/>
      <c r="Y203" s="2">
        <f>Table2[[#This Row],[Away EV]]-Table2[[#This Row],[Home EV]]</f>
        <v>-1.4365384806011008</v>
      </c>
      <c r="Z203" s="33" t="str">
        <f>IF(Table2[[#This Row],[Spread (V)]]&gt;Table2[[#This Row],[(A) Spread]],"HOME","AWAY")</f>
        <v>HOME</v>
      </c>
      <c r="AA203" s="37"/>
      <c r="AB203" t="b">
        <f>IF(VLOOKUP(Table2[[#This Row],[Home/Neutral]],division_lookup,9,FALSE)=VLOOKUP(Table2[[#This Row],[Visitor/Neutral]],division_lookup,9,FALSE),TRUE,FALSE)</f>
        <v>0</v>
      </c>
      <c r="AC203" s="19" t="str">
        <f>VLOOKUP(Table2[[#This Row],[Home/Neutral]],division_lookup,9,FALSE)</f>
        <v>P</v>
      </c>
      <c r="AD203" s="19"/>
      <c r="AE203" s="19" t="str">
        <f>IF(Table2[[#This Row],[Total EV ®]]&lt;Table2[[#This Row],[Total (V)]],"UNDER","OVER")</f>
        <v>OVER</v>
      </c>
      <c r="AF203" s="19">
        <f>Table2[[#This Row],[(A) Spread]]-Table2[[#This Row],[Spread (V)]]</f>
        <v>-4.3000000000000007</v>
      </c>
      <c r="AG203" s="19"/>
      <c r="AH203" s="2">
        <f>Table2[[#This Row],[EV]]-Table2[[#This Row],[Spread (V)]]</f>
        <v>7.0634615193988992</v>
      </c>
      <c r="AI203" s="22">
        <f>Table2[[#This Row],[(A)]]-Table2[[#This Row],[Spread]]</f>
        <v>-4.3951184834123325</v>
      </c>
      <c r="AJ203" s="1">
        <f>Table2[[#This Row],[(A) Err]]^2</f>
        <v>19.317066483232722</v>
      </c>
      <c r="AK203" s="6">
        <f>Table2[[#This Row],[EV]]-Table2[[#This Row],[Spread]]</f>
        <v>6.5634615193988992</v>
      </c>
      <c r="AL203" s="1">
        <f>Table2[[#This Row],[EV Err]]^2</f>
        <v>43.079027116630108</v>
      </c>
    </row>
    <row r="204" spans="1:38" x14ac:dyDescent="0.25">
      <c r="A204" t="s">
        <v>70</v>
      </c>
      <c r="B204" t="s">
        <v>30</v>
      </c>
      <c r="C204" t="s">
        <v>38</v>
      </c>
      <c r="D204">
        <f>IF(Table2[[#This Row],[Spread]]&lt;Table2[[#This Row],[Spread (V)]],1,0)</f>
        <v>0</v>
      </c>
      <c r="E204">
        <v>93</v>
      </c>
      <c r="F204">
        <f>IF(Table2[[#This Row],[Spread]]&gt;Table2[[#This Row],[Spread (V)]],1,0)</f>
        <v>1</v>
      </c>
      <c r="G204">
        <v>89</v>
      </c>
      <c r="H204" s="9">
        <f t="shared" si="6"/>
        <v>182</v>
      </c>
      <c r="K204" s="25">
        <f>(Table2[[#This Row],[Home Pace]]/100)*(VLOOKUP(Table2[[#This Row],[Home/Neutral]],home_lookup,8,FALSE)+VLOOKUP(Table2[[#This Row],[Home/Neutral]],OFR_lookup,2,FALSE)+VLOOKUP(Table2[[#This Row],[Visitor/Neutral]],def_diff_lookup,6,FALSE))</f>
        <v>109.18680034993645</v>
      </c>
      <c r="L204" s="25"/>
      <c r="M204" s="25">
        <f>(Table2[[#This Row],[Away Pace]]/100)*(VLOOKUP(Table2[[#This Row],[Visitor/Neutral]],OFR_lookup,2,FALSE)+VLOOKUP(Table2[[#This Row],[Home/Neutral]],def_diff_lookup,6,FALSE))</f>
        <v>94.831768000000025</v>
      </c>
      <c r="N204" s="25"/>
      <c r="O204" s="25"/>
      <c r="P204">
        <f>VLOOKUP(Table2[[#This Row],[Home/Neutral]],pace_lookup,7,FALSE)</f>
        <v>96.8</v>
      </c>
      <c r="Q204" s="5">
        <f>VLOOKUP(Table2[[#This Row],[Visitor/Neutral]],pace_lookup,7,FALSE)</f>
        <v>94.2</v>
      </c>
      <c r="R204" s="9">
        <f t="shared" si="7"/>
        <v>-4</v>
      </c>
      <c r="S204">
        <v>-5</v>
      </c>
      <c r="T204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04">
        <v>-9.5</v>
      </c>
      <c r="V204" s="2">
        <f>-home-VLOOKUP(Table2[[#This Row],[Home/Neutral]],rtg_vlookup,4,FALSE)+VLOOKUP(Table2[[#This Row],[Visitor/Neutral]],rtg_vlookup,4,FALSE)</f>
        <v>-8.9051184834123305</v>
      </c>
      <c r="W204" s="25"/>
      <c r="X204" s="2"/>
      <c r="Y204" s="2">
        <f>Table2[[#This Row],[Away EV]]-Table2[[#This Row],[Home EV]]</f>
        <v>-14.355032349936423</v>
      </c>
      <c r="Z204" s="33" t="str">
        <f>IF(Table2[[#This Row],[Spread (V)]]&gt;Table2[[#This Row],[(A) Spread]],"HOME","AWAY")</f>
        <v>HOME</v>
      </c>
      <c r="AA204" s="37"/>
      <c r="AB204" t="b">
        <f>IF(VLOOKUP(Table2[[#This Row],[Home/Neutral]],division_lookup,9,FALSE)=VLOOKUP(Table2[[#This Row],[Visitor/Neutral]],division_lookup,9,FALSE),TRUE,FALSE)</f>
        <v>0</v>
      </c>
      <c r="AC204" s="19" t="str">
        <f>VLOOKUP(Table2[[#This Row],[Home/Neutral]],division_lookup,9,FALSE)</f>
        <v>C</v>
      </c>
      <c r="AD204" s="19"/>
      <c r="AE204" s="19" t="str">
        <f>IF(Table2[[#This Row],[Total EV ®]]&lt;Table2[[#This Row],[Total (V)]],"UNDER","OVER")</f>
        <v>OVER</v>
      </c>
      <c r="AF204" s="19">
        <f>Table2[[#This Row],[(A) Spread]]-Table2[[#This Row],[Spread (V)]]</f>
        <v>-4.5</v>
      </c>
      <c r="AG204" s="19"/>
      <c r="AH204" s="2">
        <f>Table2[[#This Row],[EV]]-Table2[[#This Row],[Spread (V)]]</f>
        <v>-9.3550323499364225</v>
      </c>
      <c r="AI204" s="22">
        <f>Table2[[#This Row],[(A)]]-Table2[[#This Row],[Spread]]</f>
        <v>-4.9051184834123305</v>
      </c>
      <c r="AJ204" s="1">
        <f>Table2[[#This Row],[(A) Err]]^2</f>
        <v>24.06018733631328</v>
      </c>
      <c r="AK204" s="6">
        <f>Table2[[#This Row],[EV]]-Table2[[#This Row],[Spread]]</f>
        <v>-10.355032349936423</v>
      </c>
      <c r="AL204" s="1">
        <f>Table2[[#This Row],[EV Err]]^2</f>
        <v>107.22669496822982</v>
      </c>
    </row>
    <row r="205" spans="1:38" x14ac:dyDescent="0.25">
      <c r="A205" t="s">
        <v>70</v>
      </c>
      <c r="B205" t="s">
        <v>22</v>
      </c>
      <c r="C205" t="s">
        <v>26</v>
      </c>
      <c r="D205">
        <f>IF(Table2[[#This Row],[Spread]]&lt;Table2[[#This Row],[Spread (V)]],1,0)</f>
        <v>0</v>
      </c>
      <c r="E205">
        <v>93</v>
      </c>
      <c r="F205">
        <f>IF(Table2[[#This Row],[Spread]]&gt;Table2[[#This Row],[Spread (V)]],1,0)</f>
        <v>1</v>
      </c>
      <c r="G205">
        <v>99</v>
      </c>
      <c r="H205" s="9">
        <f t="shared" si="6"/>
        <v>192</v>
      </c>
      <c r="K205" s="25">
        <f>(Table2[[#This Row],[Home Pace]]/100)*(VLOOKUP(Table2[[#This Row],[Home/Neutral]],home_lookup,8,FALSE)+VLOOKUP(Table2[[#This Row],[Home/Neutral]],OFR_lookup,2,FALSE)+VLOOKUP(Table2[[#This Row],[Visitor/Neutral]],def_diff_lookup,6,FALSE))</f>
        <v>112.58265922968977</v>
      </c>
      <c r="L205" s="25"/>
      <c r="M205" s="25">
        <f>(Table2[[#This Row],[Away Pace]]/100)*(VLOOKUP(Table2[[#This Row],[Visitor/Neutral]],OFR_lookup,2,FALSE)+VLOOKUP(Table2[[#This Row],[Home/Neutral]],def_diff_lookup,6,FALSE))</f>
        <v>107.39584000000001</v>
      </c>
      <c r="N205" s="25"/>
      <c r="O205" s="25"/>
      <c r="P205">
        <f>VLOOKUP(Table2[[#This Row],[Home/Neutral]],pace_lookup,7,FALSE)</f>
        <v>94.7</v>
      </c>
      <c r="Q205" s="5">
        <f>VLOOKUP(Table2[[#This Row],[Visitor/Neutral]],pace_lookup,7,FALSE)</f>
        <v>96</v>
      </c>
      <c r="R205" s="9">
        <f t="shared" si="7"/>
        <v>6</v>
      </c>
      <c r="S205">
        <v>2</v>
      </c>
      <c r="T205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05">
        <v>-5.2</v>
      </c>
      <c r="V205" s="2">
        <f>-home-VLOOKUP(Table2[[#This Row],[Home/Neutral]],rtg_vlookup,4,FALSE)+VLOOKUP(Table2[[#This Row],[Visitor/Neutral]],rtg_vlookup,4,FALSE)</f>
        <v>-3.8551184834123307</v>
      </c>
      <c r="W205" s="25"/>
      <c r="X205" s="2"/>
      <c r="Y205" s="2">
        <f>Table2[[#This Row],[Away EV]]-Table2[[#This Row],[Home EV]]</f>
        <v>-5.1868192296897604</v>
      </c>
      <c r="Z205" s="33" t="str">
        <f>IF(Table2[[#This Row],[Spread (V)]]&gt;Table2[[#This Row],[(A) Spread]],"HOME","AWAY")</f>
        <v>HOME</v>
      </c>
      <c r="AA205" s="37"/>
      <c r="AB205" t="b">
        <f>IF(VLOOKUP(Table2[[#This Row],[Home/Neutral]],division_lookup,9,FALSE)=VLOOKUP(Table2[[#This Row],[Visitor/Neutral]],division_lookup,9,FALSE),TRUE,FALSE)</f>
        <v>0</v>
      </c>
      <c r="AC205" s="19" t="str">
        <f>VLOOKUP(Table2[[#This Row],[Home/Neutral]],division_lookup,9,FALSE)</f>
        <v>NW</v>
      </c>
      <c r="AD205" s="19"/>
      <c r="AE205" s="19" t="str">
        <f>IF(Table2[[#This Row],[Total EV ®]]&lt;Table2[[#This Row],[Total (V)]],"UNDER","OVER")</f>
        <v>OVER</v>
      </c>
      <c r="AF205" s="19">
        <f>Table2[[#This Row],[(A) Spread]]-Table2[[#This Row],[Spread (V)]]</f>
        <v>-7.2</v>
      </c>
      <c r="AG205" s="19"/>
      <c r="AH205" s="2">
        <f>Table2[[#This Row],[EV]]-Table2[[#This Row],[Spread (V)]]</f>
        <v>-7.1868192296897604</v>
      </c>
      <c r="AI205" s="22">
        <f>Table2[[#This Row],[(A)]]-Table2[[#This Row],[Spread]]</f>
        <v>-9.8551184834123298</v>
      </c>
      <c r="AJ205" s="1">
        <f>Table2[[#This Row],[(A) Err]]^2</f>
        <v>97.123360322095337</v>
      </c>
      <c r="AK205" s="6">
        <f>Table2[[#This Row],[EV]]-Table2[[#This Row],[Spread]]</f>
        <v>-11.18681922968976</v>
      </c>
      <c r="AL205" s="1">
        <f>Table2[[#This Row],[EV Err]]^2</f>
        <v>125.1449244777566</v>
      </c>
    </row>
    <row r="206" spans="1:38" x14ac:dyDescent="0.25">
      <c r="A206" t="s">
        <v>70</v>
      </c>
      <c r="B206" t="s">
        <v>39</v>
      </c>
      <c r="C206" t="s">
        <v>21</v>
      </c>
      <c r="D206">
        <f>IF(Table2[[#This Row],[Spread]]&lt;Table2[[#This Row],[Spread (V)]],1,0)</f>
        <v>1</v>
      </c>
      <c r="E206">
        <v>101</v>
      </c>
      <c r="F206">
        <f>IF(Table2[[#This Row],[Spread]]&gt;Table2[[#This Row],[Spread (V)]],1,0)</f>
        <v>0</v>
      </c>
      <c r="G206">
        <v>94</v>
      </c>
      <c r="H206" s="9">
        <f t="shared" si="6"/>
        <v>195</v>
      </c>
      <c r="K206" s="25">
        <f>(Table2[[#This Row],[Home Pace]]/100)*(VLOOKUP(Table2[[#This Row],[Home/Neutral]],home_lookup,8,FALSE)+VLOOKUP(Table2[[#This Row],[Home/Neutral]],OFR_lookup,2,FALSE)+VLOOKUP(Table2[[#This Row],[Visitor/Neutral]],def_diff_lookup,6,FALSE))</f>
        <v>103.66202211468578</v>
      </c>
      <c r="L206" s="25"/>
      <c r="M206" s="25">
        <f>(Table2[[#This Row],[Away Pace]]/100)*(VLOOKUP(Table2[[#This Row],[Visitor/Neutral]],OFR_lookup,2,FALSE)+VLOOKUP(Table2[[#This Row],[Home/Neutral]],def_diff_lookup,6,FALSE))</f>
        <v>99.362788000000023</v>
      </c>
      <c r="N206" s="25"/>
      <c r="O206" s="25"/>
      <c r="P206">
        <f>VLOOKUP(Table2[[#This Row],[Home/Neutral]],pace_lookup,7,FALSE)</f>
        <v>97.5</v>
      </c>
      <c r="Q206" s="5">
        <f>VLOOKUP(Table2[[#This Row],[Visitor/Neutral]],pace_lookup,7,FALSE)</f>
        <v>94.2</v>
      </c>
      <c r="R206" s="9">
        <f t="shared" si="7"/>
        <v>-7</v>
      </c>
      <c r="S206">
        <v>4.5</v>
      </c>
      <c r="T206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06">
        <v>8.6999999999999993</v>
      </c>
      <c r="V206" s="2">
        <f>-home-VLOOKUP(Table2[[#This Row],[Home/Neutral]],rtg_vlookup,4,FALSE)+VLOOKUP(Table2[[#This Row],[Visitor/Neutral]],rtg_vlookup,4,FALSE)</f>
        <v>6.454881516587669</v>
      </c>
      <c r="W206" s="25"/>
      <c r="X206" s="2"/>
      <c r="Y206" s="2">
        <f>Table2[[#This Row],[Away EV]]-Table2[[#This Row],[Home EV]]</f>
        <v>-4.2992341146857598</v>
      </c>
      <c r="Z206" s="33" t="str">
        <f>IF(Table2[[#This Row],[Spread (V)]]&gt;Table2[[#This Row],[(A) Spread]],"HOME","AWAY")</f>
        <v>AWAY</v>
      </c>
      <c r="AA206" s="37"/>
      <c r="AB206" t="b">
        <f>IF(VLOOKUP(Table2[[#This Row],[Home/Neutral]],division_lookup,9,FALSE)=VLOOKUP(Table2[[#This Row],[Visitor/Neutral]],division_lookup,9,FALSE),TRUE,FALSE)</f>
        <v>0</v>
      </c>
      <c r="AC206" s="19" t="str">
        <f>VLOOKUP(Table2[[#This Row],[Home/Neutral]],division_lookup,9,FALSE)</f>
        <v>A</v>
      </c>
      <c r="AD206" s="19"/>
      <c r="AE206" s="19" t="str">
        <f>IF(Table2[[#This Row],[Total EV ®]]&lt;Table2[[#This Row],[Total (V)]],"UNDER","OVER")</f>
        <v>OVER</v>
      </c>
      <c r="AF206" s="19">
        <f>Table2[[#This Row],[(A) Spread]]-Table2[[#This Row],[Spread (V)]]</f>
        <v>4.1999999999999993</v>
      </c>
      <c r="AG206" s="19"/>
      <c r="AH206" s="2">
        <f>Table2[[#This Row],[EV]]-Table2[[#This Row],[Spread (V)]]</f>
        <v>-8.7992341146857598</v>
      </c>
      <c r="AI206" s="22">
        <f>Table2[[#This Row],[(A)]]-Table2[[#This Row],[Spread]]</f>
        <v>13.454881516587669</v>
      </c>
      <c r="AJ206" s="1">
        <f>Table2[[#This Row],[(A) Err]]^2</f>
        <v>181.03383662541248</v>
      </c>
      <c r="AK206" s="6">
        <f>Table2[[#This Row],[EV]]-Table2[[#This Row],[Spread]]</f>
        <v>2.7007658853142402</v>
      </c>
      <c r="AL206" s="1">
        <f>Table2[[#This Row],[EV Err]]^2</f>
        <v>7.2941363672772122</v>
      </c>
    </row>
    <row r="207" spans="1:38" x14ac:dyDescent="0.25">
      <c r="A207" t="s">
        <v>70</v>
      </c>
      <c r="B207" t="s">
        <v>6</v>
      </c>
      <c r="C207" t="s">
        <v>37</v>
      </c>
      <c r="D207">
        <f>IF(Table2[[#This Row],[Spread]]&lt;Table2[[#This Row],[Spread (V)]],1,0)</f>
        <v>0</v>
      </c>
      <c r="E207">
        <v>96</v>
      </c>
      <c r="F207">
        <f>IF(Table2[[#This Row],[Spread]]&gt;Table2[[#This Row],[Spread (V)]],1,0)</f>
        <v>1</v>
      </c>
      <c r="G207">
        <v>91</v>
      </c>
      <c r="H207" s="9">
        <f t="shared" si="6"/>
        <v>187</v>
      </c>
      <c r="K207" s="25">
        <f>(Table2[[#This Row],[Home Pace]]/100)*(VLOOKUP(Table2[[#This Row],[Home/Neutral]],home_lookup,8,FALSE)+VLOOKUP(Table2[[#This Row],[Home/Neutral]],OFR_lookup,2,FALSE)+VLOOKUP(Table2[[#This Row],[Visitor/Neutral]],def_diff_lookup,6,FALSE))</f>
        <v>100.18270787062244</v>
      </c>
      <c r="L207" s="25"/>
      <c r="M207" s="25">
        <f>(Table2[[#This Row],[Away Pace]]/100)*(VLOOKUP(Table2[[#This Row],[Visitor/Neutral]],OFR_lookup,2,FALSE)+VLOOKUP(Table2[[#This Row],[Home/Neutral]],def_diff_lookup,6,FALSE))</f>
        <v>86.077274000000003</v>
      </c>
      <c r="N207" s="25"/>
      <c r="O207" s="25"/>
      <c r="P207">
        <f>VLOOKUP(Table2[[#This Row],[Home/Neutral]],pace_lookup,7,FALSE)</f>
        <v>93.1</v>
      </c>
      <c r="Q207" s="5">
        <f>VLOOKUP(Table2[[#This Row],[Visitor/Neutral]],pace_lookup,7,FALSE)</f>
        <v>92.1</v>
      </c>
      <c r="R207" s="9">
        <f t="shared" si="7"/>
        <v>-5</v>
      </c>
      <c r="S207">
        <v>-15.5</v>
      </c>
      <c r="T207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07">
        <v>-19.399999999999999</v>
      </c>
      <c r="V207" s="2">
        <f>-home-VLOOKUP(Table2[[#This Row],[Home/Neutral]],rtg_vlookup,4,FALSE)+VLOOKUP(Table2[[#This Row],[Visitor/Neutral]],rtg_vlookup,4,FALSE)</f>
        <v>-17.205118483412331</v>
      </c>
      <c r="W207" s="25"/>
      <c r="X207" s="2"/>
      <c r="Y207" s="2">
        <f>Table2[[#This Row],[Away EV]]-Table2[[#This Row],[Home EV]]</f>
        <v>-14.105433870622434</v>
      </c>
      <c r="Z207" s="33" t="str">
        <f>IF(Table2[[#This Row],[Spread (V)]]&gt;Table2[[#This Row],[(A) Spread]],"HOME","AWAY")</f>
        <v>HOME</v>
      </c>
      <c r="AA207" s="37"/>
      <c r="AB207" t="b">
        <f>IF(VLOOKUP(Table2[[#This Row],[Home/Neutral]],division_lookup,9,FALSE)=VLOOKUP(Table2[[#This Row],[Visitor/Neutral]],division_lookup,9,FALSE),TRUE,FALSE)</f>
        <v>1</v>
      </c>
      <c r="AC207" s="19" t="str">
        <f>VLOOKUP(Table2[[#This Row],[Home/Neutral]],division_lookup,9,FALSE)</f>
        <v>SW</v>
      </c>
      <c r="AD207" s="19"/>
      <c r="AE207" s="19" t="str">
        <f>IF(Table2[[#This Row],[Total EV ®]]&lt;Table2[[#This Row],[Total (V)]],"UNDER","OVER")</f>
        <v>OVER</v>
      </c>
      <c r="AF207" s="19">
        <f>Table2[[#This Row],[(A) Spread]]-Table2[[#This Row],[Spread (V)]]</f>
        <v>-3.8999999999999986</v>
      </c>
      <c r="AG207" s="19"/>
      <c r="AH207" s="2">
        <f>Table2[[#This Row],[EV]]-Table2[[#This Row],[Spread (V)]]</f>
        <v>1.3945661293775657</v>
      </c>
      <c r="AI207" s="22">
        <f>Table2[[#This Row],[(A)]]-Table2[[#This Row],[Spread]]</f>
        <v>-12.205118483412331</v>
      </c>
      <c r="AJ207" s="1">
        <f>Table2[[#This Row],[(A) Err]]^2</f>
        <v>148.96491719413333</v>
      </c>
      <c r="AK207" s="6">
        <f>Table2[[#This Row],[EV]]-Table2[[#This Row],[Spread]]</f>
        <v>-9.1054338706224343</v>
      </c>
      <c r="AL207" s="1">
        <f>Table2[[#This Row],[EV Err]]^2</f>
        <v>82.90892597227824</v>
      </c>
    </row>
    <row r="208" spans="1:38" ht="15.75" thickBot="1" x14ac:dyDescent="0.3">
      <c r="A208" s="3" t="s">
        <v>70</v>
      </c>
      <c r="B208" s="3" t="s">
        <v>28</v>
      </c>
      <c r="C208" s="3" t="s">
        <v>36</v>
      </c>
      <c r="D208" s="3">
        <f>IF(Table2[[#This Row],[Spread]]&lt;Table2[[#This Row],[Spread (V)]],1,0)</f>
        <v>0</v>
      </c>
      <c r="E208" s="3">
        <v>106</v>
      </c>
      <c r="F208" s="3">
        <f>IF(Table2[[#This Row],[Spread]]&gt;Table2[[#This Row],[Spread (V)]],1,0)</f>
        <v>1</v>
      </c>
      <c r="G208" s="3">
        <v>101</v>
      </c>
      <c r="H208" s="10">
        <f t="shared" si="6"/>
        <v>207</v>
      </c>
      <c r="I208" s="3"/>
      <c r="J208" s="3"/>
      <c r="K208" s="26">
        <f>(Table2[[#This Row],[Home Pace]]/100)*(VLOOKUP(Table2[[#This Row],[Home/Neutral]],home_lookup,8,FALSE)+VLOOKUP(Table2[[#This Row],[Home/Neutral]],OFR_lookup,2,FALSE)+VLOOKUP(Table2[[#This Row],[Visitor/Neutral]],def_diff_lookup,6,FALSE))</f>
        <v>111.06959553204273</v>
      </c>
      <c r="L208" s="26"/>
      <c r="M208" s="26">
        <f>(Table2[[#This Row],[Away Pace]]/100)*(VLOOKUP(Table2[[#This Row],[Visitor/Neutral]],OFR_lookup,2,FALSE)+VLOOKUP(Table2[[#This Row],[Home/Neutral]],def_diff_lookup,6,FALSE))</f>
        <v>108.27136133333336</v>
      </c>
      <c r="N208" s="26"/>
      <c r="O208" s="26"/>
      <c r="P208" s="3">
        <f>VLOOKUP(Table2[[#This Row],[Home/Neutral]],pace_lookup,7,FALSE)</f>
        <v>96.3</v>
      </c>
      <c r="Q208" s="3">
        <f>VLOOKUP(Table2[[#This Row],[Visitor/Neutral]],pace_lookup,7,FALSE)</f>
        <v>102.2</v>
      </c>
      <c r="R208" s="10">
        <f t="shared" si="7"/>
        <v>-5</v>
      </c>
      <c r="S208" s="3">
        <v>-8</v>
      </c>
      <c r="T208" s="3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1</v>
      </c>
      <c r="U208" s="3">
        <v>-7.5</v>
      </c>
      <c r="V208" s="12">
        <f>-home-VLOOKUP(Table2[[#This Row],[Home/Neutral]],rtg_vlookup,4,FALSE)+VLOOKUP(Table2[[#This Row],[Visitor/Neutral]],rtg_vlookup,4,FALSE)</f>
        <v>-7.0151184834123308</v>
      </c>
      <c r="W208" s="26"/>
      <c r="X208" s="12"/>
      <c r="Y208" s="12">
        <f>Table2[[#This Row],[Away EV]]-Table2[[#This Row],[Home EV]]</f>
        <v>-2.7982341987093662</v>
      </c>
      <c r="Z208" s="35" t="str">
        <f>IF(Table2[[#This Row],[Spread (V)]]&gt;Table2[[#This Row],[(A) Spread]],"HOME","AWAY")</f>
        <v>AWAY</v>
      </c>
      <c r="AA208" s="36"/>
      <c r="AB208" s="3" t="b">
        <f>IF(VLOOKUP(Table2[[#This Row],[Home/Neutral]],division_lookup,9,FALSE)=VLOOKUP(Table2[[#This Row],[Visitor/Neutral]],division_lookup,9,FALSE),TRUE,FALSE)</f>
        <v>0</v>
      </c>
      <c r="AC208" s="20" t="str">
        <f>VLOOKUP(Table2[[#This Row],[Home/Neutral]],division_lookup,9,FALSE)</f>
        <v>SE</v>
      </c>
      <c r="AD208" s="20"/>
      <c r="AE208" s="20" t="str">
        <f>IF(Table2[[#This Row],[Total EV ®]]&lt;Table2[[#This Row],[Total (V)]],"UNDER","OVER")</f>
        <v>OVER</v>
      </c>
      <c r="AF208" s="20">
        <f>Table2[[#This Row],[(A) Spread]]-Table2[[#This Row],[Spread (V)]]</f>
        <v>0.5</v>
      </c>
      <c r="AG208" s="20"/>
      <c r="AH208" s="12">
        <f>Table2[[#This Row],[EV]]-Table2[[#This Row],[Spread (V)]]</f>
        <v>5.2017658012906338</v>
      </c>
      <c r="AI208" s="23">
        <f>Table2[[#This Row],[(A)]]-Table2[[#This Row],[Spread]]</f>
        <v>-2.0151184834123308</v>
      </c>
      <c r="AJ208" s="4">
        <f>Table2[[#This Row],[(A) Err]]^2</f>
        <v>4.0607025021900123</v>
      </c>
      <c r="AK208" s="6">
        <f>Table2[[#This Row],[EV]]-Table2[[#This Row],[Spread]]</f>
        <v>2.2017658012906338</v>
      </c>
      <c r="AL208" s="1">
        <f>Table2[[#This Row],[EV Err]]^2</f>
        <v>4.8477726437329869</v>
      </c>
    </row>
    <row r="209" spans="1:38" x14ac:dyDescent="0.25">
      <c r="A209" s="55" t="s">
        <v>71</v>
      </c>
      <c r="B209" s="55" t="s">
        <v>11</v>
      </c>
      <c r="C209" s="55" t="s">
        <v>34</v>
      </c>
      <c r="D209" s="55">
        <f>IF(Table2[[#This Row],[Spread]]&lt;Table2[[#This Row],[Spread (V)]],1,0)</f>
        <v>0</v>
      </c>
      <c r="E209" s="55">
        <v>94</v>
      </c>
      <c r="F209" s="55">
        <f>IF(Table2[[#This Row],[Spread]]&gt;Table2[[#This Row],[Spread (V)]],1,0)</f>
        <v>1</v>
      </c>
      <c r="G209" s="55">
        <v>112</v>
      </c>
      <c r="H209" s="56">
        <f>Table2[[#This Row],[Home Pts]]+Table2[[#This Row],[Away Pts]]</f>
        <v>206</v>
      </c>
      <c r="I209" s="55">
        <v>210</v>
      </c>
      <c r="J209" s="55">
        <v>98</v>
      </c>
      <c r="K209" s="57">
        <f>(Table2[[#This Row],[Home Pace]]/100)*(VLOOKUP(Table2[[#This Row],[Home/Neutral]],home_lookup,8,FALSE)+VLOOKUP(Table2[[#This Row],[Home/Neutral]],OFR_lookup,2,FALSE)+VLOOKUP(Table2[[#This Row],[Visitor/Neutral]],def_diff_lookup,6,FALSE))</f>
        <v>98.251159044072821</v>
      </c>
      <c r="L209" s="57">
        <v>92</v>
      </c>
      <c r="M209" s="57">
        <f>(Table2[[#This Row],[Away Pace]]/100)*(VLOOKUP(Table2[[#This Row],[Visitor/Neutral]],OFR_lookup,2,FALSE)+VLOOKUP(Table2[[#This Row],[Home/Neutral]],def_diff_lookup,6,FALSE))</f>
        <v>92.102018666666666</v>
      </c>
      <c r="N209" s="58">
        <f>IF(OR(AND(Table2[[#This Row],[Total EV ®]]&gt;Table2[[#This Row],[Total (V)]],Table2[[#This Row],[Total]]&gt;Table2[[#This Row],[Total (V)]]),AND(Table2[[#This Row],[Total EV ®]]&lt;Table2[[#This Row],[Total (V)]],Table2[[#This Row],[Total]]&lt;Table2[[#This Row],[Total (V)]])),1,0)</f>
        <v>1</v>
      </c>
      <c r="O209" s="57">
        <f>Table2[[#This Row],[Home EV ®]]+Table2[[#This Row],[Away EV ®]]</f>
        <v>190</v>
      </c>
      <c r="P209" s="55">
        <f>VLOOKUP(Table2[[#This Row],[Home/Neutral]],pace_lookup,7,FALSE)</f>
        <v>99.7</v>
      </c>
      <c r="Q209" s="58">
        <f>VLOOKUP(Table2[[#This Row],[Visitor/Neutral]],pace_lookup,7,FALSE)</f>
        <v>98.8</v>
      </c>
      <c r="R209" s="56">
        <f>Table2[[#This Row],[Away Pts]]-Table2[[#This Row],[Home Pts]]</f>
        <v>18</v>
      </c>
      <c r="S209" s="55">
        <v>-8.5</v>
      </c>
      <c r="T209" s="58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09" s="55">
        <v>-14.2</v>
      </c>
      <c r="V209" s="59">
        <f>-home-VLOOKUP(Table2[[#This Row],[Home/Neutral]],rtg_vlookup,4,FALSE)+VLOOKUP(Table2[[#This Row],[Visitor/Neutral]],rtg_vlookup,4,FALSE)</f>
        <v>-14.075118483412332</v>
      </c>
      <c r="W209" s="57">
        <f>IF(OR(AND(Table2[[#This Row],[Real EV]]&gt;Table2[[#This Row],[Spread (V)]],Table2[[#This Row],[Spread]]&gt;Table2[[#This Row],[Spread (V)]]),AND(Table2[[#This Row],[Real EV]]&lt;Table2[[#This Row],[Spread (V)]],Table2[[#This Row],[Spread]]&lt;Table2[[#This Row],[Spread (V)]])),1,0)</f>
        <v>1</v>
      </c>
      <c r="X209" s="59">
        <v>-6.15</v>
      </c>
      <c r="Y209" s="59">
        <f>Table2[[#This Row],[Away EV]]-Table2[[#This Row],[Home EV]]</f>
        <v>-6.1491403774061553</v>
      </c>
      <c r="Z209" s="33" t="str">
        <f>IF(Table2[[#This Row],[Spread (V)]]&gt;Table2[[#This Row],[(A) Spread]],"HOME","AWAY")</f>
        <v>HOME</v>
      </c>
      <c r="AA209" s="37" t="str">
        <f>IF(Table2[[#This Row],[Spread (V)]]&gt;Table2[[#This Row],[Real EV]],"HOME","AWAY")</f>
        <v>AWAY</v>
      </c>
      <c r="AB209" t="b">
        <f>IF(VLOOKUP(Table2[[#This Row],[Home/Neutral]],division_lookup,9,FALSE)=VLOOKUP(Table2[[#This Row],[Visitor/Neutral]],division_lookup,9,FALSE),TRUE,FALSE)</f>
        <v>0</v>
      </c>
      <c r="AC209" s="19" t="str">
        <f>VLOOKUP(Table2[[#This Row],[Home/Neutral]],division_lookup,9,FALSE)</f>
        <v>SE</v>
      </c>
      <c r="AD209" s="19">
        <v>-5.7</v>
      </c>
      <c r="AE209" s="19" t="str">
        <f>IF(Table2[[#This Row],[Total EV ®]]&lt;Table2[[#This Row],[Total (V)]],"UNDER","OVER")</f>
        <v>UNDER</v>
      </c>
      <c r="AF209" s="19">
        <f>Table2[[#This Row],[(A) Spread]]-Table2[[#This Row],[Spread (V)]]</f>
        <v>-5.6999999999999993</v>
      </c>
      <c r="AG209" s="19">
        <v>2.4</v>
      </c>
      <c r="AH209" s="2">
        <f>Table2[[#This Row],[EV]]-Table2[[#This Row],[Spread (V)]]</f>
        <v>2.3508596225938447</v>
      </c>
      <c r="AI209" s="22">
        <f>Table2[[#This Row],[(A)]]-Table2[[#This Row],[Spread]]</f>
        <v>-32.075118483412332</v>
      </c>
      <c r="AJ209" s="1">
        <f>Table2[[#This Row],[(A) Err]]^2</f>
        <v>1028.8132257249395</v>
      </c>
      <c r="AK209" s="6">
        <f>Table2[[#This Row],[EV]]-Table2[[#This Row],[Spread]]</f>
        <v>-24.149140377406155</v>
      </c>
      <c r="AL209" s="1">
        <f>Table2[[#This Row],[EV Err]]^2</f>
        <v>583.18098096766835</v>
      </c>
    </row>
    <row r="210" spans="1:38" x14ac:dyDescent="0.25">
      <c r="A210" s="55" t="s">
        <v>71</v>
      </c>
      <c r="B210" s="55" t="s">
        <v>27</v>
      </c>
      <c r="C210" s="55" t="s">
        <v>13</v>
      </c>
      <c r="D210" s="55">
        <f>IF(Table2[[#This Row],[Spread]]&lt;Table2[[#This Row],[Spread (V)]],1,0)</f>
        <v>1</v>
      </c>
      <c r="E210" s="55">
        <v>110</v>
      </c>
      <c r="F210" s="55">
        <f>IF(Table2[[#This Row],[Spread]]&gt;Table2[[#This Row],[Spread (V)]],1,0)</f>
        <v>0</v>
      </c>
      <c r="G210" s="55">
        <v>107</v>
      </c>
      <c r="H210" s="56">
        <f>Table2[[#This Row],[Home Pts]]+Table2[[#This Row],[Away Pts]]</f>
        <v>217</v>
      </c>
      <c r="I210" s="55">
        <v>208</v>
      </c>
      <c r="J210" s="55">
        <v>104</v>
      </c>
      <c r="K210" s="57">
        <f>(Table2[[#This Row],[Home Pace]]/100)*(VLOOKUP(Table2[[#This Row],[Home/Neutral]],home_lookup,8,FALSE)+VLOOKUP(Table2[[#This Row],[Home/Neutral]],OFR_lookup,2,FALSE)+VLOOKUP(Table2[[#This Row],[Visitor/Neutral]],def_diff_lookup,6,FALSE))</f>
        <v>103.87215642647259</v>
      </c>
      <c r="L210" s="57">
        <v>105</v>
      </c>
      <c r="M210" s="57">
        <f>(Table2[[#This Row],[Away Pace]]/100)*(VLOOKUP(Table2[[#This Row],[Visitor/Neutral]],OFR_lookup,2,FALSE)+VLOOKUP(Table2[[#This Row],[Home/Neutral]],def_diff_lookup,6,FALSE))</f>
        <v>104.74443000000001</v>
      </c>
      <c r="N210" s="58">
        <f>IF(OR(AND(Table2[[#This Row],[Total EV ®]]&gt;Table2[[#This Row],[Total (V)]],Table2[[#This Row],[Total]]&gt;Table2[[#This Row],[Total (V)]]),AND(Table2[[#This Row],[Total EV ®]]&lt;Table2[[#This Row],[Total (V)]],Table2[[#This Row],[Total]]&lt;Table2[[#This Row],[Total (V)]])),1,0)</f>
        <v>1</v>
      </c>
      <c r="O210" s="57">
        <f>Table2[[#This Row],[Home EV ®]]+Table2[[#This Row],[Away EV ®]]</f>
        <v>209</v>
      </c>
      <c r="P210" s="55">
        <f>VLOOKUP(Table2[[#This Row],[Home/Neutral]],pace_lookup,7,FALSE)</f>
        <v>99</v>
      </c>
      <c r="Q210" s="58">
        <f>VLOOKUP(Table2[[#This Row],[Visitor/Neutral]],pace_lookup,7,FALSE)</f>
        <v>94.5</v>
      </c>
      <c r="R210" s="56">
        <f>Table2[[#This Row],[Away Pts]]-Table2[[#This Row],[Home Pts]]</f>
        <v>-3</v>
      </c>
      <c r="S210" s="55">
        <v>1.5</v>
      </c>
      <c r="T210" s="58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0</v>
      </c>
      <c r="U210" s="55">
        <v>3.4</v>
      </c>
      <c r="V210" s="59">
        <f>-home-VLOOKUP(Table2[[#This Row],[Home/Neutral]],rtg_vlookup,4,FALSE)+VLOOKUP(Table2[[#This Row],[Visitor/Neutral]],rtg_vlookup,4,FALSE)</f>
        <v>3.5048815165876688</v>
      </c>
      <c r="W210" s="57">
        <f>IF(OR(AND(Table2[[#This Row],[Real EV]]&gt;Table2[[#This Row],[Spread (V)]],Table2[[#This Row],[Spread]]&gt;Table2[[#This Row],[Spread (V)]]),AND(Table2[[#This Row],[Real EV]]&lt;Table2[[#This Row],[Spread (V)]],Table2[[#This Row],[Spread]]&lt;Table2[[#This Row],[Spread (V)]])),1,0)</f>
        <v>1</v>
      </c>
      <c r="X210" s="59">
        <v>0.87</v>
      </c>
      <c r="Y210" s="59">
        <f>Table2[[#This Row],[Away EV]]-Table2[[#This Row],[Home EV]]</f>
        <v>0.87227357352742274</v>
      </c>
      <c r="Z210" s="33" t="str">
        <f>IF(Table2[[#This Row],[Spread (V)]]&gt;Table2[[#This Row],[(A) Spread]],"HOME","AWAY")</f>
        <v>AWAY</v>
      </c>
      <c r="AA210" s="37" t="str">
        <f>IF(Table2[[#This Row],[Spread (V)]]&gt;Table2[[#This Row],[Real EV]],"HOME","AWAY")</f>
        <v>HOME</v>
      </c>
      <c r="AB210" t="b">
        <f>IF(VLOOKUP(Table2[[#This Row],[Home/Neutral]],division_lookup,9,FALSE)=VLOOKUP(Table2[[#This Row],[Visitor/Neutral]],division_lookup,9,FALSE),TRUE,FALSE)</f>
        <v>0</v>
      </c>
      <c r="AC210" s="19" t="str">
        <f>VLOOKUP(Table2[[#This Row],[Home/Neutral]],division_lookup,9,FALSE)</f>
        <v>NW</v>
      </c>
      <c r="AD210" s="19">
        <v>0.9</v>
      </c>
      <c r="AE210" s="19" t="str">
        <f>IF(Table2[[#This Row],[Total EV ®]]&lt;Table2[[#This Row],[Total (V)]],"UNDER","OVER")</f>
        <v>OVER</v>
      </c>
      <c r="AF210" s="19">
        <f>Table2[[#This Row],[(A) Spread]]-Table2[[#This Row],[Spread (V)]]</f>
        <v>1.9</v>
      </c>
      <c r="AG210" s="19">
        <v>-1.6</v>
      </c>
      <c r="AH210" s="2">
        <f>Table2[[#This Row],[EV]]-Table2[[#This Row],[Spread (V)]]</f>
        <v>-0.62772642647257726</v>
      </c>
      <c r="AI210" s="22">
        <f>Table2[[#This Row],[(A)]]-Table2[[#This Row],[Spread]]</f>
        <v>6.5048815165876688</v>
      </c>
      <c r="AJ210" s="1">
        <f>Table2[[#This Row],[(A) Err]]^2</f>
        <v>42.313483544843891</v>
      </c>
      <c r="AK210" s="6">
        <f>Table2[[#This Row],[EV]]-Table2[[#This Row],[Spread]]</f>
        <v>3.8722735735274227</v>
      </c>
      <c r="AL210" s="1">
        <f>Table2[[#This Row],[EV Err]]^2</f>
        <v>14.994502628238836</v>
      </c>
    </row>
    <row r="211" spans="1:38" x14ac:dyDescent="0.25">
      <c r="A211" s="55" t="s">
        <v>71</v>
      </c>
      <c r="B211" s="55" t="s">
        <v>24</v>
      </c>
      <c r="C211" s="55" t="s">
        <v>18</v>
      </c>
      <c r="D211" s="55">
        <f>IF(Table2[[#This Row],[Spread]]&lt;Table2[[#This Row],[Spread (V)]],1,0)</f>
        <v>1</v>
      </c>
      <c r="E211" s="55">
        <v>111</v>
      </c>
      <c r="F211" s="55">
        <f>IF(Table2[[#This Row],[Spread]]&gt;Table2[[#This Row],[Spread (V)]],1,0)</f>
        <v>0</v>
      </c>
      <c r="G211" s="55">
        <v>109</v>
      </c>
      <c r="H211" s="56">
        <f>Table2[[#This Row],[Home Pts]]+Table2[[#This Row],[Away Pts]]</f>
        <v>220</v>
      </c>
      <c r="I211" s="55">
        <v>221</v>
      </c>
      <c r="J211" s="55">
        <v>105</v>
      </c>
      <c r="K211" s="57">
        <f>(Table2[[#This Row],[Home Pace]]/100)*(VLOOKUP(Table2[[#This Row],[Home/Neutral]],home_lookup,8,FALSE)+VLOOKUP(Table2[[#This Row],[Home/Neutral]],OFR_lookup,2,FALSE)+VLOOKUP(Table2[[#This Row],[Visitor/Neutral]],def_diff_lookup,6,FALSE))</f>
        <v>105.0106843283094</v>
      </c>
      <c r="L211" s="57">
        <v>108</v>
      </c>
      <c r="M211" s="57">
        <f>(Table2[[#This Row],[Away Pace]]/100)*(VLOOKUP(Table2[[#This Row],[Visitor/Neutral]],OFR_lookup,2,FALSE)+VLOOKUP(Table2[[#This Row],[Home/Neutral]],def_diff_lookup,6,FALSE))</f>
        <v>107.87856333333335</v>
      </c>
      <c r="N211" s="58">
        <f>IF(OR(AND(Table2[[#This Row],[Total EV ®]]&gt;Table2[[#This Row],[Total (V)]],Table2[[#This Row],[Total]]&gt;Table2[[#This Row],[Total (V)]]),AND(Table2[[#This Row],[Total EV ®]]&lt;Table2[[#This Row],[Total (V)]],Table2[[#This Row],[Total]]&lt;Table2[[#This Row],[Total (V)]])),1,0)</f>
        <v>1</v>
      </c>
      <c r="O211" s="57">
        <f>Table2[[#This Row],[Home EV ®]]+Table2[[#This Row],[Away EV ®]]</f>
        <v>213</v>
      </c>
      <c r="P211" s="55">
        <f>VLOOKUP(Table2[[#This Row],[Home/Neutral]],pace_lookup,7,FALSE)</f>
        <v>99.9</v>
      </c>
      <c r="Q211" s="58">
        <f>VLOOKUP(Table2[[#This Row],[Visitor/Neutral]],pace_lookup,7,FALSE)</f>
        <v>99.5</v>
      </c>
      <c r="R211" s="56">
        <f>Table2[[#This Row],[Away Pts]]-Table2[[#This Row],[Home Pts]]</f>
        <v>-2</v>
      </c>
      <c r="S211" s="55">
        <v>3.5</v>
      </c>
      <c r="T211" s="58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1</v>
      </c>
      <c r="U211" s="55">
        <v>-0.8</v>
      </c>
      <c r="V211" s="59">
        <f>-home-VLOOKUP(Table2[[#This Row],[Home/Neutral]],rtg_vlookup,4,FALSE)+VLOOKUP(Table2[[#This Row],[Visitor/Neutral]],rtg_vlookup,4,FALSE)</f>
        <v>-0.65511848341233048</v>
      </c>
      <c r="W211" s="57">
        <f>IF(OR(AND(Table2[[#This Row],[Real EV]]&gt;Table2[[#This Row],[Spread (V)]],Table2[[#This Row],[Spread]]&gt;Table2[[#This Row],[Spread (V)]]),AND(Table2[[#This Row],[Real EV]]&lt;Table2[[#This Row],[Spread (V)]],Table2[[#This Row],[Spread]]&lt;Table2[[#This Row],[Spread (V)]])),1,0)</f>
        <v>1</v>
      </c>
      <c r="X211" s="59">
        <v>2.87</v>
      </c>
      <c r="Y211" s="59">
        <f>Table2[[#This Row],[Away EV]]-Table2[[#This Row],[Home EV]]</f>
        <v>2.8678790050239513</v>
      </c>
      <c r="Z211" s="33" t="str">
        <f>IF(Table2[[#This Row],[Spread (V)]]&gt;Table2[[#This Row],[(A) Spread]],"HOME","AWAY")</f>
        <v>HOME</v>
      </c>
      <c r="AA211" s="37" t="str">
        <f>IF(Table2[[#This Row],[Spread (V)]]&gt;Table2[[#This Row],[Real EV]],"HOME","AWAY")</f>
        <v>HOME</v>
      </c>
      <c r="AB211" t="b">
        <f>IF(VLOOKUP(Table2[[#This Row],[Home/Neutral]],division_lookup,9,FALSE)=VLOOKUP(Table2[[#This Row],[Visitor/Neutral]],division_lookup,9,FALSE),TRUE,FALSE)</f>
        <v>0</v>
      </c>
      <c r="AC211" s="19" t="str">
        <f>VLOOKUP(Table2[[#This Row],[Home/Neutral]],division_lookup,9,FALSE)</f>
        <v>P</v>
      </c>
      <c r="AD211" s="19">
        <v>-3.8</v>
      </c>
      <c r="AE211" s="19" t="str">
        <f>IF(Table2[[#This Row],[Total EV ®]]&lt;Table2[[#This Row],[Total (V)]],"UNDER","OVER")</f>
        <v>UNDER</v>
      </c>
      <c r="AF211" s="19">
        <f>Table2[[#This Row],[(A) Spread]]-Table2[[#This Row],[Spread (V)]]</f>
        <v>-4.3</v>
      </c>
      <c r="AG211" s="19">
        <v>-0.1</v>
      </c>
      <c r="AH211" s="2">
        <f>Table2[[#This Row],[EV]]-Table2[[#This Row],[Spread (V)]]</f>
        <v>-0.63212099497604868</v>
      </c>
      <c r="AI211" s="22">
        <f>Table2[[#This Row],[(A)]]-Table2[[#This Row],[Spread]]</f>
        <v>1.3448815165876695</v>
      </c>
      <c r="AJ211" s="1">
        <f>Table2[[#This Row],[(A) Err]]^2</f>
        <v>1.80870629365915</v>
      </c>
      <c r="AK211" s="6">
        <f>Table2[[#This Row],[EV]]-Table2[[#This Row],[Spread]]</f>
        <v>4.8678790050239513</v>
      </c>
      <c r="AL211" s="1">
        <f>Table2[[#This Row],[EV Err]]^2</f>
        <v>23.696246007552975</v>
      </c>
    </row>
    <row r="212" spans="1:38" ht="15.75" thickBot="1" x14ac:dyDescent="0.3">
      <c r="A212" s="60" t="s">
        <v>71</v>
      </c>
      <c r="B212" s="60" t="s">
        <v>31</v>
      </c>
      <c r="C212" s="60" t="s">
        <v>32</v>
      </c>
      <c r="D212" s="60">
        <f>IF(Table2[[#This Row],[Spread]]&lt;Table2[[#This Row],[Spread (V)]],1,0)</f>
        <v>1</v>
      </c>
      <c r="E212" s="60">
        <v>107</v>
      </c>
      <c r="F212" s="60">
        <f>IF(Table2[[#This Row],[Spread]]&gt;Table2[[#This Row],[Spread (V)]],1,0)</f>
        <v>0</v>
      </c>
      <c r="G212" s="60">
        <v>103</v>
      </c>
      <c r="H212" s="61">
        <f>Table2[[#This Row],[Home Pts]]+Table2[[#This Row],[Away Pts]]</f>
        <v>210</v>
      </c>
      <c r="I212" s="60">
        <v>216.5</v>
      </c>
      <c r="J212" s="60">
        <v>115</v>
      </c>
      <c r="K212" s="62">
        <f>(Table2[[#This Row],[Home Pace]]/100)*(VLOOKUP(Table2[[#This Row],[Home/Neutral]],home_lookup,8,FALSE)+VLOOKUP(Table2[[#This Row],[Home/Neutral]],OFR_lookup,2,FALSE)+VLOOKUP(Table2[[#This Row],[Visitor/Neutral]],def_diff_lookup,6,FALSE))</f>
        <v>115.2093743021789</v>
      </c>
      <c r="L212" s="62">
        <v>112</v>
      </c>
      <c r="M212" s="62">
        <f>(Table2[[#This Row],[Away Pace]]/100)*(VLOOKUP(Table2[[#This Row],[Visitor/Neutral]],OFR_lookup,2,FALSE)+VLOOKUP(Table2[[#This Row],[Home/Neutral]],def_diff_lookup,6,FALSE))</f>
        <v>111.61585733333334</v>
      </c>
      <c r="N212" s="60">
        <f>IF(OR(AND(Table2[[#This Row],[Total EV ®]]&gt;Table2[[#This Row],[Total (V)]],Table2[[#This Row],[Total]]&gt;Table2[[#This Row],[Total (V)]]),AND(Table2[[#This Row],[Total EV ®]]&lt;Table2[[#This Row],[Total (V)]],Table2[[#This Row],[Total]]&lt;Table2[[#This Row],[Total (V)]])),1,0)</f>
        <v>0</v>
      </c>
      <c r="O212" s="62">
        <f>Table2[[#This Row],[Home EV ®]]+Table2[[#This Row],[Away EV ®]]</f>
        <v>227</v>
      </c>
      <c r="P212" s="60">
        <f>VLOOKUP(Table2[[#This Row],[Home/Neutral]],pace_lookup,7,FALSE)</f>
        <v>96</v>
      </c>
      <c r="Q212" s="60">
        <f>VLOOKUP(Table2[[#This Row],[Visitor/Neutral]],pace_lookup,7,FALSE)</f>
        <v>98.6</v>
      </c>
      <c r="R212" s="61">
        <f>Table2[[#This Row],[Away Pts]]-Table2[[#This Row],[Home Pts]]</f>
        <v>-4</v>
      </c>
      <c r="S212" s="60">
        <v>-1.5</v>
      </c>
      <c r="T212" s="60">
        <f>IF(OR(AND(Table2[[#This Row],[(A) Spread]]&gt;Table2[[#This Row],[Spread (V)]],Table2[[#This Row],[Spread]]&gt;Table2[[#This Row],[Spread (V)]]),AND(Table2[[#This Row],[(A) Spread]]&lt;Table2[[#This Row],[Spread (V)]],Table2[[#This Row],[Spread]]&lt;Table2[[#This Row],[Spread (V)]])),1,0)</f>
        <v>1</v>
      </c>
      <c r="U212" s="60">
        <v>-3.5</v>
      </c>
      <c r="V212" s="63">
        <f>-home-VLOOKUP(Table2[[#This Row],[Home/Neutral]],rtg_vlookup,4,FALSE)+VLOOKUP(Table2[[#This Row],[Visitor/Neutral]],rtg_vlookup,4,FALSE)</f>
        <v>-3.3651184834123304</v>
      </c>
      <c r="W212" s="62">
        <f>IF(OR(AND(Table2[[#This Row],[Real EV]]&gt;Table2[[#This Row],[Spread (V)]],Table2[[#This Row],[Spread]]&gt;Table2[[#This Row],[Spread (V)]]),AND(Table2[[#This Row],[Real EV]]&lt;Table2[[#This Row],[Spread (V)]],Table2[[#This Row],[Spread]]&lt;Table2[[#This Row],[Spread (V)]])),1,0)</f>
        <v>1</v>
      </c>
      <c r="X212" s="63">
        <v>-3.59</v>
      </c>
      <c r="Y212" s="63">
        <f>Table2[[#This Row],[Away EV]]-Table2[[#This Row],[Home EV]]</f>
        <v>-3.593516968845563</v>
      </c>
      <c r="Z212" s="35" t="str">
        <f>IF(Table2[[#This Row],[Spread (V)]]&gt;Table2[[#This Row],[(A) Spread]],"HOME","AWAY")</f>
        <v>HOME</v>
      </c>
      <c r="AA212" s="36" t="str">
        <f>IF(Table2[[#This Row],[Spread (V)]]&gt;Table2[[#This Row],[Real EV]],"HOME","AWAY")</f>
        <v>HOME</v>
      </c>
      <c r="AB212" s="3" t="b">
        <f>IF(VLOOKUP(Table2[[#This Row],[Home/Neutral]],division_lookup,9,FALSE)=VLOOKUP(Table2[[#This Row],[Visitor/Neutral]],division_lookup,9,FALSE),TRUE,FALSE)</f>
        <v>0</v>
      </c>
      <c r="AC212" s="20" t="str">
        <f>VLOOKUP(Table2[[#This Row],[Home/Neutral]],division_lookup,9,FALSE)</f>
        <v>A</v>
      </c>
      <c r="AD212" s="20">
        <v>-2</v>
      </c>
      <c r="AE212" s="20" t="str">
        <f>IF(Table2[[#This Row],[Total EV ®]]&lt;Table2[[#This Row],[Total (V)]],"UNDER","OVER")</f>
        <v>OVER</v>
      </c>
      <c r="AF212" s="20">
        <f>Table2[[#This Row],[(A) Spread]]-Table2[[#This Row],[Spread (V)]]</f>
        <v>-2</v>
      </c>
      <c r="AG212" s="20">
        <v>-2.1</v>
      </c>
      <c r="AH212" s="12">
        <f>Table2[[#This Row],[EV]]-Table2[[#This Row],[Spread (V)]]</f>
        <v>-2.093516968845563</v>
      </c>
      <c r="AI212" s="23">
        <f>Table2[[#This Row],[(A)]]-Table2[[#This Row],[Spread]]</f>
        <v>0.63488151658766956</v>
      </c>
      <c r="AJ212" s="4">
        <f>Table2[[#This Row],[(A) Err]]^2</f>
        <v>0.40307454010465932</v>
      </c>
      <c r="AK212" s="6">
        <f>Table2[[#This Row],[EV]]-Table2[[#This Row],[Spread]]</f>
        <v>0.40648303115443696</v>
      </c>
      <c r="AL212" s="1">
        <f>Table2[[#This Row],[EV Err]]^2</f>
        <v>0.16522845461649896</v>
      </c>
    </row>
    <row r="213" spans="1:38" x14ac:dyDescent="0.25">
      <c r="A213" s="55" t="s">
        <v>72</v>
      </c>
      <c r="B213" s="55" t="s">
        <v>35</v>
      </c>
      <c r="C213" s="55" t="s">
        <v>26</v>
      </c>
      <c r="D213" s="55"/>
      <c r="E213" s="55"/>
      <c r="F213" s="55"/>
      <c r="G213" s="55"/>
      <c r="H213" s="56"/>
      <c r="I213" s="55">
        <v>214.5</v>
      </c>
      <c r="J213" s="55"/>
      <c r="K213" s="57">
        <f>(Table2[[#This Row],[Home Pace]]/100)*(VLOOKUP(Table2[[#This Row],[Home/Neutral]],home_lookup,8,FALSE)+VLOOKUP(Table2[[#This Row],[Home/Neutral]],OFR_lookup,2,FALSE)+VLOOKUP(Table2[[#This Row],[Visitor/Neutral]],def_diff_lookup,6,FALSE))</f>
        <v>109.40855121209626</v>
      </c>
      <c r="L213" s="57"/>
      <c r="M213" s="57">
        <f>(Table2[[#This Row],[Away Pace]]/100)*(VLOOKUP(Table2[[#This Row],[Visitor/Neutral]],OFR_lookup,2,FALSE)+VLOOKUP(Table2[[#This Row],[Home/Neutral]],def_diff_lookup,6,FALSE))</f>
        <v>106.95424</v>
      </c>
      <c r="N213" s="57"/>
      <c r="O213" s="57">
        <v>216</v>
      </c>
      <c r="P213" s="55">
        <f>VLOOKUP(Table2[[#This Row],[Home/Neutral]],pace_lookup,7,FALSE)</f>
        <v>102.2</v>
      </c>
      <c r="Q213" s="58">
        <f>VLOOKUP(Table2[[#This Row],[Visitor/Neutral]],pace_lookup,7,FALSE)</f>
        <v>96</v>
      </c>
      <c r="R213" s="56"/>
      <c r="S213" s="55">
        <v>7</v>
      </c>
      <c r="T213" s="55"/>
      <c r="U213" s="55">
        <v>3.3</v>
      </c>
      <c r="V213" s="59">
        <f>-home-VLOOKUP(Table2[[#This Row],[Home/Neutral]],rtg_vlookup,4,FALSE)+VLOOKUP(Table2[[#This Row],[Visitor/Neutral]],rtg_vlookup,4,FALSE)</f>
        <v>3.3648815165876691</v>
      </c>
      <c r="W213" s="57"/>
      <c r="X213" s="59">
        <v>-2.5</v>
      </c>
      <c r="Y213" s="59">
        <f>Table2[[#This Row],[Away EV]]-Table2[[#This Row],[Home EV]]</f>
        <v>-2.4543112120962576</v>
      </c>
      <c r="Z213" s="51" t="str">
        <f>IF(Table2[[#This Row],[Spread (V)]]&gt;Table2[[#This Row],[(A) Spread]],"HOME","AWAY")</f>
        <v>HOME</v>
      </c>
      <c r="AA213" s="52" t="str">
        <f>IF(Table2[[#This Row],[Spread (V)]]&gt;Table2[[#This Row],[Real EV]],"HOME","AWAY")</f>
        <v>HOME</v>
      </c>
      <c r="AB213" s="5" t="b">
        <f>IF(VLOOKUP(Table2[[#This Row],[Home/Neutral]],division_lookup,9,FALSE)=VLOOKUP(Table2[[#This Row],[Visitor/Neutral]],division_lookup,9,FALSE),TRUE,FALSE)</f>
        <v>1</v>
      </c>
      <c r="AC213" s="19" t="str">
        <f>VLOOKUP(Table2[[#This Row],[Home/Neutral]],division_lookup,9,FALSE)</f>
        <v>A</v>
      </c>
      <c r="AD213" s="19"/>
      <c r="AE213" s="19" t="str">
        <f>IF(Table2[[#This Row],[Total EV ®]]&lt;Table2[[#This Row],[Total (V)]],"UNDER","OVER")</f>
        <v>OVER</v>
      </c>
      <c r="AF213" s="30">
        <f>Table2[[#This Row],[(A) Spread]]-Table2[[#This Row],[Spread (V)]]</f>
        <v>-3.7</v>
      </c>
      <c r="AG213" s="19"/>
      <c r="AH213" s="2">
        <f>Table2[[#This Row],[EV]]-Table2[[#This Row],[Spread (V)]]</f>
        <v>-9.4543112120962576</v>
      </c>
      <c r="AI213" s="22">
        <f>Table2[[#This Row],[(A)]]-Table2[[#This Row],[Spread]]</f>
        <v>3.3648815165876691</v>
      </c>
      <c r="AJ213" s="1">
        <f>Table2[[#This Row],[(A) Err]]^2</f>
        <v>11.322427620673333</v>
      </c>
      <c r="AK213" s="6">
        <f>Table2[[#This Row],[EV]]-Table2[[#This Row],[Spread]]</f>
        <v>-2.4543112120962576</v>
      </c>
      <c r="AL213" s="1">
        <f>Table2[[#This Row],[EV Err]]^2</f>
        <v>6.0236435258214014</v>
      </c>
    </row>
    <row r="214" spans="1:38" x14ac:dyDescent="0.25">
      <c r="A214" s="64" t="s">
        <v>72</v>
      </c>
      <c r="B214" s="64" t="s">
        <v>16</v>
      </c>
      <c r="C214" s="64" t="s">
        <v>6</v>
      </c>
      <c r="D214" s="64"/>
      <c r="E214" s="64"/>
      <c r="F214" s="64"/>
      <c r="G214" s="64"/>
      <c r="H214" s="65"/>
      <c r="I214" s="64">
        <v>199.5</v>
      </c>
      <c r="J214" s="64"/>
      <c r="K214" s="66">
        <f>(Table2[[#This Row],[Home Pace]]/100)*(VLOOKUP(Table2[[#This Row],[Home/Neutral]],home_lookup,8,FALSE)+VLOOKUP(Table2[[#This Row],[Home/Neutral]],OFR_lookup,2,FALSE)+VLOOKUP(Table2[[#This Row],[Visitor/Neutral]],def_diff_lookup,6,FALSE))</f>
        <v>101.47160601115951</v>
      </c>
      <c r="L214" s="66"/>
      <c r="M214" s="66">
        <f>(Table2[[#This Row],[Away Pace]]/100)*(VLOOKUP(Table2[[#This Row],[Visitor/Neutral]],OFR_lookup,2,FALSE)+VLOOKUP(Table2[[#This Row],[Home/Neutral]],def_diff_lookup,6,FALSE))</f>
        <v>101.70306066666667</v>
      </c>
      <c r="N214" s="66"/>
      <c r="O214" s="66">
        <v>203</v>
      </c>
      <c r="P214" s="64">
        <f>VLOOKUP(Table2[[#This Row],[Home/Neutral]],pace_lookup,7,FALSE)</f>
        <v>97.5</v>
      </c>
      <c r="Q214" s="67">
        <f>VLOOKUP(Table2[[#This Row],[Visitor/Neutral]],pace_lookup,7,FALSE)</f>
        <v>93.1</v>
      </c>
      <c r="R214" s="65"/>
      <c r="S214" s="64">
        <v>4</v>
      </c>
      <c r="T214" s="64"/>
      <c r="U214" s="64">
        <v>1.6</v>
      </c>
      <c r="V214" s="68">
        <f>-home-VLOOKUP(Table2[[#This Row],[Home/Neutral]],rtg_vlookup,4,FALSE)+VLOOKUP(Table2[[#This Row],[Visitor/Neutral]],rtg_vlookup,4,FALSE)</f>
        <v>1.6548815165876691</v>
      </c>
      <c r="W214" s="66"/>
      <c r="X214" s="68">
        <v>0.2</v>
      </c>
      <c r="Y214" s="68">
        <f>Table2[[#This Row],[Away EV]]-Table2[[#This Row],[Home EV]]</f>
        <v>0.23145465550716438</v>
      </c>
      <c r="Z214" s="33" t="str">
        <f>IF(Table2[[#This Row],[Spread (V)]]&gt;Table2[[#This Row],[(A) Spread]],"HOME","AWAY")</f>
        <v>HOME</v>
      </c>
      <c r="AA214" s="37" t="str">
        <f>IF(Table2[[#This Row],[Spread (V)]]&gt;Table2[[#This Row],[Real EV]],"HOME","AWAY")</f>
        <v>HOME</v>
      </c>
      <c r="AB214" s="5" t="b">
        <f>IF(VLOOKUP(Table2[[#This Row],[Home/Neutral]],division_lookup,9,FALSE)=VLOOKUP(Table2[[#This Row],[Visitor/Neutral]],division_lookup,9,FALSE),TRUE,FALSE)</f>
        <v>0</v>
      </c>
      <c r="AC214" s="19" t="str">
        <f>VLOOKUP(Table2[[#This Row],[Home/Neutral]],division_lookup,9,FALSE)</f>
        <v>SE</v>
      </c>
      <c r="AD214" s="19"/>
      <c r="AE214" s="19" t="str">
        <f>IF(Table2[[#This Row],[Total EV ®]]&lt;Table2[[#This Row],[Total (V)]],"UNDER","OVER")</f>
        <v>OVER</v>
      </c>
      <c r="AF214" s="30">
        <f>Table2[[#This Row],[(A) Spread]]-Table2[[#This Row],[Spread (V)]]</f>
        <v>-2.4</v>
      </c>
      <c r="AG214" s="19"/>
      <c r="AH214" s="2">
        <f>Table2[[#This Row],[EV]]-Table2[[#This Row],[Spread (V)]]</f>
        <v>-3.7685453444928356</v>
      </c>
      <c r="AI214" s="22">
        <f>Table2[[#This Row],[(A)]]-Table2[[#This Row],[Spread]]</f>
        <v>1.6548815165876691</v>
      </c>
      <c r="AJ214" s="1">
        <f>Table2[[#This Row],[(A) Err]]^2</f>
        <v>2.738632833943504</v>
      </c>
      <c r="AK214" s="6">
        <f>Table2[[#This Row],[EV]]-Table2[[#This Row],[Spread]]</f>
        <v>0.23145465550716438</v>
      </c>
      <c r="AL214" s="1">
        <f>Table2[[#This Row],[EV Err]]^2</f>
        <v>5.3571257555940138E-2</v>
      </c>
    </row>
    <row r="215" spans="1:38" x14ac:dyDescent="0.25">
      <c r="A215" s="55" t="s">
        <v>72</v>
      </c>
      <c r="B215" s="55" t="s">
        <v>8</v>
      </c>
      <c r="C215" s="32" t="s">
        <v>32</v>
      </c>
      <c r="D215" s="55"/>
      <c r="E215" s="55"/>
      <c r="F215" s="55"/>
      <c r="G215" s="55"/>
      <c r="H215" s="56"/>
      <c r="I215" s="55">
        <v>217</v>
      </c>
      <c r="J215" s="55"/>
      <c r="K215" s="57">
        <f>(Table2[[#This Row],[Home Pace]]/100)*(VLOOKUP(Table2[[#This Row],[Home/Neutral]],home_lookup,8,FALSE)+VLOOKUP(Table2[[#This Row],[Home/Neutral]],OFR_lookup,2,FALSE)+VLOOKUP(Table2[[#This Row],[Visitor/Neutral]],def_diff_lookup,6,FALSE))</f>
        <v>109.70502036898181</v>
      </c>
      <c r="L215" s="57"/>
      <c r="M215" s="57">
        <f>(Table2[[#This Row],[Away Pace]]/100)*(VLOOKUP(Table2[[#This Row],[Visitor/Neutral]],OFR_lookup,2,FALSE)+VLOOKUP(Table2[[#This Row],[Home/Neutral]],def_diff_lookup,6,FALSE))</f>
        <v>105.01951733333334</v>
      </c>
      <c r="N215" s="57"/>
      <c r="O215" s="57">
        <v>215</v>
      </c>
      <c r="P215" s="55">
        <f>VLOOKUP(Table2[[#This Row],[Home/Neutral]],pace_lookup,7,FALSE)</f>
        <v>97.2</v>
      </c>
      <c r="Q215" s="58">
        <f>VLOOKUP(Table2[[#This Row],[Visitor/Neutral]],pace_lookup,7,FALSE)</f>
        <v>98.6</v>
      </c>
      <c r="R215" s="56"/>
      <c r="S215" s="55">
        <v>-11.5</v>
      </c>
      <c r="T215" s="55"/>
      <c r="U215" s="55">
        <v>-12.6</v>
      </c>
      <c r="V215" s="59">
        <f>-home-VLOOKUP(Table2[[#This Row],[Home/Neutral]],rtg_vlookup,4,FALSE)+VLOOKUP(Table2[[#This Row],[Visitor/Neutral]],rtg_vlookup,4,FALSE)</f>
        <v>-12.465118483412329</v>
      </c>
      <c r="W215" s="57"/>
      <c r="X215" s="59">
        <v>-4.7</v>
      </c>
      <c r="Y215" s="59">
        <f>Table2[[#This Row],[Away EV]]-Table2[[#This Row],[Home EV]]</f>
        <v>-4.6855030356484662</v>
      </c>
      <c r="Z215" s="33" t="str">
        <f>IF(Table2[[#This Row],[Spread (V)]]&gt;Table2[[#This Row],[(A) Spread]],"HOME","AWAY")</f>
        <v>HOME</v>
      </c>
      <c r="AA215" s="37" t="str">
        <f>IF(Table2[[#This Row],[Spread (V)]]&gt;Table2[[#This Row],[Real EV]],"HOME","AWAY")</f>
        <v>AWAY</v>
      </c>
      <c r="AB215" s="5" t="b">
        <f>IF(VLOOKUP(Table2[[#This Row],[Home/Neutral]],division_lookup,9,FALSE)=VLOOKUP(Table2[[#This Row],[Visitor/Neutral]],division_lookup,9,FALSE),TRUE,FALSE)</f>
        <v>0</v>
      </c>
      <c r="AC215" s="19" t="str">
        <f>VLOOKUP(Table2[[#This Row],[Home/Neutral]],division_lookup,9,FALSE)</f>
        <v>C</v>
      </c>
      <c r="AD215" s="19"/>
      <c r="AE215" s="19" t="str">
        <f>IF(Table2[[#This Row],[Total EV ®]]&lt;Table2[[#This Row],[Total (V)]],"UNDER","OVER")</f>
        <v>UNDER</v>
      </c>
      <c r="AF215" s="30">
        <f>Table2[[#This Row],[(A) Spread]]-Table2[[#This Row],[Spread (V)]]</f>
        <v>-1.0999999999999996</v>
      </c>
      <c r="AG215" s="19"/>
      <c r="AH215" s="2">
        <f>Table2[[#This Row],[EV]]-Table2[[#This Row],[Spread (V)]]</f>
        <v>6.8144969643515338</v>
      </c>
      <c r="AI215" s="22">
        <f>Table2[[#This Row],[(A)]]-Table2[[#This Row],[Spread]]</f>
        <v>-12.465118483412329</v>
      </c>
      <c r="AJ215" s="1">
        <f>Table2[[#This Row],[(A) Err]]^2</f>
        <v>155.37917880550768</v>
      </c>
      <c r="AK215" s="6">
        <f>Table2[[#This Row],[EV]]-Table2[[#This Row],[Spread]]</f>
        <v>-4.6855030356484662</v>
      </c>
      <c r="AL215" s="1">
        <f>Table2[[#This Row],[EV Err]]^2</f>
        <v>21.953938697070992</v>
      </c>
    </row>
    <row r="216" spans="1:38" x14ac:dyDescent="0.25">
      <c r="A216" s="64" t="s">
        <v>72</v>
      </c>
      <c r="B216" s="64" t="s">
        <v>37</v>
      </c>
      <c r="C216" s="64" t="s">
        <v>4</v>
      </c>
      <c r="D216" s="64"/>
      <c r="E216" s="64"/>
      <c r="F216" s="64"/>
      <c r="G216" s="64"/>
      <c r="H216" s="65"/>
      <c r="I216" s="64"/>
      <c r="J216" s="64"/>
      <c r="K216" s="66">
        <f>(Table2[[#This Row],[Home Pace]]/100)*(VLOOKUP(Table2[[#This Row],[Home/Neutral]],home_lookup,8,FALSE)+VLOOKUP(Table2[[#This Row],[Home/Neutral]],OFR_lookup,2,FALSE)+VLOOKUP(Table2[[#This Row],[Visitor/Neutral]],def_diff_lookup,6,FALSE))</f>
        <v>96.767728093621216</v>
      </c>
      <c r="L216" s="66"/>
      <c r="M216" s="66">
        <f>(Table2[[#This Row],[Away Pace]]/100)*(VLOOKUP(Table2[[#This Row],[Visitor/Neutral]],OFR_lookup,2,FALSE)+VLOOKUP(Table2[[#This Row],[Home/Neutral]],def_diff_lookup,6,FALSE))</f>
        <v>107.999444</v>
      </c>
      <c r="N216" s="66"/>
      <c r="O216" s="66">
        <v>205</v>
      </c>
      <c r="P216" s="64">
        <f>VLOOKUP(Table2[[#This Row],[Home/Neutral]],pace_lookup,7,FALSE)</f>
        <v>92.1</v>
      </c>
      <c r="Q216" s="67">
        <f>VLOOKUP(Table2[[#This Row],[Visitor/Neutral]],pace_lookup,7,FALSE)</f>
        <v>96.6</v>
      </c>
      <c r="R216" s="65"/>
      <c r="S216" s="64"/>
      <c r="T216" s="64"/>
      <c r="U216" s="64">
        <v>19.3</v>
      </c>
      <c r="V216" s="68">
        <f>-home-VLOOKUP(Table2[[#This Row],[Home/Neutral]],rtg_vlookup,4,FALSE)+VLOOKUP(Table2[[#This Row],[Visitor/Neutral]],rtg_vlookup,4,FALSE)</f>
        <v>19.39488151658767</v>
      </c>
      <c r="W216" s="66"/>
      <c r="X216" s="68">
        <v>11.2</v>
      </c>
      <c r="Y216" s="68">
        <f>Table2[[#This Row],[Away EV]]-Table2[[#This Row],[Home EV]]</f>
        <v>11.231715906378781</v>
      </c>
      <c r="Z216" s="33" t="str">
        <f>IF(Table2[[#This Row],[Spread (V)]]&gt;Table2[[#This Row],[(A) Spread]],"HOME","AWAY")</f>
        <v>AWAY</v>
      </c>
      <c r="AA216" s="37" t="str">
        <f>IF(Table2[[#This Row],[Spread (V)]]&gt;Table2[[#This Row],[Real EV]],"HOME","AWAY")</f>
        <v>AWAY</v>
      </c>
      <c r="AB216" s="5" t="b">
        <f>IF(VLOOKUP(Table2[[#This Row],[Home/Neutral]],division_lookup,9,FALSE)=VLOOKUP(Table2[[#This Row],[Visitor/Neutral]],division_lookup,9,FALSE),TRUE,FALSE)</f>
        <v>0</v>
      </c>
      <c r="AC216" s="19" t="str">
        <f>VLOOKUP(Table2[[#This Row],[Home/Neutral]],division_lookup,9,FALSE)</f>
        <v>SW</v>
      </c>
      <c r="AD216" s="19"/>
      <c r="AE216" s="19" t="str">
        <f>IF(Table2[[#This Row],[Total EV ®]]&lt;Table2[[#This Row],[Total (V)]],"UNDER","OVER")</f>
        <v>OVER</v>
      </c>
      <c r="AF216" s="30">
        <f>Table2[[#This Row],[(A) Spread]]-Table2[[#This Row],[Spread (V)]]</f>
        <v>19.3</v>
      </c>
      <c r="AG216" s="19"/>
      <c r="AH216" s="2">
        <f>Table2[[#This Row],[EV]]-Table2[[#This Row],[Spread (V)]]</f>
        <v>11.231715906378781</v>
      </c>
      <c r="AI216" s="22">
        <f>Table2[[#This Row],[(A)]]-Table2[[#This Row],[Spread]]</f>
        <v>19.39488151658767</v>
      </c>
      <c r="AJ216" s="1">
        <f>Table2[[#This Row],[(A) Err]]^2</f>
        <v>376.16142904247403</v>
      </c>
      <c r="AK216" s="6">
        <f>Table2[[#This Row],[EV]]-Table2[[#This Row],[Spread]]</f>
        <v>11.231715906378781</v>
      </c>
      <c r="AL216" s="1">
        <f>Table2[[#This Row],[EV Err]]^2</f>
        <v>126.15144220160212</v>
      </c>
    </row>
    <row r="217" spans="1:38" x14ac:dyDescent="0.25">
      <c r="A217" s="55" t="s">
        <v>72</v>
      </c>
      <c r="B217" s="55" t="s">
        <v>25</v>
      </c>
      <c r="C217" s="55" t="s">
        <v>21</v>
      </c>
      <c r="D217" s="55"/>
      <c r="E217" s="55"/>
      <c r="F217" s="55"/>
      <c r="G217" s="55"/>
      <c r="H217" s="56"/>
      <c r="I217" s="55">
        <v>189.5</v>
      </c>
      <c r="J217" s="55"/>
      <c r="K217" s="57">
        <f>(Table2[[#This Row],[Home Pace]]/100)*(VLOOKUP(Table2[[#This Row],[Home/Neutral]],home_lookup,8,FALSE)+VLOOKUP(Table2[[#This Row],[Home/Neutral]],OFR_lookup,2,FALSE)+VLOOKUP(Table2[[#This Row],[Visitor/Neutral]],def_diff_lookup,6,FALSE))</f>
        <v>99.713264444272568</v>
      </c>
      <c r="L217" s="57"/>
      <c r="M217" s="57">
        <f>(Table2[[#This Row],[Away Pace]]/100)*(VLOOKUP(Table2[[#This Row],[Visitor/Neutral]],OFR_lookup,2,FALSE)+VLOOKUP(Table2[[#This Row],[Home/Neutral]],def_diff_lookup,6,FALSE))</f>
        <v>93.041968000000026</v>
      </c>
      <c r="N217" s="57"/>
      <c r="O217" s="57">
        <v>193</v>
      </c>
      <c r="P217" s="55">
        <f>VLOOKUP(Table2[[#This Row],[Home/Neutral]],pace_lookup,7,FALSE)</f>
        <v>94.4</v>
      </c>
      <c r="Q217" s="58">
        <f>VLOOKUP(Table2[[#This Row],[Visitor/Neutral]],pace_lookup,7,FALSE)</f>
        <v>94.2</v>
      </c>
      <c r="R217" s="56"/>
      <c r="S217" s="55">
        <v>-4.5</v>
      </c>
      <c r="T217" s="55"/>
      <c r="U217" s="55">
        <v>-2.9</v>
      </c>
      <c r="V217" s="59">
        <f>-home-VLOOKUP(Table2[[#This Row],[Home/Neutral]],rtg_vlookup,4,FALSE)+VLOOKUP(Table2[[#This Row],[Visitor/Neutral]],rtg_vlookup,4,FALSE)</f>
        <v>-2.8051184834123308</v>
      </c>
      <c r="W217" s="57"/>
      <c r="X217" s="59">
        <v>-6.7</v>
      </c>
      <c r="Y217" s="59">
        <f>Table2[[#This Row],[Away EV]]-Table2[[#This Row],[Home EV]]</f>
        <v>-6.6712964442725422</v>
      </c>
      <c r="Z217" s="53" t="str">
        <f>IF(Table2[[#This Row],[Spread (V)]]&gt;Table2[[#This Row],[(A) Spread]],"HOME","AWAY")</f>
        <v>AWAY</v>
      </c>
      <c r="AA217" s="37" t="str">
        <f>IF(Table2[[#This Row],[Spread (V)]]&gt;Table2[[#This Row],[Real EV]],"HOME","AWAY")</f>
        <v>HOME</v>
      </c>
      <c r="AB217" s="5" t="b">
        <f>IF(VLOOKUP(Table2[[#This Row],[Home/Neutral]],division_lookup,9,FALSE)=VLOOKUP(Table2[[#This Row],[Visitor/Neutral]],division_lookup,9,FALSE),TRUE,FALSE)</f>
        <v>0</v>
      </c>
      <c r="AC217" s="19" t="str">
        <f>VLOOKUP(Table2[[#This Row],[Home/Neutral]],division_lookup,9,FALSE)</f>
        <v>C</v>
      </c>
      <c r="AD217" s="19"/>
      <c r="AE217" s="19" t="str">
        <f>IF(Table2[[#This Row],[Total EV ®]]&lt;Table2[[#This Row],[Total (V)]],"UNDER","OVER")</f>
        <v>OVER</v>
      </c>
      <c r="AF217" s="30">
        <f>Table2[[#This Row],[(A) Spread]]-Table2[[#This Row],[Spread (V)]]</f>
        <v>1.6</v>
      </c>
      <c r="AG217" s="19"/>
      <c r="AH217" s="2">
        <f>Table2[[#This Row],[EV]]-Table2[[#This Row],[Spread (V)]]</f>
        <v>-2.1712964442725422</v>
      </c>
      <c r="AI217" s="22">
        <f>Table2[[#This Row],[(A)]]-Table2[[#This Row],[Spread]]</f>
        <v>-2.8051184834123308</v>
      </c>
      <c r="AJ217" s="1">
        <f>Table2[[#This Row],[(A) Err]]^2</f>
        <v>7.8686897059814953</v>
      </c>
      <c r="AK217" s="6">
        <f>Table2[[#This Row],[EV]]-Table2[[#This Row],[Spread]]</f>
        <v>-6.6712964442725422</v>
      </c>
      <c r="AL217" s="1">
        <f>Table2[[#This Row],[EV Err]]^2</f>
        <v>44.506196247363462</v>
      </c>
    </row>
    <row r="218" spans="1:38" x14ac:dyDescent="0.25">
      <c r="A218" s="55" t="s">
        <v>72</v>
      </c>
      <c r="B218" s="55" t="s">
        <v>10</v>
      </c>
      <c r="C218" s="32" t="s">
        <v>24</v>
      </c>
      <c r="D218" s="55"/>
      <c r="E218" s="55"/>
      <c r="F218" s="55"/>
      <c r="G218" s="55"/>
      <c r="H218" s="56"/>
      <c r="I218" s="55"/>
      <c r="J218" s="55"/>
      <c r="K218" s="57">
        <f>(Table2[[#This Row],[Home Pace]]/100)*(VLOOKUP(Table2[[#This Row],[Home/Neutral]],home_lookup,8,FALSE)+VLOOKUP(Table2[[#This Row],[Home/Neutral]],OFR_lookup,2,FALSE)+VLOOKUP(Table2[[#This Row],[Visitor/Neutral]],def_diff_lookup,6,FALSE))</f>
        <v>111.1682185379056</v>
      </c>
      <c r="L218" s="57"/>
      <c r="M218" s="57">
        <f>(Table2[[#This Row],[Away Pace]]/100)*(VLOOKUP(Table2[[#This Row],[Visitor/Neutral]],OFR_lookup,2,FALSE)+VLOOKUP(Table2[[#This Row],[Home/Neutral]],def_diff_lookup,6,FALSE))</f>
        <v>111.98856600000002</v>
      </c>
      <c r="N218" s="57"/>
      <c r="O218" s="57">
        <v>223</v>
      </c>
      <c r="P218" s="55">
        <f>VLOOKUP(Table2[[#This Row],[Home/Neutral]],pace_lookup,7,FALSE)</f>
        <v>100.3</v>
      </c>
      <c r="Q218" s="58">
        <f>VLOOKUP(Table2[[#This Row],[Visitor/Neutral]],pace_lookup,7,FALSE)</f>
        <v>99.9</v>
      </c>
      <c r="R218" s="56"/>
      <c r="S218" s="55"/>
      <c r="T218" s="55"/>
      <c r="U218" s="55">
        <v>-11</v>
      </c>
      <c r="V218" s="59">
        <f>-home-VLOOKUP(Table2[[#This Row],[Home/Neutral]],rtg_vlookup,4,FALSE)+VLOOKUP(Table2[[#This Row],[Visitor/Neutral]],rtg_vlookup,4,FALSE)</f>
        <v>-10.945118483412331</v>
      </c>
      <c r="W218" s="57"/>
      <c r="X218" s="59">
        <v>0.8</v>
      </c>
      <c r="Y218" s="59">
        <f>Table2[[#This Row],[Away EV]]-Table2[[#This Row],[Home EV]]</f>
        <v>0.82034746209441778</v>
      </c>
      <c r="Z218" s="33" t="str">
        <f>IF(Table2[[#This Row],[Spread (V)]]&gt;Table2[[#This Row],[(A) Spread]],"HOME","AWAY")</f>
        <v>HOME</v>
      </c>
      <c r="AA218" s="37" t="str">
        <f>IF(Table2[[#This Row],[Spread (V)]]&gt;Table2[[#This Row],[Real EV]],"HOME","AWAY")</f>
        <v>AWAY</v>
      </c>
      <c r="AB218" s="5" t="b">
        <f>IF(VLOOKUP(Table2[[#This Row],[Home/Neutral]],division_lookup,9,FALSE)=VLOOKUP(Table2[[#This Row],[Visitor/Neutral]],division_lookup,9,FALSE),TRUE,FALSE)</f>
        <v>1</v>
      </c>
      <c r="AC218" s="19" t="str">
        <f>VLOOKUP(Table2[[#This Row],[Home/Neutral]],division_lookup,9,FALSE)</f>
        <v>P</v>
      </c>
      <c r="AD218" s="19"/>
      <c r="AE218" s="19" t="str">
        <f>IF(Table2[[#This Row],[Total EV ®]]&lt;Table2[[#This Row],[Total (V)]],"UNDER","OVER")</f>
        <v>OVER</v>
      </c>
      <c r="AF218" s="30">
        <f>Table2[[#This Row],[(A) Spread]]-Table2[[#This Row],[Spread (V)]]</f>
        <v>-11</v>
      </c>
      <c r="AG218" s="19"/>
      <c r="AH218" s="2">
        <f>Table2[[#This Row],[EV]]-Table2[[#This Row],[Spread (V)]]</f>
        <v>0.82034746209441778</v>
      </c>
      <c r="AI218" s="22">
        <f>Table2[[#This Row],[(A)]]-Table2[[#This Row],[Spread]]</f>
        <v>-10.945118483412331</v>
      </c>
      <c r="AJ218" s="1">
        <f>Table2[[#This Row],[(A) Err]]^2</f>
        <v>119.79561861593426</v>
      </c>
      <c r="AK218" s="6">
        <f>Table2[[#This Row],[EV]]-Table2[[#This Row],[Spread]]</f>
        <v>0.82034746209441778</v>
      </c>
      <c r="AL218" s="1">
        <f>Table2[[#This Row],[EV Err]]^2</f>
        <v>0.67296995856475217</v>
      </c>
    </row>
    <row r="219" spans="1:38" x14ac:dyDescent="0.25">
      <c r="A219" s="64" t="s">
        <v>72</v>
      </c>
      <c r="B219" s="64" t="s">
        <v>17</v>
      </c>
      <c r="C219" s="64" t="s">
        <v>14</v>
      </c>
      <c r="D219" s="64"/>
      <c r="E219" s="64"/>
      <c r="F219" s="64"/>
      <c r="G219" s="64"/>
      <c r="H219" s="65"/>
      <c r="I219" s="64">
        <v>217</v>
      </c>
      <c r="J219" s="64"/>
      <c r="K219" s="66">
        <f>(Table2[[#This Row],[Home Pace]]/100)*(VLOOKUP(Table2[[#This Row],[Home/Neutral]],home_lookup,8,FALSE)+VLOOKUP(Table2[[#This Row],[Home/Neutral]],OFR_lookup,2,FALSE)+VLOOKUP(Table2[[#This Row],[Visitor/Neutral]],def_diff_lookup,6,FALSE))</f>
        <v>111.12515692873545</v>
      </c>
      <c r="L219" s="66"/>
      <c r="M219" s="66">
        <f>(Table2[[#This Row],[Away Pace]]/100)*(VLOOKUP(Table2[[#This Row],[Visitor/Neutral]],OFR_lookup,2,FALSE)+VLOOKUP(Table2[[#This Row],[Home/Neutral]],def_diff_lookup,6,FALSE))</f>
        <v>111.68577933333336</v>
      </c>
      <c r="N219" s="66"/>
      <c r="O219" s="66">
        <v>223</v>
      </c>
      <c r="P219" s="64">
        <f>VLOOKUP(Table2[[#This Row],[Home/Neutral]],pace_lookup,7,FALSE)</f>
        <v>96.7</v>
      </c>
      <c r="Q219" s="67">
        <f>VLOOKUP(Table2[[#This Row],[Visitor/Neutral]],pace_lookup,7,FALSE)</f>
        <v>95.9</v>
      </c>
      <c r="R219" s="65"/>
      <c r="S219" s="64">
        <v>-3</v>
      </c>
      <c r="T219" s="64"/>
      <c r="U219" s="64">
        <v>-2.1</v>
      </c>
      <c r="V219" s="68">
        <f>-home-VLOOKUP(Table2[[#This Row],[Home/Neutral]],rtg_vlookup,4,FALSE)+VLOOKUP(Table2[[#This Row],[Visitor/Neutral]],rtg_vlookup,4,FALSE)</f>
        <v>-1.9951184834123312</v>
      </c>
      <c r="W219" s="66"/>
      <c r="X219" s="68">
        <v>0.6</v>
      </c>
      <c r="Y219" s="68">
        <f>Table2[[#This Row],[Away EV]]-Table2[[#This Row],[Home EV]]</f>
        <v>0.56062240459790758</v>
      </c>
      <c r="Z219" s="33" t="str">
        <f>IF(Table2[[#This Row],[Spread (V)]]&gt;Table2[[#This Row],[(A) Spread]],"HOME","AWAY")</f>
        <v>AWAY</v>
      </c>
      <c r="AA219" s="37" t="str">
        <f>IF(Table2[[#This Row],[Spread (V)]]&gt;Table2[[#This Row],[Real EV]],"HOME","AWAY")</f>
        <v>AWAY</v>
      </c>
      <c r="AB219" s="5" t="b">
        <f>IF(VLOOKUP(Table2[[#This Row],[Home/Neutral]],division_lookup,9,FALSE)=VLOOKUP(Table2[[#This Row],[Visitor/Neutral]],division_lookup,9,FALSE),TRUE,FALSE)</f>
        <v>0</v>
      </c>
      <c r="AC219" s="19" t="str">
        <f>VLOOKUP(Table2[[#This Row],[Home/Neutral]],division_lookup,9,FALSE)</f>
        <v>SW</v>
      </c>
      <c r="AD219" s="19"/>
      <c r="AE219" s="19" t="str">
        <f>IF(Table2[[#This Row],[Total EV ®]]&lt;Table2[[#This Row],[Total (V)]],"UNDER","OVER")</f>
        <v>OVER</v>
      </c>
      <c r="AF219" s="30">
        <f>Table2[[#This Row],[(A) Spread]]-Table2[[#This Row],[Spread (V)]]</f>
        <v>0.89999999999999991</v>
      </c>
      <c r="AG219" s="19"/>
      <c r="AH219" s="2">
        <f>Table2[[#This Row],[EV]]-Table2[[#This Row],[Spread (V)]]</f>
        <v>3.5606224045979076</v>
      </c>
      <c r="AI219" s="22">
        <f>Table2[[#This Row],[(A)]]-Table2[[#This Row],[Spread]]</f>
        <v>-1.9951184834123312</v>
      </c>
      <c r="AJ219" s="1">
        <f>Table2[[#This Row],[(A) Err]]^2</f>
        <v>3.9804977628535205</v>
      </c>
      <c r="AK219" s="6">
        <f>Table2[[#This Row],[EV]]-Table2[[#This Row],[Spread]]</f>
        <v>0.56062240459790758</v>
      </c>
      <c r="AL219" s="1">
        <f>Table2[[#This Row],[EV Err]]^2</f>
        <v>0.31429748053713996</v>
      </c>
    </row>
    <row r="220" spans="1:38" x14ac:dyDescent="0.25">
      <c r="A220" s="64" t="s">
        <v>72</v>
      </c>
      <c r="B220" s="64" t="s">
        <v>33</v>
      </c>
      <c r="C220" s="32" t="s">
        <v>11</v>
      </c>
      <c r="D220" s="64"/>
      <c r="E220" s="64"/>
      <c r="F220" s="64"/>
      <c r="G220" s="64"/>
      <c r="H220" s="65"/>
      <c r="I220" s="64"/>
      <c r="J220" s="64"/>
      <c r="K220" s="66">
        <f>(Table2[[#This Row],[Home Pace]]/100)*(VLOOKUP(Table2[[#This Row],[Home/Neutral]],home_lookup,8,FALSE)+VLOOKUP(Table2[[#This Row],[Home/Neutral]],OFR_lookup,2,FALSE)+VLOOKUP(Table2[[#This Row],[Visitor/Neutral]],def_diff_lookup,6,FALSE))</f>
        <v>99.85939852057507</v>
      </c>
      <c r="L220" s="66"/>
      <c r="M220" s="66">
        <f>(Table2[[#This Row],[Away Pace]]/100)*(VLOOKUP(Table2[[#This Row],[Visitor/Neutral]],OFR_lookup,2,FALSE)+VLOOKUP(Table2[[#This Row],[Home/Neutral]],def_diff_lookup,6,FALSE))</f>
        <v>106.98873466666667</v>
      </c>
      <c r="N220" s="66"/>
      <c r="O220" s="66">
        <v>207</v>
      </c>
      <c r="P220" s="64">
        <f>VLOOKUP(Table2[[#This Row],[Home/Neutral]],pace_lookup,7,FALSE)</f>
        <v>98.2</v>
      </c>
      <c r="Q220" s="67">
        <f>VLOOKUP(Table2[[#This Row],[Visitor/Neutral]],pace_lookup,7,FALSE)</f>
        <v>99.7</v>
      </c>
      <c r="R220" s="65"/>
      <c r="S220" s="64"/>
      <c r="T220" s="64"/>
      <c r="U220" s="64">
        <v>8.6999999999999993</v>
      </c>
      <c r="V220" s="68">
        <f>-home-VLOOKUP(Table2[[#This Row],[Home/Neutral]],rtg_vlookup,4,FALSE)+VLOOKUP(Table2[[#This Row],[Visitor/Neutral]],rtg_vlookup,4,FALSE)</f>
        <v>8.8348815165876697</v>
      </c>
      <c r="W220" s="66"/>
      <c r="X220" s="68">
        <v>7.1</v>
      </c>
      <c r="Y220" s="68">
        <f>Table2[[#This Row],[Away EV]]-Table2[[#This Row],[Home EV]]</f>
        <v>7.1293361460916032</v>
      </c>
      <c r="Z220" s="33" t="str">
        <f>IF(Table2[[#This Row],[Spread (V)]]&gt;Table2[[#This Row],[(A) Spread]],"HOME","AWAY")</f>
        <v>AWAY</v>
      </c>
      <c r="AA220" s="37" t="str">
        <f>IF(Table2[[#This Row],[Spread (V)]]&gt;Table2[[#This Row],[Real EV]],"HOME","AWAY")</f>
        <v>AWAY</v>
      </c>
      <c r="AB220" s="5" t="b">
        <f>IF(VLOOKUP(Table2[[#This Row],[Home/Neutral]],division_lookup,9,FALSE)=VLOOKUP(Table2[[#This Row],[Visitor/Neutral]],division_lookup,9,FALSE),TRUE,FALSE)</f>
        <v>0</v>
      </c>
      <c r="AC220" s="19" t="str">
        <f>VLOOKUP(Table2[[#This Row],[Home/Neutral]],division_lookup,9,FALSE)</f>
        <v>C</v>
      </c>
      <c r="AD220" s="19"/>
      <c r="AE220" s="19" t="str">
        <f>IF(Table2[[#This Row],[Total EV ®]]&lt;Table2[[#This Row],[Total (V)]],"UNDER","OVER")</f>
        <v>OVER</v>
      </c>
      <c r="AF220" s="30">
        <f>Table2[[#This Row],[(A) Spread]]-Table2[[#This Row],[Spread (V)]]</f>
        <v>8.6999999999999993</v>
      </c>
      <c r="AG220" s="19"/>
      <c r="AH220" s="2">
        <f>Table2[[#This Row],[EV]]-Table2[[#This Row],[Spread (V)]]</f>
        <v>7.1293361460916032</v>
      </c>
      <c r="AI220" s="22">
        <f>Table2[[#This Row],[(A)]]-Table2[[#This Row],[Spread]]</f>
        <v>8.8348815165876697</v>
      </c>
      <c r="AJ220" s="1">
        <f>Table2[[#This Row],[(A) Err]]^2</f>
        <v>78.055131412142444</v>
      </c>
      <c r="AK220" s="6">
        <f>Table2[[#This Row],[EV]]-Table2[[#This Row],[Spread]]</f>
        <v>7.1293361460916032</v>
      </c>
      <c r="AL220" s="1">
        <f>Table2[[#This Row],[EV Err]]^2</f>
        <v>50.827433883968276</v>
      </c>
    </row>
    <row r="221" spans="1:38" x14ac:dyDescent="0.25">
      <c r="A221" s="55" t="s">
        <v>72</v>
      </c>
      <c r="B221" s="32" t="s">
        <v>34</v>
      </c>
      <c r="C221" s="55" t="s">
        <v>22</v>
      </c>
      <c r="D221" s="55"/>
      <c r="E221" s="55"/>
      <c r="F221" s="55"/>
      <c r="G221" s="55"/>
      <c r="H221" s="56"/>
      <c r="I221" s="55"/>
      <c r="J221" s="55"/>
      <c r="K221" s="57">
        <f>(Table2[[#This Row],[Home Pace]]/100)*(VLOOKUP(Table2[[#This Row],[Home/Neutral]],home_lookup,8,FALSE)+VLOOKUP(Table2[[#This Row],[Home/Neutral]],OFR_lookup,2,FALSE)+VLOOKUP(Table2[[#This Row],[Visitor/Neutral]],def_diff_lookup,6,FALSE))</f>
        <v>108.87931864565556</v>
      </c>
      <c r="L221" s="57"/>
      <c r="M221" s="57">
        <f>(Table2[[#This Row],[Away Pace]]/100)*(VLOOKUP(Table2[[#This Row],[Visitor/Neutral]],OFR_lookup,2,FALSE)+VLOOKUP(Table2[[#This Row],[Home/Neutral]],def_diff_lookup,6,FALSE))</f>
        <v>105.09869133333335</v>
      </c>
      <c r="N221" s="57"/>
      <c r="O221" s="57">
        <v>214</v>
      </c>
      <c r="P221" s="55">
        <f>VLOOKUP(Table2[[#This Row],[Home/Neutral]],pace_lookup,7,FALSE)</f>
        <v>98.8</v>
      </c>
      <c r="Q221" s="58">
        <f>VLOOKUP(Table2[[#This Row],[Visitor/Neutral]],pace_lookup,7,FALSE)</f>
        <v>94.7</v>
      </c>
      <c r="R221" s="56"/>
      <c r="S221" s="55"/>
      <c r="T221" s="55"/>
      <c r="U221" s="55">
        <v>3.1</v>
      </c>
      <c r="V221" s="59">
        <f>-home-VLOOKUP(Table2[[#This Row],[Home/Neutral]],rtg_vlookup,4,FALSE)+VLOOKUP(Table2[[#This Row],[Visitor/Neutral]],rtg_vlookup,4,FALSE)</f>
        <v>3.2148815165876696</v>
      </c>
      <c r="W221" s="57"/>
      <c r="X221" s="59">
        <v>-3.8</v>
      </c>
      <c r="Y221" s="59">
        <f>Table2[[#This Row],[Away EV]]-Table2[[#This Row],[Home EV]]</f>
        <v>-3.7806273123222098</v>
      </c>
      <c r="Z221" s="33" t="str">
        <f>IF(Table2[[#This Row],[Spread (V)]]&gt;Table2[[#This Row],[(A) Spread]],"HOME","AWAY")</f>
        <v>AWAY</v>
      </c>
      <c r="AA221" s="37" t="str">
        <f>IF(Table2[[#This Row],[Spread (V)]]&gt;Table2[[#This Row],[Real EV]],"HOME","AWAY")</f>
        <v>HOME</v>
      </c>
      <c r="AB221" s="5" t="b">
        <f>IF(VLOOKUP(Table2[[#This Row],[Home/Neutral]],division_lookup,9,FALSE)=VLOOKUP(Table2[[#This Row],[Visitor/Neutral]],division_lookup,9,FALSE),TRUE,FALSE)</f>
        <v>0</v>
      </c>
      <c r="AC221" s="19" t="str">
        <f>VLOOKUP(Table2[[#This Row],[Home/Neutral]],division_lookup,9,FALSE)</f>
        <v>SW</v>
      </c>
      <c r="AD221" s="19"/>
      <c r="AE221" s="19" t="str">
        <f>IF(Table2[[#This Row],[Total EV ®]]&lt;Table2[[#This Row],[Total (V)]],"UNDER","OVER")</f>
        <v>OVER</v>
      </c>
      <c r="AF221" s="30">
        <f>Table2[[#This Row],[(A) Spread]]-Table2[[#This Row],[Spread (V)]]</f>
        <v>3.1</v>
      </c>
      <c r="AG221" s="19"/>
      <c r="AH221" s="2">
        <f>Table2[[#This Row],[EV]]-Table2[[#This Row],[Spread (V)]]</f>
        <v>-3.7806273123222098</v>
      </c>
      <c r="AI221" s="22">
        <f>Table2[[#This Row],[(A)]]-Table2[[#This Row],[Spread]]</f>
        <v>3.2148815165876696</v>
      </c>
      <c r="AJ221" s="1">
        <f>Table2[[#This Row],[(A) Err]]^2</f>
        <v>10.335463165697035</v>
      </c>
      <c r="AK221" s="6">
        <f>Table2[[#This Row],[EV]]-Table2[[#This Row],[Spread]]</f>
        <v>-3.7806273123222098</v>
      </c>
      <c r="AL221" s="1">
        <f>Table2[[#This Row],[EV Err]]^2</f>
        <v>14.293142874676656</v>
      </c>
    </row>
    <row r="222" spans="1:38" x14ac:dyDescent="0.25">
      <c r="A222" s="64" t="s">
        <v>72</v>
      </c>
      <c r="B222" s="64" t="s">
        <v>38</v>
      </c>
      <c r="C222" s="64" t="s">
        <v>36</v>
      </c>
      <c r="D222" s="64"/>
      <c r="E222" s="64"/>
      <c r="F222" s="64"/>
      <c r="G222" s="64"/>
      <c r="H222" s="65"/>
      <c r="I222" s="64"/>
      <c r="J222" s="64"/>
      <c r="K222" s="66">
        <f>(Table2[[#This Row],[Home Pace]]/100)*(VLOOKUP(Table2[[#This Row],[Home/Neutral]],home_lookup,8,FALSE)+VLOOKUP(Table2[[#This Row],[Home/Neutral]],OFR_lookup,2,FALSE)+VLOOKUP(Table2[[#This Row],[Visitor/Neutral]],def_diff_lookup,6,FALSE))</f>
        <v>108.68133167891479</v>
      </c>
      <c r="L222" s="66"/>
      <c r="M222" s="66">
        <f>(Table2[[#This Row],[Away Pace]]/100)*(VLOOKUP(Table2[[#This Row],[Visitor/Neutral]],OFR_lookup,2,FALSE)+VLOOKUP(Table2[[#This Row],[Home/Neutral]],def_diff_lookup,6,FALSE))</f>
        <v>106.36022133333336</v>
      </c>
      <c r="N222" s="66"/>
      <c r="O222" s="66">
        <v>215</v>
      </c>
      <c r="P222" s="64">
        <f>VLOOKUP(Table2[[#This Row],[Home/Neutral]],pace_lookup,7,FALSE)</f>
        <v>94.2</v>
      </c>
      <c r="Q222" s="67">
        <f>VLOOKUP(Table2[[#This Row],[Visitor/Neutral]],pace_lookup,7,FALSE)</f>
        <v>102.2</v>
      </c>
      <c r="R222" s="65"/>
      <c r="S222" s="64"/>
      <c r="T222" s="64"/>
      <c r="U222" s="64">
        <v>-0.3</v>
      </c>
      <c r="V222" s="68">
        <f>-home-VLOOKUP(Table2[[#This Row],[Home/Neutral]],rtg_vlookup,4,FALSE)+VLOOKUP(Table2[[#This Row],[Visitor/Neutral]],rtg_vlookup,4,FALSE)</f>
        <v>-0.23511848341233144</v>
      </c>
      <c r="W222" s="66"/>
      <c r="X222" s="68">
        <v>-2.2999999999999998</v>
      </c>
      <c r="Y222" s="68">
        <f>Table2[[#This Row],[Away EV]]-Table2[[#This Row],[Home EV]]</f>
        <v>-2.321110345581431</v>
      </c>
      <c r="Z222" s="33" t="str">
        <f>IF(Table2[[#This Row],[Spread (V)]]&gt;Table2[[#This Row],[(A) Spread]],"HOME","AWAY")</f>
        <v>HOME</v>
      </c>
      <c r="AA222" s="37" t="str">
        <f>IF(Table2[[#This Row],[Spread (V)]]&gt;Table2[[#This Row],[Real EV]],"HOME","AWAY")</f>
        <v>HOME</v>
      </c>
      <c r="AB222" s="5" t="b">
        <f>IF(VLOOKUP(Table2[[#This Row],[Home/Neutral]],division_lookup,9,FALSE)=VLOOKUP(Table2[[#This Row],[Visitor/Neutral]],division_lookup,9,FALSE),TRUE,FALSE)</f>
        <v>0</v>
      </c>
      <c r="AC222" s="19" t="str">
        <f>VLOOKUP(Table2[[#This Row],[Home/Neutral]],division_lookup,9,FALSE)</f>
        <v>SE</v>
      </c>
      <c r="AD222" s="19"/>
      <c r="AE222" s="19" t="str">
        <f>IF(Table2[[#This Row],[Total EV ®]]&lt;Table2[[#This Row],[Total (V)]],"UNDER","OVER")</f>
        <v>OVER</v>
      </c>
      <c r="AF222" s="30">
        <f>Table2[[#This Row],[(A) Spread]]-Table2[[#This Row],[Spread (V)]]</f>
        <v>-0.3</v>
      </c>
      <c r="AG222" s="19"/>
      <c r="AH222" s="2">
        <f>Table2[[#This Row],[EV]]-Table2[[#This Row],[Spread (V)]]</f>
        <v>-2.321110345581431</v>
      </c>
      <c r="AI222" s="22">
        <f>Table2[[#This Row],[(A)]]-Table2[[#This Row],[Spread]]</f>
        <v>-0.23511848341233144</v>
      </c>
      <c r="AJ222" s="1">
        <f>Table2[[#This Row],[(A) Err]]^2</f>
        <v>5.5280701242114774E-2</v>
      </c>
      <c r="AK222" s="6">
        <f>Table2[[#This Row],[EV]]-Table2[[#This Row],[Spread]]</f>
        <v>-2.321110345581431</v>
      </c>
      <c r="AL222" s="1">
        <f>Table2[[#This Row],[EV Err]]^2</f>
        <v>5.3875532363651502</v>
      </c>
    </row>
    <row r="223" spans="1:38" x14ac:dyDescent="0.25">
      <c r="A223" s="55" t="s">
        <v>72</v>
      </c>
      <c r="B223" s="55" t="s">
        <v>39</v>
      </c>
      <c r="C223" s="55" t="s">
        <v>23</v>
      </c>
      <c r="D223" s="55"/>
      <c r="E223" s="55"/>
      <c r="F223" s="55"/>
      <c r="G223" s="55"/>
      <c r="H223" s="56"/>
      <c r="I223" s="55">
        <v>196.5</v>
      </c>
      <c r="J223" s="55"/>
      <c r="K223" s="57">
        <f>(Table2[[#This Row],[Home Pace]]/100)*(VLOOKUP(Table2[[#This Row],[Home/Neutral]],home_lookup,8,FALSE)+VLOOKUP(Table2[[#This Row],[Home/Neutral]],OFR_lookup,2,FALSE)+VLOOKUP(Table2[[#This Row],[Visitor/Neutral]],def_diff_lookup,6,FALSE))</f>
        <v>103.06727211468579</v>
      </c>
      <c r="L223" s="57"/>
      <c r="M223" s="57">
        <f>(Table2[[#This Row],[Away Pace]]/100)*(VLOOKUP(Table2[[#This Row],[Visitor/Neutral]],OFR_lookup,2,FALSE)+VLOOKUP(Table2[[#This Row],[Home/Neutral]],def_diff_lookup,6,FALSE))</f>
        <v>99.290116666666677</v>
      </c>
      <c r="N223" s="57"/>
      <c r="O223" s="57">
        <v>202</v>
      </c>
      <c r="P223" s="55">
        <f>VLOOKUP(Table2[[#This Row],[Home/Neutral]],pace_lookup,7,FALSE)</f>
        <v>97.5</v>
      </c>
      <c r="Q223" s="58">
        <f>VLOOKUP(Table2[[#This Row],[Visitor/Neutral]],pace_lookup,7,FALSE)</f>
        <v>92.5</v>
      </c>
      <c r="R223" s="56"/>
      <c r="S223" s="55">
        <v>5</v>
      </c>
      <c r="T223" s="55"/>
      <c r="U223" s="55">
        <v>8.8000000000000007</v>
      </c>
      <c r="V223" s="59">
        <f>-home-VLOOKUP(Table2[[#This Row],[Home/Neutral]],rtg_vlookup,4,FALSE)+VLOOKUP(Table2[[#This Row],[Visitor/Neutral]],rtg_vlookup,4,FALSE)</f>
        <v>8.9448815165876692</v>
      </c>
      <c r="W223" s="57"/>
      <c r="X223" s="59">
        <v>-3.8</v>
      </c>
      <c r="Y223" s="59">
        <f>Table2[[#This Row],[Away EV]]-Table2[[#This Row],[Home EV]]</f>
        <v>-3.7771554480191156</v>
      </c>
      <c r="Z223" s="33" t="str">
        <f>IF(Table2[[#This Row],[Spread (V)]]&gt;Table2[[#This Row],[(A) Spread]],"HOME","AWAY")</f>
        <v>AWAY</v>
      </c>
      <c r="AA223" s="37" t="str">
        <f>IF(Table2[[#This Row],[Spread (V)]]&gt;Table2[[#This Row],[Real EV]],"HOME","AWAY")</f>
        <v>HOME</v>
      </c>
      <c r="AB223" s="5" t="b">
        <f>IF(VLOOKUP(Table2[[#This Row],[Home/Neutral]],division_lookup,9,FALSE)=VLOOKUP(Table2[[#This Row],[Visitor/Neutral]],division_lookup,9,FALSE),TRUE,FALSE)</f>
        <v>0</v>
      </c>
      <c r="AC223" s="19" t="str">
        <f>VLOOKUP(Table2[[#This Row],[Home/Neutral]],division_lookup,9,FALSE)</f>
        <v>A</v>
      </c>
      <c r="AD223" s="19"/>
      <c r="AE223" s="19" t="str">
        <f>IF(Table2[[#This Row],[Total EV ®]]&lt;Table2[[#This Row],[Total (V)]],"UNDER","OVER")</f>
        <v>OVER</v>
      </c>
      <c r="AF223" s="30">
        <f>Table2[[#This Row],[(A) Spread]]-Table2[[#This Row],[Spread (V)]]</f>
        <v>3.8000000000000007</v>
      </c>
      <c r="AG223" s="19"/>
      <c r="AH223" s="2">
        <f>Table2[[#This Row],[EV]]-Table2[[#This Row],[Spread (V)]]</f>
        <v>-8.7771554480191156</v>
      </c>
      <c r="AI223" s="22">
        <f>Table2[[#This Row],[(A)]]-Table2[[#This Row],[Spread]]</f>
        <v>8.9448815165876692</v>
      </c>
      <c r="AJ223" s="1">
        <f>Table2[[#This Row],[(A) Err]]^2</f>
        <v>80.010905345791727</v>
      </c>
      <c r="AK223" s="6">
        <f>Table2[[#This Row],[EV]]-Table2[[#This Row],[Spread]]</f>
        <v>-3.7771554480191156</v>
      </c>
      <c r="AL223" s="1">
        <f>Table2[[#This Row],[EV Err]]^2</f>
        <v>14.266903278500486</v>
      </c>
    </row>
    <row r="224" spans="1:38" x14ac:dyDescent="0.25">
      <c r="A224" s="64" t="s">
        <v>72</v>
      </c>
      <c r="B224" s="64" t="s">
        <v>29</v>
      </c>
      <c r="C224" s="32" t="s">
        <v>18</v>
      </c>
      <c r="D224" s="64"/>
      <c r="E224" s="64"/>
      <c r="F224" s="64"/>
      <c r="G224" s="64"/>
      <c r="H224" s="65"/>
      <c r="I224" s="64"/>
      <c r="J224" s="64"/>
      <c r="K224" s="66">
        <f>(Table2[[#This Row],[Home Pace]]/100)*(VLOOKUP(Table2[[#This Row],[Home/Neutral]],home_lookup,8,FALSE)+VLOOKUP(Table2[[#This Row],[Home/Neutral]],OFR_lookup,2,FALSE)+VLOOKUP(Table2[[#This Row],[Visitor/Neutral]],def_diff_lookup,6,FALSE))</f>
        <v>105.04024926898522</v>
      </c>
      <c r="L224" s="66"/>
      <c r="M224" s="66">
        <f>(Table2[[#This Row],[Away Pace]]/100)*(VLOOKUP(Table2[[#This Row],[Visitor/Neutral]],OFR_lookup,2,FALSE)+VLOOKUP(Table2[[#This Row],[Home/Neutral]],def_diff_lookup,6,FALSE))</f>
        <v>107.24176333333334</v>
      </c>
      <c r="N224" s="66"/>
      <c r="O224" s="66">
        <v>212</v>
      </c>
      <c r="P224" s="64">
        <f>VLOOKUP(Table2[[#This Row],[Home/Neutral]],pace_lookup,7,FALSE)</f>
        <v>93.8</v>
      </c>
      <c r="Q224" s="67">
        <f>VLOOKUP(Table2[[#This Row],[Visitor/Neutral]],pace_lookup,7,FALSE)</f>
        <v>99.5</v>
      </c>
      <c r="R224" s="65"/>
      <c r="S224" s="64"/>
      <c r="T224" s="64"/>
      <c r="U224" s="64">
        <v>1.8</v>
      </c>
      <c r="V224" s="68">
        <f>-home-VLOOKUP(Table2[[#This Row],[Home/Neutral]],rtg_vlookup,4,FALSE)+VLOOKUP(Table2[[#This Row],[Visitor/Neutral]],rtg_vlookup,4,FALSE)</f>
        <v>1.8948815165876693</v>
      </c>
      <c r="W224" s="66"/>
      <c r="X224" s="68">
        <v>2.2000000000000002</v>
      </c>
      <c r="Y224" s="68">
        <f>Table2[[#This Row],[Away EV]]-Table2[[#This Row],[Home EV]]</f>
        <v>2.2015140643481175</v>
      </c>
      <c r="Z224" s="33" t="str">
        <f>IF(Table2[[#This Row],[Spread (V)]]&gt;Table2[[#This Row],[(A) Spread]],"HOME","AWAY")</f>
        <v>AWAY</v>
      </c>
      <c r="AA224" s="37" t="str">
        <f>IF(Table2[[#This Row],[Spread (V)]]&gt;Table2[[#This Row],[Real EV]],"HOME","AWAY")</f>
        <v>AWAY</v>
      </c>
      <c r="AB224" s="5" t="b">
        <f>IF(VLOOKUP(Table2[[#This Row],[Home/Neutral]],division_lookup,9,FALSE)=VLOOKUP(Table2[[#This Row],[Visitor/Neutral]],division_lookup,9,FALSE),TRUE,FALSE)</f>
        <v>0</v>
      </c>
      <c r="AC224" s="19" t="str">
        <f>VLOOKUP(Table2[[#This Row],[Home/Neutral]],division_lookup,9,FALSE)</f>
        <v>P</v>
      </c>
      <c r="AD224" s="19"/>
      <c r="AE224" s="19" t="str">
        <f>IF(Table2[[#This Row],[Total EV ®]]&lt;Table2[[#This Row],[Total (V)]],"UNDER","OVER")</f>
        <v>OVER</v>
      </c>
      <c r="AF224" s="30">
        <f>Table2[[#This Row],[(A) Spread]]-Table2[[#This Row],[Spread (V)]]</f>
        <v>1.8</v>
      </c>
      <c r="AG224" s="19"/>
      <c r="AH224" s="2">
        <f>Table2[[#This Row],[EV]]-Table2[[#This Row],[Spread (V)]]</f>
        <v>2.2015140643481175</v>
      </c>
      <c r="AI224" s="22">
        <f>Table2[[#This Row],[(A)]]-Table2[[#This Row],[Spread]]</f>
        <v>1.8948815165876693</v>
      </c>
      <c r="AJ224" s="1">
        <f>Table2[[#This Row],[(A) Err]]^2</f>
        <v>3.5905759619055857</v>
      </c>
      <c r="AK224" s="6">
        <f>Table2[[#This Row],[EV]]-Table2[[#This Row],[Spread]]</f>
        <v>2.2015140643481175</v>
      </c>
      <c r="AL224" s="1">
        <f>Table2[[#This Row],[EV Err]]^2</f>
        <v>4.8466641755225668</v>
      </c>
    </row>
    <row r="225" spans="1:38" ht="15.75" thickBot="1" x14ac:dyDescent="0.3">
      <c r="A225" s="60" t="s">
        <v>72</v>
      </c>
      <c r="B225" s="60" t="s">
        <v>20</v>
      </c>
      <c r="C225" s="40" t="s">
        <v>27</v>
      </c>
      <c r="D225" s="60"/>
      <c r="E225" s="60"/>
      <c r="F225" s="60"/>
      <c r="G225" s="60"/>
      <c r="H225" s="61"/>
      <c r="I225" s="60"/>
      <c r="J225" s="60"/>
      <c r="K225" s="62">
        <f>(Table2[[#This Row],[Home Pace]]/100)*(VLOOKUP(Table2[[#This Row],[Home/Neutral]],home_lookup,8,FALSE)+VLOOKUP(Table2[[#This Row],[Home/Neutral]],OFR_lookup,2,FALSE)+VLOOKUP(Table2[[#This Row],[Visitor/Neutral]],def_diff_lookup,6,FALSE))</f>
        <v>103.52882528915177</v>
      </c>
      <c r="L225" s="62"/>
      <c r="M225" s="62">
        <f>(Table2[[#This Row],[Away Pace]]/100)*(VLOOKUP(Table2[[#This Row],[Visitor/Neutral]],OFR_lookup,2,FALSE)+VLOOKUP(Table2[[#This Row],[Home/Neutral]],def_diff_lookup,6,FALSE))</f>
        <v>102.80226</v>
      </c>
      <c r="N225" s="62"/>
      <c r="O225" s="62">
        <v>206</v>
      </c>
      <c r="P225" s="60">
        <f>VLOOKUP(Table2[[#This Row],[Home/Neutral]],pace_lookup,7,FALSE)</f>
        <v>90.9</v>
      </c>
      <c r="Q225" s="60">
        <f>VLOOKUP(Table2[[#This Row],[Visitor/Neutral]],pace_lookup,7,FALSE)</f>
        <v>99</v>
      </c>
      <c r="R225" s="61"/>
      <c r="S225" s="60"/>
      <c r="T225" s="60"/>
      <c r="U225" s="60">
        <v>-5.2</v>
      </c>
      <c r="V225" s="63">
        <f>-home-VLOOKUP(Table2[[#This Row],[Home/Neutral]],rtg_vlookup,4,FALSE)+VLOOKUP(Table2[[#This Row],[Visitor/Neutral]],rtg_vlookup,4,FALSE)</f>
        <v>-5.0551184834123308</v>
      </c>
      <c r="W225" s="62"/>
      <c r="X225" s="63">
        <v>-0.7</v>
      </c>
      <c r="Y225" s="63">
        <f>Table2[[#This Row],[Away EV]]-Table2[[#This Row],[Home EV]]</f>
        <v>-0.72656528915176466</v>
      </c>
      <c r="Z225" s="35" t="str">
        <f>IF(Table2[[#This Row],[Spread (V)]]&gt;Table2[[#This Row],[(A) Spread]],"HOME","AWAY")</f>
        <v>HOME</v>
      </c>
      <c r="AA225" s="36" t="str">
        <f>IF(Table2[[#This Row],[Spread (V)]]&gt;Table2[[#This Row],[Real EV]],"HOME","AWAY")</f>
        <v>HOME</v>
      </c>
      <c r="AB225" s="3" t="b">
        <f>IF(VLOOKUP(Table2[[#This Row],[Home/Neutral]],division_lookup,9,FALSE)=VLOOKUP(Table2[[#This Row],[Visitor/Neutral]],division_lookup,9,FALSE),TRUE,FALSE)</f>
        <v>1</v>
      </c>
      <c r="AC225" s="20" t="str">
        <f>VLOOKUP(Table2[[#This Row],[Home/Neutral]],division_lookup,9,FALSE)</f>
        <v>NW</v>
      </c>
      <c r="AD225" s="20"/>
      <c r="AE225" s="20" t="str">
        <f>IF(Table2[[#This Row],[Total EV ®]]&lt;Table2[[#This Row],[Total (V)]],"UNDER","OVER")</f>
        <v>OVER</v>
      </c>
      <c r="AF225" s="20">
        <f>Table2[[#This Row],[(A) Spread]]-Table2[[#This Row],[Spread (V)]]</f>
        <v>-5.2</v>
      </c>
      <c r="AG225" s="20"/>
      <c r="AH225" s="12">
        <f>Table2[[#This Row],[EV]]-Table2[[#This Row],[Spread (V)]]</f>
        <v>-0.72656528915176466</v>
      </c>
      <c r="AI225" s="4">
        <f>Table2[[#This Row],[(A)]]-Table2[[#This Row],[Spread]]</f>
        <v>-5.0551184834123308</v>
      </c>
      <c r="AJ225" s="4">
        <f>Table2[[#This Row],[(A) Err]]^2</f>
        <v>25.554222881336983</v>
      </c>
      <c r="AK225" s="6">
        <f>Table2[[#This Row],[EV]]-Table2[[#This Row],[Spread]]</f>
        <v>-0.72656528915176466</v>
      </c>
      <c r="AL225" s="1">
        <f>Table2[[#This Row],[EV Err]]^2</f>
        <v>0.52789711940018735</v>
      </c>
    </row>
    <row r="226" spans="1:38" x14ac:dyDescent="0.25">
      <c r="A226" t="s">
        <v>73</v>
      </c>
      <c r="B226" t="s">
        <v>26</v>
      </c>
      <c r="C226" t="s">
        <v>6</v>
      </c>
      <c r="K226" s="25">
        <f>(Table2[[#This Row],[Home Pace]]/100)*(VLOOKUP(Table2[[#This Row],[Home/Neutral]],home_lookup,8,FALSE)+VLOOKUP(Table2[[#This Row],[Home/Neutral]],OFR_lookup,2,FALSE)+VLOOKUP(Table2[[#This Row],[Visitor/Neutral]],def_diff_lookup,6,FALSE))</f>
        <v>104.64336358918159</v>
      </c>
      <c r="L226" s="25"/>
      <c r="M226" s="25">
        <f>(Table2[[#This Row],[Away Pace]]/100)*(VLOOKUP(Table2[[#This Row],[Visitor/Neutral]],OFR_lookup,2,FALSE)+VLOOKUP(Table2[[#This Row],[Home/Neutral]],def_diff_lookup,6,FALSE))</f>
        <v>104.98018066666667</v>
      </c>
      <c r="N226" s="25"/>
      <c r="O226" s="25"/>
      <c r="P226">
        <f>VLOOKUP(Table2[[#This Row],[Home/Neutral]],pace_lookup,7,FALSE)</f>
        <v>96</v>
      </c>
      <c r="Q226" s="5">
        <f>VLOOKUP(Table2[[#This Row],[Visitor/Neutral]],pace_lookup,7,FALSE)</f>
        <v>93.1</v>
      </c>
      <c r="R226" s="9"/>
      <c r="V226" s="2">
        <f>-home-VLOOKUP(Table2[[#This Row],[Home/Neutral]],rtg_vlookup,4,FALSE)+VLOOKUP(Table2[[#This Row],[Visitor/Neutral]],rtg_vlookup,4,FALSE)</f>
        <v>4.494881516587669</v>
      </c>
      <c r="W226" s="25"/>
      <c r="X226" s="2"/>
      <c r="Y226" s="2">
        <f>Table2[[#This Row],[Away EV]]-Table2[[#This Row],[Home EV]]</f>
        <v>0.33681707748507961</v>
      </c>
      <c r="Z226" s="33"/>
      <c r="AA226" s="34"/>
      <c r="AB226" s="5" t="b">
        <f>IF(VLOOKUP(Table2[[#This Row],[Home/Neutral]],division_lookup,9,FALSE)=VLOOKUP(Table2[[#This Row],[Visitor/Neutral]],division_lookup,9,FALSE),TRUE,FALSE)</f>
        <v>0</v>
      </c>
      <c r="AC226" s="19" t="str">
        <f>VLOOKUP(Table2[[#This Row],[Home/Neutral]],division_lookup,9,FALSE)</f>
        <v>A</v>
      </c>
      <c r="AD226" s="19"/>
      <c r="AE226" s="19" t="str">
        <f>IF(Table2[[#This Row],[Total EV ®]]&lt;Table2[[#This Row],[Total (V)]],"UNDER","OVER")</f>
        <v>OVER</v>
      </c>
      <c r="AF226" s="30">
        <f>Table2[[#This Row],[(A) Spread]]-Table2[[#This Row],[Spread (V)]]</f>
        <v>0</v>
      </c>
      <c r="AG226" s="19"/>
      <c r="AH226" s="2">
        <f>Table2[[#This Row],[EV]]-Table2[[#This Row],[Spread (V)]]</f>
        <v>0.33681707748507961</v>
      </c>
      <c r="AI226" s="22">
        <f>Table2[[#This Row],[(A)]]-Table2[[#This Row],[Spread]]</f>
        <v>4.494881516587669</v>
      </c>
      <c r="AJ226" s="1">
        <f>Table2[[#This Row],[(A) Err]]^2</f>
        <v>20.203959848161464</v>
      </c>
      <c r="AK226" s="6">
        <f>Table2[[#This Row],[EV]]-Table2[[#This Row],[Spread]]</f>
        <v>0.33681707748507961</v>
      </c>
      <c r="AL226" s="1">
        <f>Table2[[#This Row],[EV Err]]^2</f>
        <v>0.11344574368559011</v>
      </c>
    </row>
    <row r="227" spans="1:38" x14ac:dyDescent="0.25">
      <c r="A227" t="s">
        <v>73</v>
      </c>
      <c r="B227" t="s">
        <v>8</v>
      </c>
      <c r="C227" t="s">
        <v>37</v>
      </c>
      <c r="K227" s="25">
        <f>(Table2[[#This Row],[Home Pace]]/100)*(VLOOKUP(Table2[[#This Row],[Home/Neutral]],home_lookup,8,FALSE)+VLOOKUP(Table2[[#This Row],[Home/Neutral]],OFR_lookup,2,FALSE)+VLOOKUP(Table2[[#This Row],[Visitor/Neutral]],def_diff_lookup,6,FALSE))</f>
        <v>101.81238036898181</v>
      </c>
      <c r="L227" s="25"/>
      <c r="M227" s="25">
        <f>(Table2[[#This Row],[Away Pace]]/100)*(VLOOKUP(Table2[[#This Row],[Visitor/Neutral]],OFR_lookup,2,FALSE)+VLOOKUP(Table2[[#This Row],[Home/Neutral]],def_diff_lookup,6,FALSE))</f>
        <v>86.381204000000011</v>
      </c>
      <c r="N227" s="25"/>
      <c r="O227" s="25"/>
      <c r="P227">
        <f>VLOOKUP(Table2[[#This Row],[Home/Neutral]],pace_lookup,7,FALSE)</f>
        <v>97.2</v>
      </c>
      <c r="Q227" s="5">
        <f>VLOOKUP(Table2[[#This Row],[Visitor/Neutral]],pace_lookup,7,FALSE)</f>
        <v>92.1</v>
      </c>
      <c r="R227" s="9"/>
      <c r="V227" s="2">
        <f>-home-VLOOKUP(Table2[[#This Row],[Home/Neutral]],rtg_vlookup,4,FALSE)+VLOOKUP(Table2[[#This Row],[Visitor/Neutral]],rtg_vlookup,4,FALSE)</f>
        <v>-17.065118483412331</v>
      </c>
      <c r="W227" s="25"/>
      <c r="X227" s="2"/>
      <c r="Y227" s="2">
        <f>Table2[[#This Row],[Away EV]]-Table2[[#This Row],[Home EV]]</f>
        <v>-15.431176368981795</v>
      </c>
      <c r="Z227" s="33"/>
      <c r="AA227" s="34"/>
      <c r="AB227" s="5" t="b">
        <f>IF(VLOOKUP(Table2[[#This Row],[Home/Neutral]],division_lookup,9,FALSE)=VLOOKUP(Table2[[#This Row],[Visitor/Neutral]],division_lookup,9,FALSE),TRUE,FALSE)</f>
        <v>0</v>
      </c>
      <c r="AC227" s="19" t="str">
        <f>VLOOKUP(Table2[[#This Row],[Home/Neutral]],division_lookup,9,FALSE)</f>
        <v>C</v>
      </c>
      <c r="AD227" s="19"/>
      <c r="AE227" s="19" t="str">
        <f>IF(Table2[[#This Row],[Total EV ®]]&lt;Table2[[#This Row],[Total (V)]],"UNDER","OVER")</f>
        <v>OVER</v>
      </c>
      <c r="AF227" s="30">
        <f>Table2[[#This Row],[(A) Spread]]-Table2[[#This Row],[Spread (V)]]</f>
        <v>0</v>
      </c>
      <c r="AG227" s="19"/>
      <c r="AH227" s="2">
        <f>Table2[[#This Row],[EV]]-Table2[[#This Row],[Spread (V)]]</f>
        <v>-15.431176368981795</v>
      </c>
      <c r="AI227" s="22">
        <f>Table2[[#This Row],[(A)]]-Table2[[#This Row],[Spread]]</f>
        <v>-17.065118483412331</v>
      </c>
      <c r="AJ227" s="1">
        <f>Table2[[#This Row],[(A) Err]]^2</f>
        <v>291.21826885290119</v>
      </c>
      <c r="AK227" s="6">
        <f>Table2[[#This Row],[EV]]-Table2[[#This Row],[Spread]]</f>
        <v>-15.431176368981795</v>
      </c>
      <c r="AL227" s="1">
        <f>Table2[[#This Row],[EV Err]]^2</f>
        <v>238.12120413062217</v>
      </c>
    </row>
    <row r="228" spans="1:38" x14ac:dyDescent="0.25">
      <c r="A228" t="s">
        <v>73</v>
      </c>
      <c r="B228" t="s">
        <v>27</v>
      </c>
      <c r="C228" t="s">
        <v>18</v>
      </c>
      <c r="K228" s="25">
        <f>(Table2[[#This Row],[Home Pace]]/100)*(VLOOKUP(Table2[[#This Row],[Home/Neutral]],home_lookup,8,FALSE)+VLOOKUP(Table2[[#This Row],[Home/Neutral]],OFR_lookup,2,FALSE)+VLOOKUP(Table2[[#This Row],[Visitor/Neutral]],def_diff_lookup,6,FALSE))</f>
        <v>100.41705642647257</v>
      </c>
      <c r="L228" s="25"/>
      <c r="M228" s="25">
        <f>(Table2[[#This Row],[Away Pace]]/100)*(VLOOKUP(Table2[[#This Row],[Visitor/Neutral]],OFR_lookup,2,FALSE)+VLOOKUP(Table2[[#This Row],[Home/Neutral]],def_diff_lookup,6,FALSE))</f>
        <v>103.52046333333335</v>
      </c>
      <c r="N228" s="25"/>
      <c r="O228" s="25"/>
      <c r="P228">
        <f>VLOOKUP(Table2[[#This Row],[Home/Neutral]],pace_lookup,7,FALSE)</f>
        <v>99</v>
      </c>
      <c r="Q228" s="5">
        <f>VLOOKUP(Table2[[#This Row],[Visitor/Neutral]],pace_lookup,7,FALSE)</f>
        <v>99.5</v>
      </c>
      <c r="R228" s="9"/>
      <c r="V228" s="2">
        <f>-home-VLOOKUP(Table2[[#This Row],[Home/Neutral]],rtg_vlookup,4,FALSE)+VLOOKUP(Table2[[#This Row],[Visitor/Neutral]],rtg_vlookup,4,FALSE)</f>
        <v>0.19488151658766917</v>
      </c>
      <c r="W228" s="25"/>
      <c r="X228" s="2"/>
      <c r="Y228" s="2">
        <f>Table2[[#This Row],[Away EV]]-Table2[[#This Row],[Home EV]]</f>
        <v>3.1034069068607835</v>
      </c>
      <c r="Z228" s="33"/>
      <c r="AA228" s="34"/>
      <c r="AB228" s="5" t="b">
        <f>IF(VLOOKUP(Table2[[#This Row],[Home/Neutral]],division_lookup,9,FALSE)=VLOOKUP(Table2[[#This Row],[Visitor/Neutral]],division_lookup,9,FALSE),TRUE,FALSE)</f>
        <v>1</v>
      </c>
      <c r="AC228" s="19" t="str">
        <f>VLOOKUP(Table2[[#This Row],[Home/Neutral]],division_lookup,9,FALSE)</f>
        <v>NW</v>
      </c>
      <c r="AD228" s="19"/>
      <c r="AE228" s="19" t="str">
        <f>IF(Table2[[#This Row],[Total EV ®]]&lt;Table2[[#This Row],[Total (V)]],"UNDER","OVER")</f>
        <v>OVER</v>
      </c>
      <c r="AF228" s="30">
        <f>Table2[[#This Row],[(A) Spread]]-Table2[[#This Row],[Spread (V)]]</f>
        <v>0</v>
      </c>
      <c r="AG228" s="19"/>
      <c r="AH228" s="2">
        <f>Table2[[#This Row],[EV]]-Table2[[#This Row],[Spread (V)]]</f>
        <v>3.1034069068607835</v>
      </c>
      <c r="AI228" s="22">
        <f>Table2[[#This Row],[(A)]]-Table2[[#This Row],[Spread]]</f>
        <v>0.19488151658766917</v>
      </c>
      <c r="AJ228" s="1">
        <f>Table2[[#This Row],[(A) Err]]^2</f>
        <v>3.7978805507509976E-2</v>
      </c>
      <c r="AK228" s="6">
        <f>Table2[[#This Row],[EV]]-Table2[[#This Row],[Spread]]</f>
        <v>3.1034069068607835</v>
      </c>
      <c r="AL228" s="1">
        <f>Table2[[#This Row],[EV Err]]^2</f>
        <v>9.6311344295512153</v>
      </c>
    </row>
    <row r="229" spans="1:38" x14ac:dyDescent="0.25">
      <c r="A229" t="s">
        <v>73</v>
      </c>
      <c r="B229" t="s">
        <v>25</v>
      </c>
      <c r="C229" t="s">
        <v>4</v>
      </c>
      <c r="K229" s="25">
        <f>(Table2[[#This Row],[Home Pace]]/100)*(VLOOKUP(Table2[[#This Row],[Home/Neutral]],home_lookup,8,FALSE)+VLOOKUP(Table2[[#This Row],[Home/Neutral]],OFR_lookup,2,FALSE)+VLOOKUP(Table2[[#This Row],[Visitor/Neutral]],def_diff_lookup,6,FALSE))</f>
        <v>97.523184444272559</v>
      </c>
      <c r="L229" s="25"/>
      <c r="M229" s="25">
        <f>(Table2[[#This Row],[Away Pace]]/100)*(VLOOKUP(Table2[[#This Row],[Visitor/Neutral]],OFR_lookup,2,FALSE)+VLOOKUP(Table2[[#This Row],[Home/Neutral]],def_diff_lookup,6,FALSE))</f>
        <v>107.39086400000001</v>
      </c>
      <c r="N229" s="25"/>
      <c r="O229" s="25"/>
      <c r="P229">
        <f>VLOOKUP(Table2[[#This Row],[Home/Neutral]],pace_lookup,7,FALSE)</f>
        <v>94.4</v>
      </c>
      <c r="Q229" s="5">
        <f>VLOOKUP(Table2[[#This Row],[Visitor/Neutral]],pace_lookup,7,FALSE)</f>
        <v>96.6</v>
      </c>
      <c r="R229" s="9"/>
      <c r="V229" s="2">
        <f>-home-VLOOKUP(Table2[[#This Row],[Home/Neutral]],rtg_vlookup,4,FALSE)+VLOOKUP(Table2[[#This Row],[Visitor/Neutral]],rtg_vlookup,4,FALSE)</f>
        <v>11.92488151658767</v>
      </c>
      <c r="W229" s="25"/>
      <c r="X229" s="2"/>
      <c r="Y229" s="2">
        <f>Table2[[#This Row],[Away EV]]-Table2[[#This Row],[Home EV]]</f>
        <v>9.8676795557274488</v>
      </c>
      <c r="Z229" s="33"/>
      <c r="AA229" s="34"/>
      <c r="AB229" s="5" t="b">
        <f>IF(VLOOKUP(Table2[[#This Row],[Home/Neutral]],division_lookup,9,FALSE)=VLOOKUP(Table2[[#This Row],[Visitor/Neutral]],division_lookup,9,FALSE),TRUE,FALSE)</f>
        <v>0</v>
      </c>
      <c r="AC229" s="19" t="str">
        <f>VLOOKUP(Table2[[#This Row],[Home/Neutral]],division_lookup,9,FALSE)</f>
        <v>C</v>
      </c>
      <c r="AD229" s="19"/>
      <c r="AE229" s="19" t="str">
        <f>IF(Table2[[#This Row],[Total EV ®]]&lt;Table2[[#This Row],[Total (V)]],"UNDER","OVER")</f>
        <v>OVER</v>
      </c>
      <c r="AF229" s="30">
        <f>Table2[[#This Row],[(A) Spread]]-Table2[[#This Row],[Spread (V)]]</f>
        <v>0</v>
      </c>
      <c r="AG229" s="19"/>
      <c r="AH229" s="2">
        <f>Table2[[#This Row],[EV]]-Table2[[#This Row],[Spread (V)]]</f>
        <v>9.8676795557274488</v>
      </c>
      <c r="AI229" s="22">
        <f>Table2[[#This Row],[(A)]]-Table2[[#This Row],[Spread]]</f>
        <v>11.92488151658767</v>
      </c>
      <c r="AJ229" s="1">
        <f>Table2[[#This Row],[(A) Err]]^2</f>
        <v>142.20279918465422</v>
      </c>
      <c r="AK229" s="6">
        <f>Table2[[#This Row],[EV]]-Table2[[#This Row],[Spread]]</f>
        <v>9.8676795557274488</v>
      </c>
      <c r="AL229" s="1">
        <f>Table2[[#This Row],[EV Err]]^2</f>
        <v>97.371099814521457</v>
      </c>
    </row>
    <row r="230" spans="1:38" x14ac:dyDescent="0.25">
      <c r="A230" t="s">
        <v>73</v>
      </c>
      <c r="B230" t="s">
        <v>33</v>
      </c>
      <c r="C230" t="s">
        <v>35</v>
      </c>
      <c r="K230" s="25">
        <f>(Table2[[#This Row],[Home Pace]]/100)*(VLOOKUP(Table2[[#This Row],[Home/Neutral]],home_lookup,8,FALSE)+VLOOKUP(Table2[[#This Row],[Home/Neutral]],OFR_lookup,2,FALSE)+VLOOKUP(Table2[[#This Row],[Visitor/Neutral]],def_diff_lookup,6,FALSE))</f>
        <v>111.02473852057506</v>
      </c>
      <c r="L230" s="25"/>
      <c r="M230" s="25">
        <f>(Table2[[#This Row],[Away Pace]]/100)*(VLOOKUP(Table2[[#This Row],[Visitor/Neutral]],OFR_lookup,2,FALSE)+VLOOKUP(Table2[[#This Row],[Home/Neutral]],def_diff_lookup,6,FALSE))</f>
        <v>108.38378133333336</v>
      </c>
      <c r="N230" s="25"/>
      <c r="O230" s="25"/>
      <c r="P230">
        <f>VLOOKUP(Table2[[#This Row],[Home/Neutral]],pace_lookup,7,FALSE)</f>
        <v>98.2</v>
      </c>
      <c r="Q230" s="5">
        <f>VLOOKUP(Table2[[#This Row],[Visitor/Neutral]],pace_lookup,7,FALSE)</f>
        <v>102.2</v>
      </c>
      <c r="R230" s="9"/>
      <c r="V230" s="2">
        <f>-home-VLOOKUP(Table2[[#This Row],[Home/Neutral]],rtg_vlookup,4,FALSE)+VLOOKUP(Table2[[#This Row],[Visitor/Neutral]],rtg_vlookup,4,FALSE)</f>
        <v>-3.7951184834123302</v>
      </c>
      <c r="W230" s="25"/>
      <c r="X230" s="2"/>
      <c r="Y230" s="2">
        <f>Table2[[#This Row],[Away EV]]-Table2[[#This Row],[Home EV]]</f>
        <v>-2.6409571872416961</v>
      </c>
      <c r="Z230" s="33"/>
      <c r="AA230" s="34"/>
      <c r="AB230" s="5" t="b">
        <f>IF(VLOOKUP(Table2[[#This Row],[Home/Neutral]],division_lookup,9,FALSE)=VLOOKUP(Table2[[#This Row],[Visitor/Neutral]],division_lookup,9,FALSE),TRUE,FALSE)</f>
        <v>0</v>
      </c>
      <c r="AC230" s="19" t="str">
        <f>VLOOKUP(Table2[[#This Row],[Home/Neutral]],division_lookup,9,FALSE)</f>
        <v>C</v>
      </c>
      <c r="AD230" s="19"/>
      <c r="AE230" s="19" t="str">
        <f>IF(Table2[[#This Row],[Total EV ®]]&lt;Table2[[#This Row],[Total (V)]],"UNDER","OVER")</f>
        <v>OVER</v>
      </c>
      <c r="AF230" s="30">
        <f>Table2[[#This Row],[(A) Spread]]-Table2[[#This Row],[Spread (V)]]</f>
        <v>0</v>
      </c>
      <c r="AG230" s="19"/>
      <c r="AH230" s="2">
        <f>Table2[[#This Row],[EV]]-Table2[[#This Row],[Spread (V)]]</f>
        <v>-2.6409571872416961</v>
      </c>
      <c r="AI230" s="22">
        <f>Table2[[#This Row],[(A)]]-Table2[[#This Row],[Spread]]</f>
        <v>-3.7951184834123302</v>
      </c>
      <c r="AJ230" s="1">
        <f>Table2[[#This Row],[(A) Err]]^2</f>
        <v>14.402924303137905</v>
      </c>
      <c r="AK230" s="6">
        <f>Table2[[#This Row],[EV]]-Table2[[#This Row],[Spread]]</f>
        <v>-2.6409571872416961</v>
      </c>
      <c r="AL230" s="1">
        <f>Table2[[#This Row],[EV Err]]^2</f>
        <v>6.9746548648435711</v>
      </c>
    </row>
    <row r="231" spans="1:38" x14ac:dyDescent="0.25">
      <c r="A231" t="s">
        <v>73</v>
      </c>
      <c r="B231" t="s">
        <v>24</v>
      </c>
      <c r="C231" t="s">
        <v>10</v>
      </c>
      <c r="K231" s="25">
        <f>(Table2[[#This Row],[Home Pace]]/100)*(VLOOKUP(Table2[[#This Row],[Home/Neutral]],home_lookup,8,FALSE)+VLOOKUP(Table2[[#This Row],[Home/Neutral]],OFR_lookup,2,FALSE)+VLOOKUP(Table2[[#This Row],[Visitor/Neutral]],def_diff_lookup,6,FALSE))</f>
        <v>110.7549343283094</v>
      </c>
      <c r="L231" s="25"/>
      <c r="M231" s="25">
        <f>(Table2[[#This Row],[Away Pace]]/100)*(VLOOKUP(Table2[[#This Row],[Visitor/Neutral]],OFR_lookup,2,FALSE)+VLOOKUP(Table2[[#This Row],[Home/Neutral]],def_diff_lookup,6,FALSE))</f>
        <v>120.68162866666665</v>
      </c>
      <c r="N231" s="25"/>
      <c r="O231" s="25"/>
      <c r="P231">
        <f>VLOOKUP(Table2[[#This Row],[Home/Neutral]],pace_lookup,7,FALSE)</f>
        <v>99.9</v>
      </c>
      <c r="Q231" s="5">
        <f>VLOOKUP(Table2[[#This Row],[Visitor/Neutral]],pace_lookup,7,FALSE)</f>
        <v>100.3</v>
      </c>
      <c r="R231" s="9"/>
      <c r="V231" s="2">
        <f>-home-VLOOKUP(Table2[[#This Row],[Home/Neutral]],rtg_vlookup,4,FALSE)+VLOOKUP(Table2[[#This Row],[Visitor/Neutral]],rtg_vlookup,4,FALSE)</f>
        <v>5.4948815165876699</v>
      </c>
      <c r="W231" s="25"/>
      <c r="X231" s="2"/>
      <c r="Y231" s="2">
        <f>Table2[[#This Row],[Away EV]]-Table2[[#This Row],[Home EV]]</f>
        <v>9.926694338357251</v>
      </c>
      <c r="Z231" s="33"/>
      <c r="AA231" s="34"/>
      <c r="AB231" s="5" t="b">
        <f>IF(VLOOKUP(Table2[[#This Row],[Home/Neutral]],division_lookup,9,FALSE)=VLOOKUP(Table2[[#This Row],[Visitor/Neutral]],division_lookup,9,FALSE),TRUE,FALSE)</f>
        <v>1</v>
      </c>
      <c r="AC231" s="19" t="str">
        <f>VLOOKUP(Table2[[#This Row],[Home/Neutral]],division_lookup,9,FALSE)</f>
        <v>P</v>
      </c>
      <c r="AD231" s="19"/>
      <c r="AE231" s="19" t="str">
        <f>IF(Table2[[#This Row],[Total EV ®]]&lt;Table2[[#This Row],[Total (V)]],"UNDER","OVER")</f>
        <v>OVER</v>
      </c>
      <c r="AF231" s="30">
        <f>Table2[[#This Row],[(A) Spread]]-Table2[[#This Row],[Spread (V)]]</f>
        <v>0</v>
      </c>
      <c r="AG231" s="19"/>
      <c r="AH231" s="2">
        <f>Table2[[#This Row],[EV]]-Table2[[#This Row],[Spread (V)]]</f>
        <v>9.926694338357251</v>
      </c>
      <c r="AI231" s="22">
        <f>Table2[[#This Row],[(A)]]-Table2[[#This Row],[Spread]]</f>
        <v>5.4948815165876699</v>
      </c>
      <c r="AJ231" s="1">
        <f>Table2[[#This Row],[(A) Err]]^2</f>
        <v>30.193722881336811</v>
      </c>
      <c r="AK231" s="6">
        <f>Table2[[#This Row],[EV]]-Table2[[#This Row],[Spread]]</f>
        <v>9.926694338357251</v>
      </c>
      <c r="AL231" s="1">
        <f>Table2[[#This Row],[EV Err]]^2</f>
        <v>98.539260487173905</v>
      </c>
    </row>
    <row r="232" spans="1:38" x14ac:dyDescent="0.25">
      <c r="A232" t="s">
        <v>73</v>
      </c>
      <c r="B232" t="s">
        <v>23</v>
      </c>
      <c r="C232" t="s">
        <v>21</v>
      </c>
      <c r="K232" s="25">
        <f>(Table2[[#This Row],[Home Pace]]/100)*(VLOOKUP(Table2[[#This Row],[Home/Neutral]],home_lookup,8,FALSE)+VLOOKUP(Table2[[#This Row],[Home/Neutral]],OFR_lookup,2,FALSE)+VLOOKUP(Table2[[#This Row],[Visitor/Neutral]],def_diff_lookup,6,FALSE))</f>
        <v>98.44713735871359</v>
      </c>
      <c r="L232" s="25"/>
      <c r="M232" s="25">
        <f>(Table2[[#This Row],[Away Pace]]/100)*(VLOOKUP(Table2[[#This Row],[Visitor/Neutral]],OFR_lookup,2,FALSE)+VLOOKUP(Table2[[#This Row],[Home/Neutral]],def_diff_lookup,6,FALSE))</f>
        <v>92.391988000000026</v>
      </c>
      <c r="N232" s="25"/>
      <c r="O232" s="25"/>
      <c r="P232">
        <f>VLOOKUP(Table2[[#This Row],[Home/Neutral]],pace_lookup,7,FALSE)</f>
        <v>92.5</v>
      </c>
      <c r="Q232" s="5">
        <f>VLOOKUP(Table2[[#This Row],[Visitor/Neutral]],pace_lookup,7,FALSE)</f>
        <v>94.2</v>
      </c>
      <c r="R232" s="9"/>
      <c r="V232" s="2">
        <f>-home-VLOOKUP(Table2[[#This Row],[Home/Neutral]],rtg_vlookup,4,FALSE)+VLOOKUP(Table2[[#This Row],[Visitor/Neutral]],rtg_vlookup,4,FALSE)</f>
        <v>-5.215118483412331</v>
      </c>
      <c r="W232" s="25"/>
      <c r="X232" s="2"/>
      <c r="Y232" s="2">
        <f>Table2[[#This Row],[Away EV]]-Table2[[#This Row],[Home EV]]</f>
        <v>-6.0551493587135639</v>
      </c>
      <c r="Z232" s="33"/>
      <c r="AA232" s="34"/>
      <c r="AB232" s="5" t="b">
        <f>IF(VLOOKUP(Table2[[#This Row],[Home/Neutral]],division_lookup,9,FALSE)=VLOOKUP(Table2[[#This Row],[Visitor/Neutral]],division_lookup,9,FALSE),TRUE,FALSE)</f>
        <v>0</v>
      </c>
      <c r="AC232" s="19" t="str">
        <f>VLOOKUP(Table2[[#This Row],[Home/Neutral]],division_lookup,9,FALSE)</f>
        <v>SW</v>
      </c>
      <c r="AD232" s="19"/>
      <c r="AE232" s="19" t="str">
        <f>IF(Table2[[#This Row],[Total EV ®]]&lt;Table2[[#This Row],[Total (V)]],"UNDER","OVER")</f>
        <v>OVER</v>
      </c>
      <c r="AF232" s="30">
        <f>Table2[[#This Row],[(A) Spread]]-Table2[[#This Row],[Spread (V)]]</f>
        <v>0</v>
      </c>
      <c r="AG232" s="19"/>
      <c r="AH232" s="2">
        <f>Table2[[#This Row],[EV]]-Table2[[#This Row],[Spread (V)]]</f>
        <v>-6.0551493587135639</v>
      </c>
      <c r="AI232" s="22">
        <f>Table2[[#This Row],[(A)]]-Table2[[#This Row],[Spread]]</f>
        <v>-5.215118483412331</v>
      </c>
      <c r="AJ232" s="1">
        <f>Table2[[#This Row],[(A) Err]]^2</f>
        <v>27.197460796028931</v>
      </c>
      <c r="AK232" s="6">
        <f>Table2[[#This Row],[EV]]-Table2[[#This Row],[Spread]]</f>
        <v>-6.0551493587135639</v>
      </c>
      <c r="AL232" s="1">
        <f>Table2[[#This Row],[EV Err]]^2</f>
        <v>36.664833756329287</v>
      </c>
    </row>
    <row r="233" spans="1:38" x14ac:dyDescent="0.25">
      <c r="A233" t="s">
        <v>73</v>
      </c>
      <c r="B233" t="s">
        <v>30</v>
      </c>
      <c r="C233" t="s">
        <v>14</v>
      </c>
      <c r="K233" s="25">
        <f>(Table2[[#This Row],[Home Pace]]/100)*(VLOOKUP(Table2[[#This Row],[Home/Neutral]],home_lookup,8,FALSE)+VLOOKUP(Table2[[#This Row],[Home/Neutral]],OFR_lookup,2,FALSE)+VLOOKUP(Table2[[#This Row],[Visitor/Neutral]],def_diff_lookup,6,FALSE))</f>
        <v>109.94184034993644</v>
      </c>
      <c r="L233" s="25"/>
      <c r="M233" s="25">
        <f>(Table2[[#This Row],[Away Pace]]/100)*(VLOOKUP(Table2[[#This Row],[Visitor/Neutral]],OFR_lookup,2,FALSE)+VLOOKUP(Table2[[#This Row],[Home/Neutral]],def_diff_lookup,6,FALSE))</f>
        <v>110.39112933333337</v>
      </c>
      <c r="N233" s="25"/>
      <c r="O233" s="25"/>
      <c r="P233">
        <f>VLOOKUP(Table2[[#This Row],[Home/Neutral]],pace_lookup,7,FALSE)</f>
        <v>96.8</v>
      </c>
      <c r="Q233" s="5">
        <f>VLOOKUP(Table2[[#This Row],[Visitor/Neutral]],pace_lookup,7,FALSE)</f>
        <v>95.9</v>
      </c>
      <c r="R233" s="9"/>
      <c r="V233" s="2">
        <f>-home-VLOOKUP(Table2[[#This Row],[Home/Neutral]],rtg_vlookup,4,FALSE)+VLOOKUP(Table2[[#This Row],[Visitor/Neutral]],rtg_vlookup,4,FALSE)</f>
        <v>4.7548815165876688</v>
      </c>
      <c r="W233" s="25"/>
      <c r="X233" s="2"/>
      <c r="Y233" s="2">
        <f>Table2[[#This Row],[Away EV]]-Table2[[#This Row],[Home EV]]</f>
        <v>0.4492889833969258</v>
      </c>
      <c r="Z233" s="33"/>
      <c r="AA233" s="34"/>
      <c r="AB233" s="5" t="b">
        <f>IF(VLOOKUP(Table2[[#This Row],[Home/Neutral]],division_lookup,9,FALSE)=VLOOKUP(Table2[[#This Row],[Visitor/Neutral]],division_lookup,9,FALSE),TRUE,FALSE)</f>
        <v>0</v>
      </c>
      <c r="AC233" s="19" t="str">
        <f>VLOOKUP(Table2[[#This Row],[Home/Neutral]],division_lookup,9,FALSE)</f>
        <v>C</v>
      </c>
      <c r="AD233" s="19"/>
      <c r="AE233" s="19" t="str">
        <f>IF(Table2[[#This Row],[Total EV ®]]&lt;Table2[[#This Row],[Total (V)]],"UNDER","OVER")</f>
        <v>OVER</v>
      </c>
      <c r="AF233" s="30">
        <f>Table2[[#This Row],[(A) Spread]]-Table2[[#This Row],[Spread (V)]]</f>
        <v>0</v>
      </c>
      <c r="AG233" s="19"/>
      <c r="AH233" s="2">
        <f>Table2[[#This Row],[EV]]-Table2[[#This Row],[Spread (V)]]</f>
        <v>0.4492889833969258</v>
      </c>
      <c r="AI233" s="22">
        <f>Table2[[#This Row],[(A)]]-Table2[[#This Row],[Spread]]</f>
        <v>4.7548815165876688</v>
      </c>
      <c r="AJ233" s="1">
        <f>Table2[[#This Row],[(A) Err]]^2</f>
        <v>22.608898236787049</v>
      </c>
      <c r="AK233" s="6">
        <f>Table2[[#This Row],[EV]]-Table2[[#This Row],[Spread]]</f>
        <v>0.4492889833969258</v>
      </c>
      <c r="AL233" s="1">
        <f>Table2[[#This Row],[EV Err]]^2</f>
        <v>0.20186059060184305</v>
      </c>
    </row>
    <row r="234" spans="1:38" x14ac:dyDescent="0.25">
      <c r="A234" t="s">
        <v>73</v>
      </c>
      <c r="B234" t="s">
        <v>31</v>
      </c>
      <c r="C234" t="s">
        <v>16</v>
      </c>
      <c r="K234" s="25">
        <f>(Table2[[#This Row],[Home Pace]]/100)*(VLOOKUP(Table2[[#This Row],[Home/Neutral]],home_lookup,8,FALSE)+VLOOKUP(Table2[[#This Row],[Home/Neutral]],OFR_lookup,2,FALSE)+VLOOKUP(Table2[[#This Row],[Visitor/Neutral]],def_diff_lookup,6,FALSE))</f>
        <v>108.65257430217891</v>
      </c>
      <c r="L234" s="25"/>
      <c r="M234" s="25">
        <f>(Table2[[#This Row],[Away Pace]]/100)*(VLOOKUP(Table2[[#This Row],[Visitor/Neutral]],OFR_lookup,2,FALSE)+VLOOKUP(Table2[[#This Row],[Home/Neutral]],def_diff_lookup,6,FALSE))</f>
        <v>109.08365000000001</v>
      </c>
      <c r="N234" s="25"/>
      <c r="O234" s="25"/>
      <c r="P234">
        <f>VLOOKUP(Table2[[#This Row],[Home/Neutral]],pace_lookup,7,FALSE)</f>
        <v>96</v>
      </c>
      <c r="Q234" s="5">
        <f>VLOOKUP(Table2[[#This Row],[Visitor/Neutral]],pace_lookup,7,FALSE)</f>
        <v>97.5</v>
      </c>
      <c r="R234" s="9"/>
      <c r="V234" s="2">
        <f>-home-VLOOKUP(Table2[[#This Row],[Home/Neutral]],rtg_vlookup,4,FALSE)+VLOOKUP(Table2[[#This Row],[Visitor/Neutral]],rtg_vlookup,4,FALSE)</f>
        <v>2.1348815165876696</v>
      </c>
      <c r="W234" s="25"/>
      <c r="X234" s="2"/>
      <c r="Y234" s="2">
        <f>Table2[[#This Row],[Away EV]]-Table2[[#This Row],[Home EV]]</f>
        <v>0.43107569782110033</v>
      </c>
      <c r="Z234" s="33"/>
      <c r="AA234" s="34"/>
      <c r="AB234" s="5" t="b">
        <f>IF(VLOOKUP(Table2[[#This Row],[Home/Neutral]],division_lookup,9,FALSE)=VLOOKUP(Table2[[#This Row],[Visitor/Neutral]],division_lookup,9,FALSE),TRUE,FALSE)</f>
        <v>0</v>
      </c>
      <c r="AC234" s="19" t="str">
        <f>VLOOKUP(Table2[[#This Row],[Home/Neutral]],division_lookup,9,FALSE)</f>
        <v>A</v>
      </c>
      <c r="AD234" s="19"/>
      <c r="AE234" s="19" t="str">
        <f>IF(Table2[[#This Row],[Total EV ®]]&lt;Table2[[#This Row],[Total (V)]],"UNDER","OVER")</f>
        <v>OVER</v>
      </c>
      <c r="AF234" s="30">
        <f>Table2[[#This Row],[(A) Spread]]-Table2[[#This Row],[Spread (V)]]</f>
        <v>0</v>
      </c>
      <c r="AG234" s="19"/>
      <c r="AH234" s="2">
        <f>Table2[[#This Row],[EV]]-Table2[[#This Row],[Spread (V)]]</f>
        <v>0.43107569782110033</v>
      </c>
      <c r="AI234" s="22">
        <f>Table2[[#This Row],[(A)]]-Table2[[#This Row],[Spread]]</f>
        <v>2.1348815165876696</v>
      </c>
      <c r="AJ234" s="1">
        <f>Table2[[#This Row],[(A) Err]]^2</f>
        <v>4.5577190898676676</v>
      </c>
      <c r="AK234" s="6">
        <f>Table2[[#This Row],[EV]]-Table2[[#This Row],[Spread]]</f>
        <v>0.43107569782110033</v>
      </c>
      <c r="AL234" s="1">
        <f>Table2[[#This Row],[EV Err]]^2</f>
        <v>0.1858262572519486</v>
      </c>
    </row>
    <row r="235" spans="1:38" x14ac:dyDescent="0.25">
      <c r="A235" t="s">
        <v>73</v>
      </c>
      <c r="B235" t="s">
        <v>38</v>
      </c>
      <c r="C235" t="s">
        <v>28</v>
      </c>
      <c r="K235" s="25">
        <f>(Table2[[#This Row],[Home Pace]]/100)*(VLOOKUP(Table2[[#This Row],[Home/Neutral]],home_lookup,8,FALSE)+VLOOKUP(Table2[[#This Row],[Home/Neutral]],OFR_lookup,2,FALSE)+VLOOKUP(Table2[[#This Row],[Visitor/Neutral]],def_diff_lookup,6,FALSE))</f>
        <v>108.80379167891481</v>
      </c>
      <c r="L235" s="25"/>
      <c r="M235" s="25">
        <f>(Table2[[#This Row],[Away Pace]]/100)*(VLOOKUP(Table2[[#This Row],[Visitor/Neutral]],OFR_lookup,2,FALSE)+VLOOKUP(Table2[[#This Row],[Home/Neutral]],def_diff_lookup,6,FALSE))</f>
        <v>104.476512</v>
      </c>
      <c r="N235" s="25"/>
      <c r="O235" s="25"/>
      <c r="P235">
        <f>VLOOKUP(Table2[[#This Row],[Home/Neutral]],pace_lookup,7,FALSE)</f>
        <v>94.2</v>
      </c>
      <c r="Q235" s="5">
        <f>VLOOKUP(Table2[[#This Row],[Visitor/Neutral]],pace_lookup,7,FALSE)</f>
        <v>96.3</v>
      </c>
      <c r="R235" s="9"/>
      <c r="V235" s="2">
        <f>-home-VLOOKUP(Table2[[#This Row],[Home/Neutral]],rtg_vlookup,4,FALSE)+VLOOKUP(Table2[[#This Row],[Visitor/Neutral]],rtg_vlookup,4,FALSE)</f>
        <v>4.0548815165876686</v>
      </c>
      <c r="W235" s="25"/>
      <c r="X235" s="2"/>
      <c r="Y235" s="2">
        <f>Table2[[#This Row],[Away EV]]-Table2[[#This Row],[Home EV]]</f>
        <v>-4.327279678914806</v>
      </c>
      <c r="Z235" s="33"/>
      <c r="AA235" s="34"/>
      <c r="AB235" s="5" t="b">
        <f>IF(VLOOKUP(Table2[[#This Row],[Home/Neutral]],division_lookup,9,FALSE)=VLOOKUP(Table2[[#This Row],[Visitor/Neutral]],division_lookup,9,FALSE),TRUE,FALSE)</f>
        <v>1</v>
      </c>
      <c r="AC235" s="19" t="str">
        <f>VLOOKUP(Table2[[#This Row],[Home/Neutral]],division_lookup,9,FALSE)</f>
        <v>SE</v>
      </c>
      <c r="AD235" s="19"/>
      <c r="AE235" s="19" t="str">
        <f>IF(Table2[[#This Row],[Total EV ®]]&lt;Table2[[#This Row],[Total (V)]],"UNDER","OVER")</f>
        <v>OVER</v>
      </c>
      <c r="AF235" s="30">
        <f>Table2[[#This Row],[(A) Spread]]-Table2[[#This Row],[Spread (V)]]</f>
        <v>0</v>
      </c>
      <c r="AG235" s="19"/>
      <c r="AH235" s="2">
        <f>Table2[[#This Row],[EV]]-Table2[[#This Row],[Spread (V)]]</f>
        <v>-4.327279678914806</v>
      </c>
      <c r="AI235" s="22">
        <f>Table2[[#This Row],[(A)]]-Table2[[#This Row],[Spread]]</f>
        <v>4.0548815165876686</v>
      </c>
      <c r="AJ235" s="1">
        <f>Table2[[#This Row],[(A) Err]]^2</f>
        <v>16.44206411356431</v>
      </c>
      <c r="AK235" s="6">
        <f>Table2[[#This Row],[EV]]-Table2[[#This Row],[Spread]]</f>
        <v>-4.327279678914806</v>
      </c>
      <c r="AL235" s="1">
        <f>Table2[[#This Row],[EV Err]]^2</f>
        <v>18.725349419549026</v>
      </c>
    </row>
    <row r="236" spans="1:38" x14ac:dyDescent="0.25">
      <c r="A236" t="s">
        <v>73</v>
      </c>
      <c r="B236" t="s">
        <v>39</v>
      </c>
      <c r="C236" t="s">
        <v>13</v>
      </c>
      <c r="K236" s="25">
        <f>(Table2[[#This Row],[Home Pace]]/100)*(VLOOKUP(Table2[[#This Row],[Home/Neutral]],home_lookup,8,FALSE)+VLOOKUP(Table2[[#This Row],[Home/Neutral]],OFR_lookup,2,FALSE)+VLOOKUP(Table2[[#This Row],[Visitor/Neutral]],def_diff_lookup,6,FALSE))</f>
        <v>106.66502211468578</v>
      </c>
      <c r="L236" s="25"/>
      <c r="M236" s="25">
        <f>(Table2[[#This Row],[Away Pace]]/100)*(VLOOKUP(Table2[[#This Row],[Visitor/Neutral]],OFR_lookup,2,FALSE)+VLOOKUP(Table2[[#This Row],[Home/Neutral]],def_diff_lookup,6,FALSE))</f>
        <v>107.99523000000001</v>
      </c>
      <c r="N236" s="25"/>
      <c r="O236" s="25"/>
      <c r="P236">
        <f>VLOOKUP(Table2[[#This Row],[Home/Neutral]],pace_lookup,7,FALSE)</f>
        <v>97.5</v>
      </c>
      <c r="Q236" s="5">
        <f>VLOOKUP(Table2[[#This Row],[Visitor/Neutral]],pace_lookup,7,FALSE)</f>
        <v>94.5</v>
      </c>
      <c r="R236" s="9"/>
      <c r="V236" s="2">
        <f>-home-VLOOKUP(Table2[[#This Row],[Home/Neutral]],rtg_vlookup,4,FALSE)+VLOOKUP(Table2[[#This Row],[Visitor/Neutral]],rtg_vlookup,4,FALSE)</f>
        <v>12.184881516587669</v>
      </c>
      <c r="W236" s="25"/>
      <c r="X236" s="2"/>
      <c r="Y236" s="2">
        <f>Table2[[#This Row],[Away EV]]-Table2[[#This Row],[Home EV]]</f>
        <v>1.3302078853142234</v>
      </c>
      <c r="Z236" s="33"/>
      <c r="AA236" s="34"/>
      <c r="AB236" s="5" t="b">
        <f>IF(VLOOKUP(Table2[[#This Row],[Home/Neutral]],division_lookup,9,FALSE)=VLOOKUP(Table2[[#This Row],[Visitor/Neutral]],division_lookup,9,FALSE),TRUE,FALSE)</f>
        <v>0</v>
      </c>
      <c r="AC236" s="19" t="str">
        <f>VLOOKUP(Table2[[#This Row],[Home/Neutral]],division_lookup,9,FALSE)</f>
        <v>A</v>
      </c>
      <c r="AD236" s="19"/>
      <c r="AE236" s="19" t="str">
        <f>IF(Table2[[#This Row],[Total EV ®]]&lt;Table2[[#This Row],[Total (V)]],"UNDER","OVER")</f>
        <v>OVER</v>
      </c>
      <c r="AF236" s="30">
        <f>Table2[[#This Row],[(A) Spread]]-Table2[[#This Row],[Spread (V)]]</f>
        <v>0</v>
      </c>
      <c r="AG236" s="19"/>
      <c r="AH236" s="2">
        <f>Table2[[#This Row],[EV]]-Table2[[#This Row],[Spread (V)]]</f>
        <v>1.3302078853142234</v>
      </c>
      <c r="AI236" s="22">
        <f>Table2[[#This Row],[(A)]]-Table2[[#This Row],[Spread]]</f>
        <v>12.184881516587669</v>
      </c>
      <c r="AJ236" s="1">
        <f>Table2[[#This Row],[(A) Err]]^2</f>
        <v>148.47133757327981</v>
      </c>
      <c r="AK236" s="6">
        <f>Table2[[#This Row],[EV]]-Table2[[#This Row],[Spread]]</f>
        <v>1.3302078853142234</v>
      </c>
      <c r="AL236" s="1">
        <f>Table2[[#This Row],[EV Err]]^2</f>
        <v>1.7694530181521382</v>
      </c>
    </row>
    <row r="237" spans="1:38" x14ac:dyDescent="0.25">
      <c r="A237" t="s">
        <v>73</v>
      </c>
      <c r="B237" t="s">
        <v>36</v>
      </c>
      <c r="C237" t="s">
        <v>22</v>
      </c>
      <c r="K237" s="25">
        <f>(Table2[[#This Row],[Home Pace]]/100)*(VLOOKUP(Table2[[#This Row],[Home/Neutral]],home_lookup,8,FALSE)+VLOOKUP(Table2[[#This Row],[Home/Neutral]],OFR_lookup,2,FALSE)+VLOOKUP(Table2[[#This Row],[Visitor/Neutral]],def_diff_lookup,6,FALSE))</f>
        <v>111.60105156604043</v>
      </c>
      <c r="L237" s="25"/>
      <c r="M237" s="25">
        <f>(Table2[[#This Row],[Away Pace]]/100)*(VLOOKUP(Table2[[#This Row],[Visitor/Neutral]],OFR_lookup,2,FALSE)+VLOOKUP(Table2[[#This Row],[Home/Neutral]],def_diff_lookup,6,FALSE))</f>
        <v>108.04386133333335</v>
      </c>
      <c r="N237" s="25"/>
      <c r="O237" s="25"/>
      <c r="P237">
        <f>VLOOKUP(Table2[[#This Row],[Home/Neutral]],pace_lookup,7,FALSE)</f>
        <v>102.2</v>
      </c>
      <c r="Q237" s="5">
        <f>VLOOKUP(Table2[[#This Row],[Visitor/Neutral]],pace_lookup,7,FALSE)</f>
        <v>94.7</v>
      </c>
      <c r="R237" s="9"/>
      <c r="V237" s="2">
        <f>-home-VLOOKUP(Table2[[#This Row],[Home/Neutral]],rtg_vlookup,4,FALSE)+VLOOKUP(Table2[[#This Row],[Visitor/Neutral]],rtg_vlookup,4,FALSE)</f>
        <v>4.3848815165876696</v>
      </c>
      <c r="W237" s="25"/>
      <c r="X237" s="2"/>
      <c r="Y237" s="2">
        <f>Table2[[#This Row],[Away EV]]-Table2[[#This Row],[Home EV]]</f>
        <v>-3.5571902327070717</v>
      </c>
      <c r="Z237" s="33"/>
      <c r="AA237" s="34"/>
      <c r="AB237" s="5" t="b">
        <f>IF(VLOOKUP(Table2[[#This Row],[Home/Neutral]],division_lookup,9,FALSE)=VLOOKUP(Table2[[#This Row],[Visitor/Neutral]],division_lookup,9,FALSE),TRUE,FALSE)</f>
        <v>0</v>
      </c>
      <c r="AC237" s="19" t="str">
        <f>VLOOKUP(Table2[[#This Row],[Home/Neutral]],division_lookup,9,FALSE)</f>
        <v>P</v>
      </c>
      <c r="AD237" s="19"/>
      <c r="AE237" s="19" t="str">
        <f>IF(Table2[[#This Row],[Total EV ®]]&lt;Table2[[#This Row],[Total (V)]],"UNDER","OVER")</f>
        <v>OVER</v>
      </c>
      <c r="AF237" s="30">
        <f>Table2[[#This Row],[(A) Spread]]-Table2[[#This Row],[Spread (V)]]</f>
        <v>0</v>
      </c>
      <c r="AG237" s="19"/>
      <c r="AH237" s="2">
        <f>Table2[[#This Row],[EV]]-Table2[[#This Row],[Spread (V)]]</f>
        <v>-3.5571902327070717</v>
      </c>
      <c r="AI237" s="22">
        <f>Table2[[#This Row],[(A)]]-Table2[[#This Row],[Spread]]</f>
        <v>4.3848815165876696</v>
      </c>
      <c r="AJ237" s="1">
        <f>Table2[[#This Row],[(A) Err]]^2</f>
        <v>19.22718591451218</v>
      </c>
      <c r="AK237" s="6">
        <f>Table2[[#This Row],[EV]]-Table2[[#This Row],[Spread]]</f>
        <v>-3.5571902327070717</v>
      </c>
      <c r="AL237" s="1">
        <f>Table2[[#This Row],[EV Err]]^2</f>
        <v>12.65360235166659</v>
      </c>
    </row>
    <row r="238" spans="1:38" x14ac:dyDescent="0.25">
      <c r="A238" t="s">
        <v>73</v>
      </c>
      <c r="B238" t="s">
        <v>32</v>
      </c>
      <c r="C238" t="s">
        <v>34</v>
      </c>
      <c r="K238" s="25">
        <f>(Table2[[#This Row],[Home Pace]]/100)*(VLOOKUP(Table2[[#This Row],[Home/Neutral]],home_lookup,8,FALSE)+VLOOKUP(Table2[[#This Row],[Home/Neutral]],OFR_lookup,2,FALSE)+VLOOKUP(Table2[[#This Row],[Visitor/Neutral]],def_diff_lookup,6,FALSE))</f>
        <v>108.96189112001839</v>
      </c>
      <c r="L238" s="25"/>
      <c r="M238" s="25">
        <f>(Table2[[#This Row],[Away Pace]]/100)*(VLOOKUP(Table2[[#This Row],[Visitor/Neutral]],OFR_lookup,2,FALSE)+VLOOKUP(Table2[[#This Row],[Home/Neutral]],def_diff_lookup,6,FALSE))</f>
        <v>104.80769866666667</v>
      </c>
      <c r="N238" s="25"/>
      <c r="O238" s="25"/>
      <c r="P238">
        <f>VLOOKUP(Table2[[#This Row],[Home/Neutral]],pace_lookup,7,FALSE)</f>
        <v>98.6</v>
      </c>
      <c r="Q238" s="5">
        <f>VLOOKUP(Table2[[#This Row],[Visitor/Neutral]],pace_lookup,7,FALSE)</f>
        <v>98.8</v>
      </c>
      <c r="R238" s="9"/>
      <c r="V238" s="2">
        <f>-home-VLOOKUP(Table2[[#This Row],[Home/Neutral]],rtg_vlookup,4,FALSE)+VLOOKUP(Table2[[#This Row],[Visitor/Neutral]],rtg_vlookup,4,FALSE)</f>
        <v>-4.8751184834123311</v>
      </c>
      <c r="W238" s="25"/>
      <c r="X238" s="2"/>
      <c r="Y238" s="2">
        <f>Table2[[#This Row],[Away EV]]-Table2[[#This Row],[Home EV]]</f>
        <v>-4.154192453351726</v>
      </c>
      <c r="Z238" s="33"/>
      <c r="AA238" s="34"/>
      <c r="AB238" s="5" t="b">
        <f>IF(VLOOKUP(Table2[[#This Row],[Home/Neutral]],division_lookup,9,FALSE)=VLOOKUP(Table2[[#This Row],[Visitor/Neutral]],division_lookup,9,FALSE),TRUE,FALSE)</f>
        <v>0</v>
      </c>
      <c r="AC238" s="19" t="str">
        <f>VLOOKUP(Table2[[#This Row],[Home/Neutral]],division_lookup,9,FALSE)</f>
        <v>NW</v>
      </c>
      <c r="AD238" s="19"/>
      <c r="AE238" s="19" t="str">
        <f>IF(Table2[[#This Row],[Total EV ®]]&lt;Table2[[#This Row],[Total (V)]],"UNDER","OVER")</f>
        <v>OVER</v>
      </c>
      <c r="AF238" s="30">
        <f>Table2[[#This Row],[(A) Spread]]-Table2[[#This Row],[Spread (V)]]</f>
        <v>0</v>
      </c>
      <c r="AG238" s="19"/>
      <c r="AH238" s="2">
        <f>Table2[[#This Row],[EV]]-Table2[[#This Row],[Spread (V)]]</f>
        <v>-4.154192453351726</v>
      </c>
      <c r="AI238" s="22">
        <f>Table2[[#This Row],[(A)]]-Table2[[#This Row],[Spread]]</f>
        <v>-4.8751184834123311</v>
      </c>
      <c r="AJ238" s="1">
        <f>Table2[[#This Row],[(A) Err]]^2</f>
        <v>23.766780227308548</v>
      </c>
      <c r="AK238" s="6">
        <f>Table2[[#This Row],[EV]]-Table2[[#This Row],[Spread]]</f>
        <v>-4.154192453351726</v>
      </c>
      <c r="AL238" s="1">
        <f>Table2[[#This Row],[EV Err]]^2</f>
        <v>17.257314939484434</v>
      </c>
    </row>
    <row r="239" spans="1:38" x14ac:dyDescent="0.25">
      <c r="A239" t="s">
        <v>73</v>
      </c>
      <c r="B239" t="s">
        <v>29</v>
      </c>
      <c r="C239" t="s">
        <v>17</v>
      </c>
      <c r="K239" s="25">
        <f>(Table2[[#This Row],[Home Pace]]/100)*(VLOOKUP(Table2[[#This Row],[Home/Neutral]],home_lookup,8,FALSE)+VLOOKUP(Table2[[#This Row],[Home/Neutral]],OFR_lookup,2,FALSE)+VLOOKUP(Table2[[#This Row],[Visitor/Neutral]],def_diff_lookup,6,FALSE))</f>
        <v>112.03772926898523</v>
      </c>
      <c r="L239" s="25"/>
      <c r="M239" s="25">
        <f>(Table2[[#This Row],[Away Pace]]/100)*(VLOOKUP(Table2[[#This Row],[Visitor/Neutral]],OFR_lookup,2,FALSE)+VLOOKUP(Table2[[#This Row],[Home/Neutral]],def_diff_lookup,6,FALSE))</f>
        <v>113.28469466666668</v>
      </c>
      <c r="N239" s="25"/>
      <c r="O239" s="25"/>
      <c r="P239">
        <f>VLOOKUP(Table2[[#This Row],[Home/Neutral]],pace_lookup,7,FALSE)</f>
        <v>93.8</v>
      </c>
      <c r="Q239" s="5">
        <f>VLOOKUP(Table2[[#This Row],[Visitor/Neutral]],pace_lookup,7,FALSE)</f>
        <v>96.7</v>
      </c>
      <c r="R239" s="9"/>
      <c r="V239" s="2">
        <f>-home-VLOOKUP(Table2[[#This Row],[Home/Neutral]],rtg_vlookup,4,FALSE)+VLOOKUP(Table2[[#This Row],[Visitor/Neutral]],rtg_vlookup,4,FALSE)</f>
        <v>3.8048815165876695</v>
      </c>
      <c r="W239" s="25"/>
      <c r="X239" s="2"/>
      <c r="Y239" s="2">
        <f>Table2[[#This Row],[Away EV]]-Table2[[#This Row],[Home EV]]</f>
        <v>1.2469653976814499</v>
      </c>
      <c r="Z239" s="33"/>
      <c r="AA239" s="34"/>
      <c r="AB239" s="5" t="b">
        <f>IF(VLOOKUP(Table2[[#This Row],[Home/Neutral]],division_lookup,9,FALSE)=VLOOKUP(Table2[[#This Row],[Visitor/Neutral]],division_lookup,9,FALSE),TRUE,FALSE)</f>
        <v>0</v>
      </c>
      <c r="AC239" s="19" t="str">
        <f>VLOOKUP(Table2[[#This Row],[Home/Neutral]],division_lookup,9,FALSE)</f>
        <v>P</v>
      </c>
      <c r="AD239" s="19"/>
      <c r="AE239" s="19" t="str">
        <f>IF(Table2[[#This Row],[Total EV ®]]&lt;Table2[[#This Row],[Total (V)]],"UNDER","OVER")</f>
        <v>OVER</v>
      </c>
      <c r="AF239" s="30">
        <f>Table2[[#This Row],[(A) Spread]]-Table2[[#This Row],[Spread (V)]]</f>
        <v>0</v>
      </c>
      <c r="AG239" s="19"/>
      <c r="AH239" s="2">
        <f>Table2[[#This Row],[EV]]-Table2[[#This Row],[Spread (V)]]</f>
        <v>1.2469653976814499</v>
      </c>
      <c r="AI239" s="22">
        <f>Table2[[#This Row],[(A)]]-Table2[[#This Row],[Spread]]</f>
        <v>3.8048815165876695</v>
      </c>
      <c r="AJ239" s="1">
        <f>Table2[[#This Row],[(A) Err]]^2</f>
        <v>14.477123355270484</v>
      </c>
      <c r="AK239" s="6">
        <f>Table2[[#This Row],[EV]]-Table2[[#This Row],[Spread]]</f>
        <v>1.2469653976814499</v>
      </c>
      <c r="AL239" s="1">
        <f>Table2[[#This Row],[EV Err]]^2</f>
        <v>1.5549227030148565</v>
      </c>
    </row>
    <row r="240" spans="1:38" ht="15.75" thickBot="1" x14ac:dyDescent="0.3">
      <c r="A240" s="3" t="s">
        <v>73</v>
      </c>
      <c r="B240" s="3" t="s">
        <v>20</v>
      </c>
      <c r="C240" s="3" t="s">
        <v>11</v>
      </c>
      <c r="D240" s="3"/>
      <c r="E240" s="3"/>
      <c r="F240" s="3"/>
      <c r="G240" s="3"/>
      <c r="H240" s="10"/>
      <c r="I240" s="3"/>
      <c r="J240" s="3"/>
      <c r="K240" s="26">
        <f>(Table2[[#This Row],[Home Pace]]/100)*(VLOOKUP(Table2[[#This Row],[Home/Neutral]],home_lookup,8,FALSE)+VLOOKUP(Table2[[#This Row],[Home/Neutral]],OFR_lookup,2,FALSE)+VLOOKUP(Table2[[#This Row],[Visitor/Neutral]],def_diff_lookup,6,FALSE))</f>
        <v>96.820405289151779</v>
      </c>
      <c r="L240" s="26"/>
      <c r="M240" s="26">
        <f>(Table2[[#This Row],[Away Pace]]/100)*(VLOOKUP(Table2[[#This Row],[Visitor/Neutral]],OFR_lookup,2,FALSE)+VLOOKUP(Table2[[#This Row],[Home/Neutral]],def_diff_lookup,6,FALSE))</f>
        <v>103.06055466666668</v>
      </c>
      <c r="N240" s="26"/>
      <c r="O240" s="26"/>
      <c r="P240" s="3">
        <f>VLOOKUP(Table2[[#This Row],[Home/Neutral]],pace_lookup,7,FALSE)</f>
        <v>90.9</v>
      </c>
      <c r="Q240" s="3">
        <f>VLOOKUP(Table2[[#This Row],[Visitor/Neutral]],pace_lookup,7,FALSE)</f>
        <v>99.7</v>
      </c>
      <c r="R240" s="10"/>
      <c r="S240" s="3"/>
      <c r="T240" s="3"/>
      <c r="U240" s="3"/>
      <c r="V240" s="12">
        <f>-home-VLOOKUP(Table2[[#This Row],[Home/Neutral]],rtg_vlookup,4,FALSE)+VLOOKUP(Table2[[#This Row],[Visitor/Neutral]],rtg_vlookup,4,FALSE)</f>
        <v>1.8548815165876693</v>
      </c>
      <c r="W240" s="26"/>
      <c r="X240" s="12"/>
      <c r="Y240" s="12">
        <f>Table2[[#This Row],[Away EV]]-Table2[[#This Row],[Home EV]]</f>
        <v>6.2401493775148964</v>
      </c>
      <c r="Z240" s="35"/>
      <c r="AA240" s="36"/>
      <c r="AB240" s="3" t="b">
        <f>IF(VLOOKUP(Table2[[#This Row],[Home/Neutral]],division_lookup,9,FALSE)=VLOOKUP(Table2[[#This Row],[Visitor/Neutral]],division_lookup,9,FALSE),TRUE,FALSE)</f>
        <v>0</v>
      </c>
      <c r="AC240" s="20" t="str">
        <f>VLOOKUP(Table2[[#This Row],[Home/Neutral]],division_lookup,9,FALSE)</f>
        <v>NW</v>
      </c>
      <c r="AD240" s="20"/>
      <c r="AE240" s="20" t="str">
        <f>IF(Table2[[#This Row],[Total EV ®]]&lt;Table2[[#This Row],[Total (V)]],"UNDER","OVER")</f>
        <v>OVER</v>
      </c>
      <c r="AF240" s="20">
        <f>Table2[[#This Row],[(A) Spread]]-Table2[[#This Row],[Spread (V)]]</f>
        <v>0</v>
      </c>
      <c r="AG240" s="20"/>
      <c r="AH240" s="12">
        <f>Table2[[#This Row],[EV]]-Table2[[#This Row],[Spread (V)]]</f>
        <v>6.2401493775148964</v>
      </c>
      <c r="AI240" s="23">
        <f>Table2[[#This Row],[(A)]]-Table2[[#This Row],[Spread]]</f>
        <v>1.8548815165876693</v>
      </c>
      <c r="AJ240" s="4">
        <f>Table2[[#This Row],[(A) Err]]^2</f>
        <v>3.4405854405785723</v>
      </c>
      <c r="AK240" s="4">
        <f>Table2[[#This Row],[EV]]-Table2[[#This Row],[Spread]]</f>
        <v>6.2401493775148964</v>
      </c>
      <c r="AL240" s="4">
        <f>Table2[[#This Row],[EV Err]]^2</f>
        <v>38.939464253699548</v>
      </c>
    </row>
    <row r="241" spans="1:38" x14ac:dyDescent="0.25">
      <c r="A241" t="s">
        <v>74</v>
      </c>
      <c r="B241" t="s">
        <v>16</v>
      </c>
      <c r="C241" t="s">
        <v>31</v>
      </c>
      <c r="K241" s="25">
        <f>(Table2[[#This Row],[Home Pace]]/100)*(VLOOKUP(Table2[[#This Row],[Home/Neutral]],home_lookup,8,FALSE)+VLOOKUP(Table2[[#This Row],[Home/Neutral]],OFR_lookup,2,FALSE)+VLOOKUP(Table2[[#This Row],[Visitor/Neutral]],def_diff_lookup,6,FALSE))</f>
        <v>108.3161060111595</v>
      </c>
      <c r="L241" s="25"/>
      <c r="M241" s="25">
        <f>(Table2[[#This Row],[Away Pace]]/100)*(VLOOKUP(Table2[[#This Row],[Visitor/Neutral]],OFR_lookup,2,FALSE)+VLOOKUP(Table2[[#This Row],[Home/Neutral]],def_diff_lookup,6,FALSE))</f>
        <v>102.73024000000001</v>
      </c>
      <c r="N241" s="25"/>
      <c r="O241" s="25"/>
      <c r="P241">
        <f>VLOOKUP(Table2[[#This Row],[Home/Neutral]],pace_lookup,7,FALSE)</f>
        <v>97.5</v>
      </c>
      <c r="Q241" s="5">
        <f>VLOOKUP(Table2[[#This Row],[Visitor/Neutral]],pace_lookup,7,FALSE)</f>
        <v>96</v>
      </c>
      <c r="R241" s="9"/>
      <c r="V241" s="2">
        <f>-home-VLOOKUP(Table2[[#This Row],[Home/Neutral]],rtg_vlookup,4,FALSE)+VLOOKUP(Table2[[#This Row],[Visitor/Neutral]],rtg_vlookup,4,FALSE)</f>
        <v>-7.5851184834123311</v>
      </c>
      <c r="W241" s="25"/>
      <c r="X241" s="2"/>
      <c r="Y241" s="2">
        <f>Table2[[#This Row],[Away EV]]-Table2[[#This Row],[Home EV]]</f>
        <v>-5.5858660111594958</v>
      </c>
      <c r="Z241" s="33"/>
      <c r="AA241" s="34"/>
      <c r="AB241" s="5" t="b">
        <f>IF(VLOOKUP(Table2[[#This Row],[Home/Neutral]],division_lookup,9,FALSE)=VLOOKUP(Table2[[#This Row],[Visitor/Neutral]],division_lookup,9,FALSE),TRUE,FALSE)</f>
        <v>0</v>
      </c>
      <c r="AC241" s="19" t="str">
        <f>VLOOKUP(Table2[[#This Row],[Home/Neutral]],division_lookup,9,FALSE)</f>
        <v>SE</v>
      </c>
      <c r="AD241" s="19"/>
      <c r="AE241" s="19" t="str">
        <f>IF(Table2[[#This Row],[Total EV ®]]&lt;Table2[[#This Row],[Total (V)]],"UNDER","OVER")</f>
        <v>OVER</v>
      </c>
      <c r="AF241" s="30">
        <f>Table2[[#This Row],[(A) Spread]]-Table2[[#This Row],[Spread (V)]]</f>
        <v>0</v>
      </c>
      <c r="AG241" s="19"/>
      <c r="AH241" s="2">
        <f>Table2[[#This Row],[EV]]-Table2[[#This Row],[Spread (V)]]</f>
        <v>-5.5858660111594958</v>
      </c>
      <c r="AI241" s="22">
        <f>Table2[[#This Row],[(A)]]-Table2[[#This Row],[Spread]]</f>
        <v>-7.5851184834123311</v>
      </c>
      <c r="AJ241" s="1">
        <f>Table2[[#This Row],[(A) Err]]^2</f>
        <v>57.534022407403384</v>
      </c>
      <c r="AK241" s="6">
        <f>Table2[[#This Row],[EV]]-Table2[[#This Row],[Spread]]</f>
        <v>-5.5858660111594958</v>
      </c>
      <c r="AL241" s="1">
        <f>Table2[[#This Row],[EV Err]]^2</f>
        <v>31.201899094626896</v>
      </c>
    </row>
    <row r="242" spans="1:38" x14ac:dyDescent="0.25">
      <c r="A242" t="s">
        <v>74</v>
      </c>
      <c r="B242" t="s">
        <v>10</v>
      </c>
      <c r="C242" t="s">
        <v>22</v>
      </c>
      <c r="K242" s="25">
        <f>(Table2[[#This Row],[Home Pace]]/100)*(VLOOKUP(Table2[[#This Row],[Home/Neutral]],home_lookup,8,FALSE)+VLOOKUP(Table2[[#This Row],[Home/Neutral]],OFR_lookup,2,FALSE)+VLOOKUP(Table2[[#This Row],[Visitor/Neutral]],def_diff_lookup,6,FALSE))</f>
        <v>111.23842853790561</v>
      </c>
      <c r="L242" s="25"/>
      <c r="M242" s="25">
        <f>(Table2[[#This Row],[Away Pace]]/100)*(VLOOKUP(Table2[[#This Row],[Visitor/Neutral]],OFR_lookup,2,FALSE)+VLOOKUP(Table2[[#This Row],[Home/Neutral]],def_diff_lookup,6,FALSE))</f>
        <v>106.83170133333336</v>
      </c>
      <c r="N242" s="25"/>
      <c r="O242" s="25"/>
      <c r="P242">
        <f>VLOOKUP(Table2[[#This Row],[Home/Neutral]],pace_lookup,7,FALSE)</f>
        <v>100.3</v>
      </c>
      <c r="Q242" s="5">
        <f>VLOOKUP(Table2[[#This Row],[Visitor/Neutral]],pace_lookup,7,FALSE)</f>
        <v>94.7</v>
      </c>
      <c r="R242" s="9"/>
      <c r="V242" s="2">
        <f>-home-VLOOKUP(Table2[[#This Row],[Home/Neutral]],rtg_vlookup,4,FALSE)+VLOOKUP(Table2[[#This Row],[Visitor/Neutral]],rtg_vlookup,4,FALSE)</f>
        <v>-10.295118483412331</v>
      </c>
      <c r="W242" s="25"/>
      <c r="X242" s="2"/>
      <c r="Y242" s="2">
        <f>Table2[[#This Row],[Away EV]]-Table2[[#This Row],[Home EV]]</f>
        <v>-4.406727204572249</v>
      </c>
      <c r="Z242" s="33"/>
      <c r="AA242" s="34"/>
      <c r="AB242" s="5" t="b">
        <f>IF(VLOOKUP(Table2[[#This Row],[Home/Neutral]],division_lookup,9,FALSE)=VLOOKUP(Table2[[#This Row],[Visitor/Neutral]],division_lookup,9,FALSE),TRUE,FALSE)</f>
        <v>0</v>
      </c>
      <c r="AC242" s="19" t="str">
        <f>VLOOKUP(Table2[[#This Row],[Home/Neutral]],division_lookup,9,FALSE)</f>
        <v>P</v>
      </c>
      <c r="AD242" s="19"/>
      <c r="AE242" s="19" t="str">
        <f>IF(Table2[[#This Row],[Total EV ®]]&lt;Table2[[#This Row],[Total (V)]],"UNDER","OVER")</f>
        <v>OVER</v>
      </c>
      <c r="AF242" s="30">
        <f>Table2[[#This Row],[(A) Spread]]-Table2[[#This Row],[Spread (V)]]</f>
        <v>0</v>
      </c>
      <c r="AG242" s="19"/>
      <c r="AH242" s="2">
        <f>Table2[[#This Row],[EV]]-Table2[[#This Row],[Spread (V)]]</f>
        <v>-4.406727204572249</v>
      </c>
      <c r="AI242" s="22">
        <f>Table2[[#This Row],[(A)]]-Table2[[#This Row],[Spread]]</f>
        <v>-10.295118483412331</v>
      </c>
      <c r="AJ242" s="1">
        <f>Table2[[#This Row],[(A) Err]]^2</f>
        <v>105.98946458749822</v>
      </c>
      <c r="AK242" s="6">
        <f>Table2[[#This Row],[EV]]-Table2[[#This Row],[Spread]]</f>
        <v>-4.406727204572249</v>
      </c>
      <c r="AL242" s="1">
        <f>Table2[[#This Row],[EV Err]]^2</f>
        <v>19.419244655517147</v>
      </c>
    </row>
    <row r="243" spans="1:38" x14ac:dyDescent="0.25">
      <c r="A243" t="s">
        <v>74</v>
      </c>
      <c r="B243" t="s">
        <v>21</v>
      </c>
      <c r="C243" t="s">
        <v>23</v>
      </c>
      <c r="K243" s="25">
        <f>(Table2[[#This Row],[Home Pace]]/100)*(VLOOKUP(Table2[[#This Row],[Home/Neutral]],home_lookup,8,FALSE)+VLOOKUP(Table2[[#This Row],[Home/Neutral]],OFR_lookup,2,FALSE)+VLOOKUP(Table2[[#This Row],[Visitor/Neutral]],def_diff_lookup,6,FALSE))</f>
        <v>97.352651175243906</v>
      </c>
      <c r="L243" s="25"/>
      <c r="M243" s="25">
        <f>(Table2[[#This Row],[Away Pace]]/100)*(VLOOKUP(Table2[[#This Row],[Visitor/Neutral]],OFR_lookup,2,FALSE)+VLOOKUP(Table2[[#This Row],[Home/Neutral]],def_diff_lookup,6,FALSE))</f>
        <v>93.009366666666693</v>
      </c>
      <c r="N243" s="25"/>
      <c r="O243" s="25"/>
      <c r="P243">
        <f>VLOOKUP(Table2[[#This Row],[Home/Neutral]],pace_lookup,7,FALSE)</f>
        <v>94.2</v>
      </c>
      <c r="Q243" s="5">
        <f>VLOOKUP(Table2[[#This Row],[Visitor/Neutral]],pace_lookup,7,FALSE)</f>
        <v>92.5</v>
      </c>
      <c r="R243" s="9"/>
      <c r="V243" s="2">
        <f>-home-VLOOKUP(Table2[[#This Row],[Home/Neutral]],rtg_vlookup,4,FALSE)+VLOOKUP(Table2[[#This Row],[Visitor/Neutral]],rtg_vlookup,4,FALSE)</f>
        <v>-0.23511848341233099</v>
      </c>
      <c r="W243" s="25"/>
      <c r="X243" s="2"/>
      <c r="Y243" s="2">
        <f>Table2[[#This Row],[Away EV]]-Table2[[#This Row],[Home EV]]</f>
        <v>-4.3432845085772129</v>
      </c>
      <c r="Z243" s="33"/>
      <c r="AA243" s="34"/>
      <c r="AB243" s="5" t="b">
        <f>IF(VLOOKUP(Table2[[#This Row],[Home/Neutral]],division_lookup,9,FALSE)=VLOOKUP(Table2[[#This Row],[Visitor/Neutral]],division_lookup,9,FALSE),TRUE,FALSE)</f>
        <v>0</v>
      </c>
      <c r="AC243" s="19" t="str">
        <f>VLOOKUP(Table2[[#This Row],[Home/Neutral]],division_lookup,9,FALSE)</f>
        <v>SE</v>
      </c>
      <c r="AD243" s="19"/>
      <c r="AE243" s="19" t="str">
        <f>IF(Table2[[#This Row],[Total EV ®]]&lt;Table2[[#This Row],[Total (V)]],"UNDER","OVER")</f>
        <v>OVER</v>
      </c>
      <c r="AF243" s="30">
        <f>Table2[[#This Row],[(A) Spread]]-Table2[[#This Row],[Spread (V)]]</f>
        <v>0</v>
      </c>
      <c r="AG243" s="19"/>
      <c r="AH243" s="2">
        <f>Table2[[#This Row],[EV]]-Table2[[#This Row],[Spread (V)]]</f>
        <v>-4.3432845085772129</v>
      </c>
      <c r="AI243" s="22">
        <f>Table2[[#This Row],[(A)]]-Table2[[#This Row],[Spread]]</f>
        <v>-0.23511848341233099</v>
      </c>
      <c r="AJ243" s="1">
        <f>Table2[[#This Row],[(A) Err]]^2</f>
        <v>5.5280701242114566E-2</v>
      </c>
      <c r="AK243" s="6">
        <f>Table2[[#This Row],[EV]]-Table2[[#This Row],[Spread]]</f>
        <v>-4.3432845085772129</v>
      </c>
      <c r="AL243" s="1">
        <f>Table2[[#This Row],[EV Err]]^2</f>
        <v>18.864120322446801</v>
      </c>
    </row>
    <row r="244" spans="1:38" x14ac:dyDescent="0.25">
      <c r="A244" t="s">
        <v>74</v>
      </c>
      <c r="B244" t="s">
        <v>18</v>
      </c>
      <c r="C244" t="s">
        <v>25</v>
      </c>
      <c r="K244" s="25">
        <f>(Table2[[#This Row],[Home Pace]]/100)*(VLOOKUP(Table2[[#This Row],[Home/Neutral]],home_lookup,8,FALSE)+VLOOKUP(Table2[[#This Row],[Home/Neutral]],OFR_lookup,2,FALSE)+VLOOKUP(Table2[[#This Row],[Visitor/Neutral]],def_diff_lookup,6,FALSE))</f>
        <v>99.203706160211325</v>
      </c>
      <c r="L244" s="25"/>
      <c r="M244" s="25">
        <f>(Table2[[#This Row],[Away Pace]]/100)*(VLOOKUP(Table2[[#This Row],[Visitor/Neutral]],OFR_lookup,2,FALSE)+VLOOKUP(Table2[[#This Row],[Home/Neutral]],def_diff_lookup,6,FALSE))</f>
        <v>92.918549333333345</v>
      </c>
      <c r="N244" s="25"/>
      <c r="O244" s="25"/>
      <c r="P244">
        <f>VLOOKUP(Table2[[#This Row],[Home/Neutral]],pace_lookup,7,FALSE)</f>
        <v>99.5</v>
      </c>
      <c r="Q244" s="5">
        <f>VLOOKUP(Table2[[#This Row],[Visitor/Neutral]],pace_lookup,7,FALSE)</f>
        <v>94.4</v>
      </c>
      <c r="R244" s="9"/>
      <c r="V244" s="2">
        <f>-home-VLOOKUP(Table2[[#This Row],[Home/Neutral]],rtg_vlookup,4,FALSE)+VLOOKUP(Table2[[#This Row],[Visitor/Neutral]],rtg_vlookup,4,FALSE)</f>
        <v>-5.0651184834123306</v>
      </c>
      <c r="W244" s="25"/>
      <c r="X244" s="2"/>
      <c r="Y244" s="2">
        <f>Table2[[#This Row],[Away EV]]-Table2[[#This Row],[Home EV]]</f>
        <v>-6.2851568268779801</v>
      </c>
      <c r="Z244" s="33"/>
      <c r="AA244" s="34"/>
      <c r="AB244" s="5" t="b">
        <f>IF(VLOOKUP(Table2[[#This Row],[Home/Neutral]],division_lookup,9,FALSE)=VLOOKUP(Table2[[#This Row],[Visitor/Neutral]],division_lookup,9,FALSE),TRUE,FALSE)</f>
        <v>0</v>
      </c>
      <c r="AC244" s="19" t="str">
        <f>VLOOKUP(Table2[[#This Row],[Home/Neutral]],division_lookup,9,FALSE)</f>
        <v>NW</v>
      </c>
      <c r="AD244" s="19"/>
      <c r="AE244" s="19" t="str">
        <f>IF(Table2[[#This Row],[Total EV ®]]&lt;Table2[[#This Row],[Total (V)]],"UNDER","OVER")</f>
        <v>OVER</v>
      </c>
      <c r="AF244" s="30">
        <f>Table2[[#This Row],[(A) Spread]]-Table2[[#This Row],[Spread (V)]]</f>
        <v>0</v>
      </c>
      <c r="AG244" s="19"/>
      <c r="AH244" s="2">
        <f>Table2[[#This Row],[EV]]-Table2[[#This Row],[Spread (V)]]</f>
        <v>-6.2851568268779801</v>
      </c>
      <c r="AI244" s="22">
        <f>Table2[[#This Row],[(A)]]-Table2[[#This Row],[Spread]]</f>
        <v>-5.0651184834123306</v>
      </c>
      <c r="AJ244" s="1">
        <f>Table2[[#This Row],[(A) Err]]^2</f>
        <v>25.655425251005227</v>
      </c>
      <c r="AK244" s="6">
        <f>Table2[[#This Row],[EV]]-Table2[[#This Row],[Spread]]</f>
        <v>-6.2851568268779801</v>
      </c>
      <c r="AL244" s="1">
        <f>Table2[[#This Row],[EV Err]]^2</f>
        <v>39.503196338450877</v>
      </c>
    </row>
    <row r="245" spans="1:38" ht="15.75" thickBot="1" x14ac:dyDescent="0.3">
      <c r="A245" s="3" t="s">
        <v>74</v>
      </c>
      <c r="B245" s="3" t="s">
        <v>28</v>
      </c>
      <c r="C245" s="3" t="s">
        <v>6</v>
      </c>
      <c r="D245" s="3"/>
      <c r="E245" s="3"/>
      <c r="F245" s="3"/>
      <c r="G245" s="3"/>
      <c r="H245" s="10"/>
      <c r="I245" s="3"/>
      <c r="J245" s="3"/>
      <c r="K245" s="26">
        <f>(Table2[[#This Row],[Home Pace]]/100)*(VLOOKUP(Table2[[#This Row],[Home/Neutral]],home_lookup,8,FALSE)+VLOOKUP(Table2[[#This Row],[Home/Neutral]],OFR_lookup,2,FALSE)+VLOOKUP(Table2[[#This Row],[Visitor/Neutral]],def_diff_lookup,6,FALSE))</f>
        <v>106.11014553204274</v>
      </c>
      <c r="L245" s="26"/>
      <c r="M245" s="26">
        <f>(Table2[[#This Row],[Away Pace]]/100)*(VLOOKUP(Table2[[#This Row],[Visitor/Neutral]],OFR_lookup,2,FALSE)+VLOOKUP(Table2[[#This Row],[Home/Neutral]],def_diff_lookup,6,FALSE))</f>
        <v>106.12531066666668</v>
      </c>
      <c r="N245" s="26"/>
      <c r="O245" s="26"/>
      <c r="P245" s="3">
        <f>VLOOKUP(Table2[[#This Row],[Home/Neutral]],pace_lookup,7,FALSE)</f>
        <v>96.3</v>
      </c>
      <c r="Q245" s="3">
        <f>VLOOKUP(Table2[[#This Row],[Visitor/Neutral]],pace_lookup,7,FALSE)</f>
        <v>93.1</v>
      </c>
      <c r="R245" s="10"/>
      <c r="S245" s="3"/>
      <c r="T245" s="3"/>
      <c r="U245" s="3"/>
      <c r="V245" s="12">
        <f>-home-VLOOKUP(Table2[[#This Row],[Home/Neutral]],rtg_vlookup,4,FALSE)+VLOOKUP(Table2[[#This Row],[Visitor/Neutral]],rtg_vlookup,4,FALSE)</f>
        <v>6.1848815165876694</v>
      </c>
      <c r="W245" s="26"/>
      <c r="X245" s="12"/>
      <c r="Y245" s="12">
        <f>Table2[[#This Row],[Away EV]]-Table2[[#This Row],[Home EV]]</f>
        <v>1.5165134623941867E-2</v>
      </c>
      <c r="Z245" s="35"/>
      <c r="AA245" s="36"/>
      <c r="AB245" s="3" t="b">
        <f>IF(VLOOKUP(Table2[[#This Row],[Home/Neutral]],division_lookup,9,FALSE)=VLOOKUP(Table2[[#This Row],[Visitor/Neutral]],division_lookup,9,FALSE),TRUE,FALSE)</f>
        <v>0</v>
      </c>
      <c r="AC245" s="20" t="str">
        <f>VLOOKUP(Table2[[#This Row],[Home/Neutral]],division_lookup,9,FALSE)</f>
        <v>SE</v>
      </c>
      <c r="AD245" s="20"/>
      <c r="AE245" s="20" t="str">
        <f>IF(Table2[[#This Row],[Total EV ®]]&lt;Table2[[#This Row],[Total (V)]],"UNDER","OVER")</f>
        <v>OVER</v>
      </c>
      <c r="AF245" s="20">
        <f>Table2[[#This Row],[(A) Spread]]-Table2[[#This Row],[Spread (V)]]</f>
        <v>0</v>
      </c>
      <c r="AG245" s="20"/>
      <c r="AH245" s="12">
        <f>Table2[[#This Row],[EV]]-Table2[[#This Row],[Spread (V)]]</f>
        <v>1.5165134623941867E-2</v>
      </c>
      <c r="AI245" s="23">
        <f>Table2[[#This Row],[(A)]]-Table2[[#This Row],[Spread]]</f>
        <v>6.1848815165876694</v>
      </c>
      <c r="AJ245" s="4">
        <f>Table2[[#This Row],[(A) Err]]^2</f>
        <v>38.252759374227786</v>
      </c>
      <c r="AK245" s="4">
        <f>Table2[[#This Row],[EV]]-Table2[[#This Row],[Spread]]</f>
        <v>1.5165134623941867E-2</v>
      </c>
      <c r="AL245" s="4">
        <f>Table2[[#This Row],[EV Err]]^2</f>
        <v>2.2998130816228045E-4</v>
      </c>
    </row>
    <row r="246" spans="1:38" x14ac:dyDescent="0.25">
      <c r="A246" t="s">
        <v>75</v>
      </c>
      <c r="B246" t="s">
        <v>35</v>
      </c>
      <c r="C246" t="s">
        <v>29</v>
      </c>
      <c r="K246" s="25">
        <f>(Table2[[#This Row],[Home Pace]]/100)*(VLOOKUP(Table2[[#This Row],[Home/Neutral]],home_lookup,8,FALSE)+VLOOKUP(Table2[[#This Row],[Home/Neutral]],OFR_lookup,2,FALSE)+VLOOKUP(Table2[[#This Row],[Visitor/Neutral]],def_diff_lookup,6,FALSE))</f>
        <v>111.01309121209624</v>
      </c>
      <c r="L246" s="25"/>
      <c r="M246" s="25">
        <f>(Table2[[#This Row],[Away Pace]]/100)*(VLOOKUP(Table2[[#This Row],[Visitor/Neutral]],OFR_lookup,2,FALSE)+VLOOKUP(Table2[[#This Row],[Home/Neutral]],def_diff_lookup,6,FALSE))</f>
        <v>104.04358533333334</v>
      </c>
      <c r="N246" s="25"/>
      <c r="O246" s="25"/>
      <c r="P246">
        <f>VLOOKUP(Table2[[#This Row],[Home/Neutral]],pace_lookup,7,FALSE)</f>
        <v>102.2</v>
      </c>
      <c r="Q246" s="5">
        <f>VLOOKUP(Table2[[#This Row],[Visitor/Neutral]],pace_lookup,7,FALSE)</f>
        <v>93.8</v>
      </c>
      <c r="R246" s="9"/>
      <c r="V246" s="2">
        <f>-home-VLOOKUP(Table2[[#This Row],[Home/Neutral]],rtg_vlookup,4,FALSE)+VLOOKUP(Table2[[#This Row],[Visitor/Neutral]],rtg_vlookup,4,FALSE)</f>
        <v>1.2948815165876688</v>
      </c>
      <c r="W246" s="25"/>
      <c r="X246" s="2"/>
      <c r="Y246" s="2">
        <f>Table2[[#This Row],[Away EV]]-Table2[[#This Row],[Home EV]]</f>
        <v>-6.9695058787629023</v>
      </c>
      <c r="Z246" s="33"/>
      <c r="AA246" s="34"/>
      <c r="AB246" s="5" t="b">
        <f>IF(VLOOKUP(Table2[[#This Row],[Home/Neutral]],division_lookup,9,FALSE)=VLOOKUP(Table2[[#This Row],[Visitor/Neutral]],division_lookup,9,FALSE),TRUE,FALSE)</f>
        <v>0</v>
      </c>
      <c r="AC246" s="19" t="str">
        <f>VLOOKUP(Table2[[#This Row],[Home/Neutral]],division_lookup,9,FALSE)</f>
        <v>A</v>
      </c>
      <c r="AD246" s="19"/>
      <c r="AE246" s="19" t="str">
        <f>IF(Table2[[#This Row],[Total EV ®]]&lt;Table2[[#This Row],[Total (V)]],"UNDER","OVER")</f>
        <v>OVER</v>
      </c>
      <c r="AF246" s="30">
        <f>Table2[[#This Row],[(A) Spread]]-Table2[[#This Row],[Spread (V)]]</f>
        <v>0</v>
      </c>
      <c r="AG246" s="19"/>
      <c r="AH246" s="2">
        <f>Table2[[#This Row],[EV]]-Table2[[#This Row],[Spread (V)]]</f>
        <v>-6.9695058787629023</v>
      </c>
      <c r="AI246" s="22">
        <f>Table2[[#This Row],[(A)]]-Table2[[#This Row],[Spread]]</f>
        <v>1.2948815165876688</v>
      </c>
      <c r="AJ246" s="1">
        <f>Table2[[#This Row],[(A) Err]]^2</f>
        <v>1.6767181420003812</v>
      </c>
      <c r="AK246" s="6">
        <f>Table2[[#This Row],[EV]]-Table2[[#This Row],[Spread]]</f>
        <v>-6.9695058787629023</v>
      </c>
      <c r="AL246" s="1">
        <f>Table2[[#This Row],[EV Err]]^2</f>
        <v>48.574012194110658</v>
      </c>
    </row>
    <row r="247" spans="1:38" x14ac:dyDescent="0.25">
      <c r="A247" t="s">
        <v>75</v>
      </c>
      <c r="B247" t="s">
        <v>37</v>
      </c>
      <c r="C247" t="s">
        <v>34</v>
      </c>
      <c r="K247" s="25">
        <f>(Table2[[#This Row],[Home Pace]]/100)*(VLOOKUP(Table2[[#This Row],[Home/Neutral]],home_lookup,8,FALSE)+VLOOKUP(Table2[[#This Row],[Home/Neutral]],OFR_lookup,2,FALSE)+VLOOKUP(Table2[[#This Row],[Visitor/Neutral]],def_diff_lookup,6,FALSE))</f>
        <v>102.13715809362122</v>
      </c>
      <c r="L247" s="25"/>
      <c r="M247" s="25">
        <f>(Table2[[#This Row],[Away Pace]]/100)*(VLOOKUP(Table2[[#This Row],[Visitor/Neutral]],OFR_lookup,2,FALSE)+VLOOKUP(Table2[[#This Row],[Home/Neutral]],def_diff_lookup,6,FALSE))</f>
        <v>96.785138666666668</v>
      </c>
      <c r="N247" s="25"/>
      <c r="O247" s="25"/>
      <c r="P247">
        <f>VLOOKUP(Table2[[#This Row],[Home/Neutral]],pace_lookup,7,FALSE)</f>
        <v>92.1</v>
      </c>
      <c r="Q247" s="5">
        <f>VLOOKUP(Table2[[#This Row],[Visitor/Neutral]],pace_lookup,7,FALSE)</f>
        <v>98.8</v>
      </c>
      <c r="R247" s="9"/>
      <c r="V247" s="2">
        <f>-home-VLOOKUP(Table2[[#This Row],[Home/Neutral]],rtg_vlookup,4,FALSE)+VLOOKUP(Table2[[#This Row],[Visitor/Neutral]],rtg_vlookup,4,FALSE)</f>
        <v>-0.27511848341233058</v>
      </c>
      <c r="W247" s="25"/>
      <c r="X247" s="2"/>
      <c r="Y247" s="2">
        <f>Table2[[#This Row],[Away EV]]-Table2[[#This Row],[Home EV]]</f>
        <v>-5.3520194269545556</v>
      </c>
      <c r="Z247" s="33"/>
      <c r="AA247" s="34"/>
      <c r="AB247" s="5" t="b">
        <f>IF(VLOOKUP(Table2[[#This Row],[Home/Neutral]],division_lookup,9,FALSE)=VLOOKUP(Table2[[#This Row],[Visitor/Neutral]],division_lookup,9,FALSE),TRUE,FALSE)</f>
        <v>1</v>
      </c>
      <c r="AC247" s="19" t="str">
        <f>VLOOKUP(Table2[[#This Row],[Home/Neutral]],division_lookup,9,FALSE)</f>
        <v>SW</v>
      </c>
      <c r="AD247" s="19"/>
      <c r="AE247" s="19" t="str">
        <f>IF(Table2[[#This Row],[Total EV ®]]&lt;Table2[[#This Row],[Total (V)]],"UNDER","OVER")</f>
        <v>OVER</v>
      </c>
      <c r="AF247" s="30">
        <f>Table2[[#This Row],[(A) Spread]]-Table2[[#This Row],[Spread (V)]]</f>
        <v>0</v>
      </c>
      <c r="AG247" s="19"/>
      <c r="AH247" s="2">
        <f>Table2[[#This Row],[EV]]-Table2[[#This Row],[Spread (V)]]</f>
        <v>-5.3520194269545556</v>
      </c>
      <c r="AI247" s="22">
        <f>Table2[[#This Row],[(A)]]-Table2[[#This Row],[Spread]]</f>
        <v>-0.27511848341233058</v>
      </c>
      <c r="AJ247" s="1">
        <f>Table2[[#This Row],[(A) Err]]^2</f>
        <v>7.5690179915100825E-2</v>
      </c>
      <c r="AK247" s="6">
        <f>Table2[[#This Row],[EV]]-Table2[[#This Row],[Spread]]</f>
        <v>-5.3520194269545556</v>
      </c>
      <c r="AL247" s="1">
        <f>Table2[[#This Row],[EV Err]]^2</f>
        <v>28.64411194649897</v>
      </c>
    </row>
    <row r="248" spans="1:38" x14ac:dyDescent="0.25">
      <c r="A248" t="s">
        <v>75</v>
      </c>
      <c r="B248" t="s">
        <v>33</v>
      </c>
      <c r="C248" t="s">
        <v>4</v>
      </c>
      <c r="K248" s="25">
        <f>(Table2[[#This Row],[Home Pace]]/100)*(VLOOKUP(Table2[[#This Row],[Home/Neutral]],home_lookup,8,FALSE)+VLOOKUP(Table2[[#This Row],[Home/Neutral]],OFR_lookup,2,FALSE)+VLOOKUP(Table2[[#This Row],[Visitor/Neutral]],def_diff_lookup,6,FALSE))</f>
        <v>101.53861852057507</v>
      </c>
      <c r="L248" s="25"/>
      <c r="M248" s="25">
        <f>(Table2[[#This Row],[Away Pace]]/100)*(VLOOKUP(Table2[[#This Row],[Visitor/Neutral]],OFR_lookup,2,FALSE)+VLOOKUP(Table2[[#This Row],[Home/Neutral]],def_diff_lookup,6,FALSE))</f>
        <v>113.35108400000001</v>
      </c>
      <c r="N248" s="25"/>
      <c r="O248" s="25"/>
      <c r="P248">
        <f>VLOOKUP(Table2[[#This Row],[Home/Neutral]],pace_lookup,7,FALSE)</f>
        <v>98.2</v>
      </c>
      <c r="Q248" s="5">
        <f>VLOOKUP(Table2[[#This Row],[Visitor/Neutral]],pace_lookup,7,FALSE)</f>
        <v>96.6</v>
      </c>
      <c r="R248" s="9"/>
      <c r="V248" s="2">
        <f>-home-VLOOKUP(Table2[[#This Row],[Home/Neutral]],rtg_vlookup,4,FALSE)+VLOOKUP(Table2[[#This Row],[Visitor/Neutral]],rtg_vlookup,4,FALSE)</f>
        <v>17.154881516587672</v>
      </c>
      <c r="W248" s="25"/>
      <c r="X248" s="2"/>
      <c r="Y248" s="2">
        <f>Table2[[#This Row],[Away EV]]-Table2[[#This Row],[Home EV]]</f>
        <v>11.812465479424944</v>
      </c>
      <c r="Z248" s="33"/>
      <c r="AA248" s="34"/>
      <c r="AB248" s="5" t="b">
        <f>IF(VLOOKUP(Table2[[#This Row],[Home/Neutral]],division_lookup,9,FALSE)=VLOOKUP(Table2[[#This Row],[Visitor/Neutral]],division_lookup,9,FALSE),TRUE,FALSE)</f>
        <v>0</v>
      </c>
      <c r="AC248" s="19" t="str">
        <f>VLOOKUP(Table2[[#This Row],[Home/Neutral]],division_lookup,9,FALSE)</f>
        <v>C</v>
      </c>
      <c r="AD248" s="19"/>
      <c r="AE248" s="19" t="str">
        <f>IF(Table2[[#This Row],[Total EV ®]]&lt;Table2[[#This Row],[Total (V)]],"UNDER","OVER")</f>
        <v>OVER</v>
      </c>
      <c r="AF248" s="30">
        <f>Table2[[#This Row],[(A) Spread]]-Table2[[#This Row],[Spread (V)]]</f>
        <v>0</v>
      </c>
      <c r="AG248" s="19"/>
      <c r="AH248" s="2">
        <f>Table2[[#This Row],[EV]]-Table2[[#This Row],[Spread (V)]]</f>
        <v>11.812465479424944</v>
      </c>
      <c r="AI248" s="22">
        <f>Table2[[#This Row],[(A)]]-Table2[[#This Row],[Spread]]</f>
        <v>17.154881516587672</v>
      </c>
      <c r="AJ248" s="1">
        <f>Table2[[#This Row],[(A) Err]]^2</f>
        <v>294.28995984816135</v>
      </c>
      <c r="AK248" s="6">
        <f>Table2[[#This Row],[EV]]-Table2[[#This Row],[Spread]]</f>
        <v>11.812465479424944</v>
      </c>
      <c r="AL248" s="1">
        <f>Table2[[#This Row],[EV Err]]^2</f>
        <v>139.53434070260596</v>
      </c>
    </row>
    <row r="249" spans="1:38" x14ac:dyDescent="0.25">
      <c r="A249" t="s">
        <v>75</v>
      </c>
      <c r="B249" t="s">
        <v>24</v>
      </c>
      <c r="C249" t="s">
        <v>11</v>
      </c>
      <c r="K249" s="25">
        <f>(Table2[[#This Row],[Home Pace]]/100)*(VLOOKUP(Table2[[#This Row],[Home/Neutral]],home_lookup,8,FALSE)+VLOOKUP(Table2[[#This Row],[Home/Neutral]],OFR_lookup,2,FALSE)+VLOOKUP(Table2[[#This Row],[Visitor/Neutral]],def_diff_lookup,6,FALSE))</f>
        <v>101.3943043283094</v>
      </c>
      <c r="L249" s="25"/>
      <c r="M249" s="25">
        <f>(Table2[[#This Row],[Away Pace]]/100)*(VLOOKUP(Table2[[#This Row],[Visitor/Neutral]],OFR_lookup,2,FALSE)+VLOOKUP(Table2[[#This Row],[Home/Neutral]],def_diff_lookup,6,FALSE))</f>
        <v>108.46429466666666</v>
      </c>
      <c r="N249" s="25"/>
      <c r="O249" s="25"/>
      <c r="P249">
        <f>VLOOKUP(Table2[[#This Row],[Home/Neutral]],pace_lookup,7,FALSE)</f>
        <v>99.9</v>
      </c>
      <c r="Q249" s="5">
        <f>VLOOKUP(Table2[[#This Row],[Visitor/Neutral]],pace_lookup,7,FALSE)</f>
        <v>99.7</v>
      </c>
      <c r="R249" s="9"/>
      <c r="V249" s="2">
        <f>-home-VLOOKUP(Table2[[#This Row],[Home/Neutral]],rtg_vlookup,4,FALSE)+VLOOKUP(Table2[[#This Row],[Visitor/Neutral]],rtg_vlookup,4,FALSE)</f>
        <v>3.3348815165876697</v>
      </c>
      <c r="W249" s="25"/>
      <c r="X249" s="2"/>
      <c r="Y249" s="2">
        <f>Table2[[#This Row],[Away EV]]-Table2[[#This Row],[Home EV]]</f>
        <v>7.0699903383572575</v>
      </c>
      <c r="Z249" s="33"/>
      <c r="AA249" s="34"/>
      <c r="AB249" s="5" t="b">
        <f>IF(VLOOKUP(Table2[[#This Row],[Home/Neutral]],division_lookup,9,FALSE)=VLOOKUP(Table2[[#This Row],[Visitor/Neutral]],division_lookup,9,FALSE),TRUE,FALSE)</f>
        <v>0</v>
      </c>
      <c r="AC249" s="19" t="str">
        <f>VLOOKUP(Table2[[#This Row],[Home/Neutral]],division_lookup,9,FALSE)</f>
        <v>P</v>
      </c>
      <c r="AD249" s="19"/>
      <c r="AE249" s="19" t="str">
        <f>IF(Table2[[#This Row],[Total EV ®]]&lt;Table2[[#This Row],[Total (V)]],"UNDER","OVER")</f>
        <v>OVER</v>
      </c>
      <c r="AF249" s="30">
        <f>Table2[[#This Row],[(A) Spread]]-Table2[[#This Row],[Spread (V)]]</f>
        <v>0</v>
      </c>
      <c r="AG249" s="19"/>
      <c r="AH249" s="2">
        <f>Table2[[#This Row],[EV]]-Table2[[#This Row],[Spread (V)]]</f>
        <v>7.0699903383572575</v>
      </c>
      <c r="AI249" s="22">
        <f>Table2[[#This Row],[(A)]]-Table2[[#This Row],[Spread]]</f>
        <v>3.3348815165876697</v>
      </c>
      <c r="AJ249" s="1">
        <f>Table2[[#This Row],[(A) Err]]^2</f>
        <v>11.121434729678077</v>
      </c>
      <c r="AK249" s="6">
        <f>Table2[[#This Row],[EV]]-Table2[[#This Row],[Spread]]</f>
        <v>7.0699903383572575</v>
      </c>
      <c r="AL249" s="1">
        <f>Table2[[#This Row],[EV Err]]^2</f>
        <v>49.984763384464969</v>
      </c>
    </row>
    <row r="250" spans="1:38" x14ac:dyDescent="0.25">
      <c r="A250" t="s">
        <v>75</v>
      </c>
      <c r="B250" t="s">
        <v>38</v>
      </c>
      <c r="C250" t="s">
        <v>30</v>
      </c>
      <c r="K250" s="25">
        <f>(Table2[[#This Row],[Home Pace]]/100)*(VLOOKUP(Table2[[#This Row],[Home/Neutral]],home_lookup,8,FALSE)+VLOOKUP(Table2[[#This Row],[Home/Neutral]],OFR_lookup,2,FALSE)+VLOOKUP(Table2[[#This Row],[Visitor/Neutral]],def_diff_lookup,6,FALSE))</f>
        <v>107.8146916789148</v>
      </c>
      <c r="L250" s="25"/>
      <c r="M250" s="25">
        <f>(Table2[[#This Row],[Away Pace]]/100)*(VLOOKUP(Table2[[#This Row],[Visitor/Neutral]],OFR_lookup,2,FALSE)+VLOOKUP(Table2[[#This Row],[Home/Neutral]],def_diff_lookup,6,FALSE))</f>
        <v>103.42176533333334</v>
      </c>
      <c r="N250" s="25"/>
      <c r="O250" s="25"/>
      <c r="P250">
        <f>VLOOKUP(Table2[[#This Row],[Home/Neutral]],pace_lookup,7,FALSE)</f>
        <v>94.2</v>
      </c>
      <c r="Q250" s="5">
        <f>VLOOKUP(Table2[[#This Row],[Visitor/Neutral]],pace_lookup,7,FALSE)</f>
        <v>96.8</v>
      </c>
      <c r="R250" s="9"/>
      <c r="V250" s="2">
        <f>-home-VLOOKUP(Table2[[#This Row],[Home/Neutral]],rtg_vlookup,4,FALSE)+VLOOKUP(Table2[[#This Row],[Visitor/Neutral]],rtg_vlookup,4,FALSE)</f>
        <v>3.454881516587669</v>
      </c>
      <c r="W250" s="25"/>
      <c r="X250" s="2"/>
      <c r="Y250" s="2">
        <f>Table2[[#This Row],[Away EV]]-Table2[[#This Row],[Home EV]]</f>
        <v>-4.3929263455814578</v>
      </c>
      <c r="Z250" s="33"/>
      <c r="AA250" s="34"/>
      <c r="AB250" s="5" t="b">
        <f>IF(VLOOKUP(Table2[[#This Row],[Home/Neutral]],division_lookup,9,FALSE)=VLOOKUP(Table2[[#This Row],[Visitor/Neutral]],division_lookup,9,FALSE),TRUE,FALSE)</f>
        <v>0</v>
      </c>
      <c r="AC250" s="19" t="str">
        <f>VLOOKUP(Table2[[#This Row],[Home/Neutral]],division_lookup,9,FALSE)</f>
        <v>SE</v>
      </c>
      <c r="AD250" s="19"/>
      <c r="AE250" s="19" t="str">
        <f>IF(Table2[[#This Row],[Total EV ®]]&lt;Table2[[#This Row],[Total (V)]],"UNDER","OVER")</f>
        <v>OVER</v>
      </c>
      <c r="AF250" s="30">
        <f>Table2[[#This Row],[(A) Spread]]-Table2[[#This Row],[Spread (V)]]</f>
        <v>0</v>
      </c>
      <c r="AG250" s="19"/>
      <c r="AH250" s="2">
        <f>Table2[[#This Row],[EV]]-Table2[[#This Row],[Spread (V)]]</f>
        <v>-4.3929263455814578</v>
      </c>
      <c r="AI250" s="22">
        <f>Table2[[#This Row],[(A)]]-Table2[[#This Row],[Spread]]</f>
        <v>3.454881516587669</v>
      </c>
      <c r="AJ250" s="1">
        <f>Table2[[#This Row],[(A) Err]]^2</f>
        <v>11.936206293659112</v>
      </c>
      <c r="AK250" s="6">
        <f>Table2[[#This Row],[EV]]-Table2[[#This Row],[Spread]]</f>
        <v>-4.3929263455814578</v>
      </c>
      <c r="AL250" s="1">
        <f>Table2[[#This Row],[EV Err]]^2</f>
        <v>19.297801877703662</v>
      </c>
    </row>
    <row r="251" spans="1:38" x14ac:dyDescent="0.25">
      <c r="A251" t="s">
        <v>75</v>
      </c>
      <c r="B251" t="s">
        <v>39</v>
      </c>
      <c r="C251" t="s">
        <v>8</v>
      </c>
      <c r="K251" s="25">
        <f>(Table2[[#This Row],[Home Pace]]/100)*(VLOOKUP(Table2[[#This Row],[Home/Neutral]],home_lookup,8,FALSE)+VLOOKUP(Table2[[#This Row],[Home/Neutral]],OFR_lookup,2,FALSE)+VLOOKUP(Table2[[#This Row],[Visitor/Neutral]],def_diff_lookup,6,FALSE))</f>
        <v>105.41702211468578</v>
      </c>
      <c r="L251" s="25"/>
      <c r="M251" s="25">
        <f>(Table2[[#This Row],[Away Pace]]/100)*(VLOOKUP(Table2[[#This Row],[Visitor/Neutral]],OFR_lookup,2,FALSE)+VLOOKUP(Table2[[#This Row],[Home/Neutral]],def_diff_lookup,6,FALSE))</f>
        <v>111.01276799999999</v>
      </c>
      <c r="N251" s="25"/>
      <c r="O251" s="25"/>
      <c r="P251">
        <f>VLOOKUP(Table2[[#This Row],[Home/Neutral]],pace_lookup,7,FALSE)</f>
        <v>97.5</v>
      </c>
      <c r="Q251" s="5">
        <f>VLOOKUP(Table2[[#This Row],[Visitor/Neutral]],pace_lookup,7,FALSE)</f>
        <v>97.2</v>
      </c>
      <c r="R251" s="9"/>
      <c r="V251" s="2">
        <f>-home-VLOOKUP(Table2[[#This Row],[Home/Neutral]],rtg_vlookup,4,FALSE)+VLOOKUP(Table2[[#This Row],[Visitor/Neutral]],rtg_vlookup,4,FALSE)</f>
        <v>13.404881516587668</v>
      </c>
      <c r="W251" s="25"/>
      <c r="X251" s="2"/>
      <c r="Y251" s="2">
        <f>Table2[[#This Row],[Away EV]]-Table2[[#This Row],[Home EV]]</f>
        <v>5.5957458853142157</v>
      </c>
      <c r="Z251" s="33"/>
      <c r="AA251" s="34"/>
      <c r="AB251" s="5" t="b">
        <f>IF(VLOOKUP(Table2[[#This Row],[Home/Neutral]],division_lookup,9,FALSE)=VLOOKUP(Table2[[#This Row],[Visitor/Neutral]],division_lookup,9,FALSE),TRUE,FALSE)</f>
        <v>0</v>
      </c>
      <c r="AC251" s="19" t="str">
        <f>VLOOKUP(Table2[[#This Row],[Home/Neutral]],division_lookup,9,FALSE)</f>
        <v>A</v>
      </c>
      <c r="AD251" s="19"/>
      <c r="AE251" s="19" t="str">
        <f>IF(Table2[[#This Row],[Total EV ®]]&lt;Table2[[#This Row],[Total (V)]],"UNDER","OVER")</f>
        <v>OVER</v>
      </c>
      <c r="AF251" s="30">
        <f>Table2[[#This Row],[(A) Spread]]-Table2[[#This Row],[Spread (V)]]</f>
        <v>0</v>
      </c>
      <c r="AG251" s="19"/>
      <c r="AH251" s="2">
        <f>Table2[[#This Row],[EV]]-Table2[[#This Row],[Spread (V)]]</f>
        <v>5.5957458853142157</v>
      </c>
      <c r="AI251" s="22">
        <f>Table2[[#This Row],[(A)]]-Table2[[#This Row],[Spread]]</f>
        <v>13.404881516587668</v>
      </c>
      <c r="AJ251" s="1">
        <f>Table2[[#This Row],[(A) Err]]^2</f>
        <v>179.6908484737537</v>
      </c>
      <c r="AK251" s="6">
        <f>Table2[[#This Row],[EV]]-Table2[[#This Row],[Spread]]</f>
        <v>5.5957458853142157</v>
      </c>
      <c r="AL251" s="1">
        <f>Table2[[#This Row],[EV Err]]^2</f>
        <v>31.312372013010975</v>
      </c>
    </row>
    <row r="252" spans="1:38" x14ac:dyDescent="0.25">
      <c r="A252" t="s">
        <v>75</v>
      </c>
      <c r="B252" t="s">
        <v>36</v>
      </c>
      <c r="C252" t="s">
        <v>27</v>
      </c>
      <c r="K252" s="25">
        <f>(Table2[[#This Row],[Home Pace]]/100)*(VLOOKUP(Table2[[#This Row],[Home/Neutral]],home_lookup,8,FALSE)+VLOOKUP(Table2[[#This Row],[Home/Neutral]],OFR_lookup,2,FALSE)+VLOOKUP(Table2[[#This Row],[Visitor/Neutral]],def_diff_lookup,6,FALSE))</f>
        <v>107.05315156604043</v>
      </c>
      <c r="L252" s="25"/>
      <c r="M252" s="25">
        <f>(Table2[[#This Row],[Away Pace]]/100)*(VLOOKUP(Table2[[#This Row],[Visitor/Neutral]],OFR_lookup,2,FALSE)+VLOOKUP(Table2[[#This Row],[Home/Neutral]],def_diff_lookup,6,FALSE))</f>
        <v>107.06916</v>
      </c>
      <c r="N252" s="25"/>
      <c r="O252" s="25"/>
      <c r="P252">
        <f>VLOOKUP(Table2[[#This Row],[Home/Neutral]],pace_lookup,7,FALSE)</f>
        <v>102.2</v>
      </c>
      <c r="Q252" s="5">
        <f>VLOOKUP(Table2[[#This Row],[Visitor/Neutral]],pace_lookup,7,FALSE)</f>
        <v>99</v>
      </c>
      <c r="R252" s="9"/>
      <c r="V252" s="2">
        <f>-home-VLOOKUP(Table2[[#This Row],[Home/Neutral]],rtg_vlookup,4,FALSE)+VLOOKUP(Table2[[#This Row],[Visitor/Neutral]],rtg_vlookup,4,FALSE)</f>
        <v>2.8848815165876696</v>
      </c>
      <c r="W252" s="25"/>
      <c r="X252" s="2"/>
      <c r="Y252" s="2">
        <f>Table2[[#This Row],[Away EV]]-Table2[[#This Row],[Home EV]]</f>
        <v>1.6008433959569857E-2</v>
      </c>
      <c r="Z252" s="33"/>
      <c r="AA252" s="34"/>
      <c r="AB252" s="5" t="b">
        <f>IF(VLOOKUP(Table2[[#This Row],[Home/Neutral]],division_lookup,9,FALSE)=VLOOKUP(Table2[[#This Row],[Visitor/Neutral]],division_lookup,9,FALSE),TRUE,FALSE)</f>
        <v>0</v>
      </c>
      <c r="AC252" s="19" t="str">
        <f>VLOOKUP(Table2[[#This Row],[Home/Neutral]],division_lookup,9,FALSE)</f>
        <v>P</v>
      </c>
      <c r="AD252" s="19"/>
      <c r="AE252" s="19" t="str">
        <f>IF(Table2[[#This Row],[Total EV ®]]&lt;Table2[[#This Row],[Total (V)]],"UNDER","OVER")</f>
        <v>OVER</v>
      </c>
      <c r="AF252" s="30">
        <f>Table2[[#This Row],[(A) Spread]]-Table2[[#This Row],[Spread (V)]]</f>
        <v>0</v>
      </c>
      <c r="AG252" s="19"/>
      <c r="AH252" s="2">
        <f>Table2[[#This Row],[EV]]-Table2[[#This Row],[Spread (V)]]</f>
        <v>1.6008433959569857E-2</v>
      </c>
      <c r="AI252" s="22">
        <f>Table2[[#This Row],[(A)]]-Table2[[#This Row],[Spread]]</f>
        <v>2.8848815165876696</v>
      </c>
      <c r="AJ252" s="1">
        <f>Table2[[#This Row],[(A) Err]]^2</f>
        <v>8.3225413647491724</v>
      </c>
      <c r="AK252" s="6">
        <f>Table2[[#This Row],[EV]]-Table2[[#This Row],[Spread]]</f>
        <v>1.6008433959569857E-2</v>
      </c>
      <c r="AL252" s="1">
        <f>Table2[[#This Row],[EV Err]]^2</f>
        <v>2.5626995783790946E-4</v>
      </c>
    </row>
    <row r="253" spans="1:38" ht="15.75" thickBot="1" x14ac:dyDescent="0.3">
      <c r="A253" s="3" t="s">
        <v>75</v>
      </c>
      <c r="B253" s="3" t="s">
        <v>32</v>
      </c>
      <c r="C253" s="3" t="s">
        <v>17</v>
      </c>
      <c r="D253" s="3"/>
      <c r="E253" s="3"/>
      <c r="F253" s="3"/>
      <c r="G253" s="3"/>
      <c r="H253" s="10"/>
      <c r="I253" s="3"/>
      <c r="J253" s="3"/>
      <c r="K253" s="26">
        <f>(Table2[[#This Row],[Home Pace]]/100)*(VLOOKUP(Table2[[#This Row],[Home/Neutral]],home_lookup,8,FALSE)+VLOOKUP(Table2[[#This Row],[Home/Neutral]],OFR_lookup,2,FALSE)+VLOOKUP(Table2[[#This Row],[Visitor/Neutral]],def_diff_lookup,6,FALSE))</f>
        <v>112.4523311200184</v>
      </c>
      <c r="L253" s="26"/>
      <c r="M253" s="26">
        <f>(Table2[[#This Row],[Away Pace]]/100)*(VLOOKUP(Table2[[#This Row],[Visitor/Neutral]],OFR_lookup,2,FALSE)+VLOOKUP(Table2[[#This Row],[Home/Neutral]],def_diff_lookup,6,FALSE))</f>
        <v>114.96727466666668</v>
      </c>
      <c r="N253" s="26"/>
      <c r="O253" s="26"/>
      <c r="P253" s="3">
        <f>VLOOKUP(Table2[[#This Row],[Home/Neutral]],pace_lookup,7,FALSE)</f>
        <v>98.6</v>
      </c>
      <c r="Q253" s="3">
        <f>VLOOKUP(Table2[[#This Row],[Visitor/Neutral]],pace_lookup,7,FALSE)</f>
        <v>96.7</v>
      </c>
      <c r="R253" s="10"/>
      <c r="S253" s="3"/>
      <c r="T253" s="3"/>
      <c r="U253" s="3"/>
      <c r="V253" s="12">
        <f>-home-VLOOKUP(Table2[[#This Row],[Home/Neutral]],rtg_vlookup,4,FALSE)+VLOOKUP(Table2[[#This Row],[Visitor/Neutral]],rtg_vlookup,4,FALSE)</f>
        <v>4.3948815165876693</v>
      </c>
      <c r="W253" s="26"/>
      <c r="X253" s="12"/>
      <c r="Y253" s="12">
        <f>Table2[[#This Row],[Away EV]]-Table2[[#This Row],[Home EV]]</f>
        <v>2.5149435466482828</v>
      </c>
      <c r="Z253" s="35"/>
      <c r="AA253" s="36"/>
      <c r="AB253" s="3" t="b">
        <f>IF(VLOOKUP(Table2[[#This Row],[Home/Neutral]],division_lookup,9,FALSE)=VLOOKUP(Table2[[#This Row],[Visitor/Neutral]],division_lookup,9,FALSE),TRUE,FALSE)</f>
        <v>0</v>
      </c>
      <c r="AC253" s="20" t="str">
        <f>VLOOKUP(Table2[[#This Row],[Home/Neutral]],division_lookup,9,FALSE)</f>
        <v>NW</v>
      </c>
      <c r="AD253" s="20"/>
      <c r="AE253" s="20" t="str">
        <f>IF(Table2[[#This Row],[Total EV ®]]&lt;Table2[[#This Row],[Total (V)]],"UNDER","OVER")</f>
        <v>OVER</v>
      </c>
      <c r="AF253" s="20">
        <f>Table2[[#This Row],[(A) Spread]]-Table2[[#This Row],[Spread (V)]]</f>
        <v>0</v>
      </c>
      <c r="AG253" s="20"/>
      <c r="AH253" s="12">
        <f>Table2[[#This Row],[EV]]-Table2[[#This Row],[Spread (V)]]</f>
        <v>2.5149435466482828</v>
      </c>
      <c r="AI253" s="23">
        <f>Table2[[#This Row],[(A)]]-Table2[[#This Row],[Spread]]</f>
        <v>4.3948815165876693</v>
      </c>
      <c r="AJ253" s="4">
        <f>Table2[[#This Row],[(A) Err]]^2</f>
        <v>19.314983544843933</v>
      </c>
      <c r="AK253" s="4">
        <f>Table2[[#This Row],[EV]]-Table2[[#This Row],[Spread]]</f>
        <v>2.5149435466482828</v>
      </c>
      <c r="AL253" s="4">
        <f>Table2[[#This Row],[EV Err]]^2</f>
        <v>6.3249410428278434</v>
      </c>
    </row>
    <row r="254" spans="1:38" x14ac:dyDescent="0.25">
      <c r="A254" t="s">
        <v>76</v>
      </c>
      <c r="B254" t="s">
        <v>10</v>
      </c>
      <c r="C254" t="s">
        <v>11</v>
      </c>
      <c r="K254" s="25">
        <f>(Table2[[#This Row],[Home Pace]]/100)*(VLOOKUP(Table2[[#This Row],[Home/Neutral]],home_lookup,8,FALSE)+VLOOKUP(Table2[[#This Row],[Home/Neutral]],OFR_lookup,2,FALSE)+VLOOKUP(Table2[[#This Row],[Visitor/Neutral]],def_diff_lookup,6,FALSE))</f>
        <v>99.372938537905611</v>
      </c>
      <c r="L254" s="25"/>
      <c r="M254" s="25">
        <f>(Table2[[#This Row],[Away Pace]]/100)*(VLOOKUP(Table2[[#This Row],[Visitor/Neutral]],OFR_lookup,2,FALSE)+VLOOKUP(Table2[[#This Row],[Home/Neutral]],def_diff_lookup,6,FALSE))</f>
        <v>106.08146466666666</v>
      </c>
      <c r="N254" s="25"/>
      <c r="O254" s="25"/>
      <c r="P254">
        <f>VLOOKUP(Table2[[#This Row],[Home/Neutral]],pace_lookup,7,FALSE)</f>
        <v>100.3</v>
      </c>
      <c r="Q254" s="5">
        <f>VLOOKUP(Table2[[#This Row],[Visitor/Neutral]],pace_lookup,7,FALSE)</f>
        <v>99.7</v>
      </c>
      <c r="R254" s="9"/>
      <c r="V254" s="2">
        <f>-home-VLOOKUP(Table2[[#This Row],[Home/Neutral]],rtg_vlookup,4,FALSE)+VLOOKUP(Table2[[#This Row],[Visitor/Neutral]],rtg_vlookup,4,FALSE)</f>
        <v>-4.8851184834123309</v>
      </c>
      <c r="W254" s="25"/>
      <c r="X254" s="2"/>
      <c r="Y254" s="2">
        <f>Table2[[#This Row],[Away EV]]-Table2[[#This Row],[Home EV]]</f>
        <v>6.7085261287610507</v>
      </c>
      <c r="Z254" s="33"/>
      <c r="AA254" s="34"/>
      <c r="AB254" s="5" t="b">
        <f>IF(VLOOKUP(Table2[[#This Row],[Home/Neutral]],division_lookup,9,FALSE)=VLOOKUP(Table2[[#This Row],[Visitor/Neutral]],division_lookup,9,FALSE),TRUE,FALSE)</f>
        <v>0</v>
      </c>
      <c r="AC254" s="19" t="str">
        <f>VLOOKUP(Table2[[#This Row],[Home/Neutral]],division_lookup,9,FALSE)</f>
        <v>P</v>
      </c>
      <c r="AD254" s="19"/>
      <c r="AE254" s="19" t="str">
        <f>IF(Table2[[#This Row],[Total EV ®]]&lt;Table2[[#This Row],[Total (V)]],"UNDER","OVER")</f>
        <v>OVER</v>
      </c>
      <c r="AF254" s="30">
        <f>Table2[[#This Row],[(A) Spread]]-Table2[[#This Row],[Spread (V)]]</f>
        <v>0</v>
      </c>
      <c r="AG254" s="19"/>
      <c r="AH254" s="2">
        <f>Table2[[#This Row],[EV]]-Table2[[#This Row],[Spread (V)]]</f>
        <v>6.7085261287610507</v>
      </c>
      <c r="AI254" s="22">
        <f>Table2[[#This Row],[(A)]]-Table2[[#This Row],[Spread]]</f>
        <v>-4.8851184834123309</v>
      </c>
      <c r="AJ254" s="1">
        <f>Table2[[#This Row],[(A) Err]]^2</f>
        <v>23.864382596976792</v>
      </c>
      <c r="AK254" s="6">
        <f>Table2[[#This Row],[EV]]-Table2[[#This Row],[Spread]]</f>
        <v>6.7085261287610507</v>
      </c>
      <c r="AL254" s="1">
        <f>Table2[[#This Row],[EV Err]]^2</f>
        <v>45.004322820269728</v>
      </c>
    </row>
    <row r="255" spans="1:38" x14ac:dyDescent="0.25">
      <c r="A255" t="s">
        <v>76</v>
      </c>
      <c r="B255" t="s">
        <v>23</v>
      </c>
      <c r="C255" t="s">
        <v>16</v>
      </c>
      <c r="K255" s="25">
        <f>(Table2[[#This Row],[Home Pace]]/100)*(VLOOKUP(Table2[[#This Row],[Home/Neutral]],home_lookup,8,FALSE)+VLOOKUP(Table2[[#This Row],[Home/Neutral]],OFR_lookup,2,FALSE)+VLOOKUP(Table2[[#This Row],[Visitor/Neutral]],def_diff_lookup,6,FALSE))</f>
        <v>100.2971373587136</v>
      </c>
      <c r="L255" s="25"/>
      <c r="M255" s="25">
        <f>(Table2[[#This Row],[Away Pace]]/100)*(VLOOKUP(Table2[[#This Row],[Visitor/Neutral]],OFR_lookup,2,FALSE)+VLOOKUP(Table2[[#This Row],[Home/Neutral]],def_diff_lookup,6,FALSE))</f>
        <v>100.21115</v>
      </c>
      <c r="N255" s="25"/>
      <c r="O255" s="25"/>
      <c r="P255">
        <f>VLOOKUP(Table2[[#This Row],[Home/Neutral]],pace_lookup,7,FALSE)</f>
        <v>92.5</v>
      </c>
      <c r="Q255" s="5">
        <f>VLOOKUP(Table2[[#This Row],[Visitor/Neutral]],pace_lookup,7,FALSE)</f>
        <v>97.5</v>
      </c>
      <c r="R255" s="9"/>
      <c r="V255" s="2">
        <f>-home-VLOOKUP(Table2[[#This Row],[Home/Neutral]],rtg_vlookup,4,FALSE)+VLOOKUP(Table2[[#This Row],[Visitor/Neutral]],rtg_vlookup,4,FALSE)</f>
        <v>-2.505118483412331</v>
      </c>
      <c r="W255" s="25"/>
      <c r="X255" s="2"/>
      <c r="Y255" s="2">
        <f>Table2[[#This Row],[Away EV]]-Table2[[#This Row],[Home EV]]</f>
        <v>-8.5987358713595086E-2</v>
      </c>
      <c r="Z255" s="33"/>
      <c r="AA255" s="34"/>
      <c r="AB255" s="5" t="b">
        <f>IF(VLOOKUP(Table2[[#This Row],[Home/Neutral]],division_lookup,9,FALSE)=VLOOKUP(Table2[[#This Row],[Visitor/Neutral]],division_lookup,9,FALSE),TRUE,FALSE)</f>
        <v>0</v>
      </c>
      <c r="AC255" s="19" t="str">
        <f>VLOOKUP(Table2[[#This Row],[Home/Neutral]],division_lookup,9,FALSE)</f>
        <v>SW</v>
      </c>
      <c r="AD255" s="19"/>
      <c r="AE255" s="19" t="str">
        <f>IF(Table2[[#This Row],[Total EV ®]]&lt;Table2[[#This Row],[Total (V)]],"UNDER","OVER")</f>
        <v>OVER</v>
      </c>
      <c r="AF255" s="30">
        <f>Table2[[#This Row],[(A) Spread]]-Table2[[#This Row],[Spread (V)]]</f>
        <v>0</v>
      </c>
      <c r="AG255" s="19"/>
      <c r="AH255" s="2">
        <f>Table2[[#This Row],[EV]]-Table2[[#This Row],[Spread (V)]]</f>
        <v>-8.5987358713595086E-2</v>
      </c>
      <c r="AI255" s="22">
        <f>Table2[[#This Row],[(A)]]-Table2[[#This Row],[Spread]]</f>
        <v>-2.505118483412331</v>
      </c>
      <c r="AJ255" s="1">
        <f>Table2[[#This Row],[(A) Err]]^2</f>
        <v>6.2756186159340972</v>
      </c>
      <c r="AK255" s="6">
        <f>Table2[[#This Row],[EV]]-Table2[[#This Row],[Spread]]</f>
        <v>-8.5987358713595086E-2</v>
      </c>
      <c r="AL255" s="1">
        <f>Table2[[#This Row],[EV Err]]^2</f>
        <v>7.3938258585404771E-3</v>
      </c>
    </row>
    <row r="256" spans="1:38" x14ac:dyDescent="0.25">
      <c r="A256" t="s">
        <v>76</v>
      </c>
      <c r="B256" t="s">
        <v>21</v>
      </c>
      <c r="C256" t="s">
        <v>26</v>
      </c>
      <c r="K256" s="25">
        <f>(Table2[[#This Row],[Home Pace]]/100)*(VLOOKUP(Table2[[#This Row],[Home/Neutral]],home_lookup,8,FALSE)+VLOOKUP(Table2[[#This Row],[Home/Neutral]],OFR_lookup,2,FALSE)+VLOOKUP(Table2[[#This Row],[Visitor/Neutral]],def_diff_lookup,6,FALSE))</f>
        <v>103.1271111752439</v>
      </c>
      <c r="L256" s="25"/>
      <c r="M256" s="25">
        <f>(Table2[[#This Row],[Away Pace]]/100)*(VLOOKUP(Table2[[#This Row],[Visitor/Neutral]],OFR_lookup,2,FALSE)+VLOOKUP(Table2[[#This Row],[Home/Neutral]],def_diff_lookup,6,FALSE))</f>
        <v>99.907840000000007</v>
      </c>
      <c r="N256" s="25"/>
      <c r="O256" s="25"/>
      <c r="P256">
        <f>VLOOKUP(Table2[[#This Row],[Home/Neutral]],pace_lookup,7,FALSE)</f>
        <v>94.2</v>
      </c>
      <c r="Q256" s="5">
        <f>VLOOKUP(Table2[[#This Row],[Visitor/Neutral]],pace_lookup,7,FALSE)</f>
        <v>96</v>
      </c>
      <c r="R256" s="9"/>
      <c r="V256" s="2">
        <f>-home-VLOOKUP(Table2[[#This Row],[Home/Neutral]],rtg_vlookup,4,FALSE)+VLOOKUP(Table2[[#This Row],[Visitor/Neutral]],rtg_vlookup,4,FALSE)</f>
        <v>-2.8551184834123307</v>
      </c>
      <c r="W256" s="25"/>
      <c r="X256" s="2"/>
      <c r="Y256" s="2">
        <f>Table2[[#This Row],[Away EV]]-Table2[[#This Row],[Home EV]]</f>
        <v>-3.2192711752438896</v>
      </c>
      <c r="Z256" s="33"/>
      <c r="AA256" s="34"/>
      <c r="AB256" s="5" t="b">
        <f>IF(VLOOKUP(Table2[[#This Row],[Home/Neutral]],division_lookup,9,FALSE)=VLOOKUP(Table2[[#This Row],[Visitor/Neutral]],division_lookup,9,FALSE),TRUE,FALSE)</f>
        <v>0</v>
      </c>
      <c r="AC256" s="19" t="str">
        <f>VLOOKUP(Table2[[#This Row],[Home/Neutral]],division_lookup,9,FALSE)</f>
        <v>SE</v>
      </c>
      <c r="AD256" s="19"/>
      <c r="AE256" s="19" t="str">
        <f>IF(Table2[[#This Row],[Total EV ®]]&lt;Table2[[#This Row],[Total (V)]],"UNDER","OVER")</f>
        <v>OVER</v>
      </c>
      <c r="AF256" s="30">
        <f>Table2[[#This Row],[(A) Spread]]-Table2[[#This Row],[Spread (V)]]</f>
        <v>0</v>
      </c>
      <c r="AG256" s="19"/>
      <c r="AH256" s="2">
        <f>Table2[[#This Row],[EV]]-Table2[[#This Row],[Spread (V)]]</f>
        <v>-3.2192711752438896</v>
      </c>
      <c r="AI256" s="22">
        <f>Table2[[#This Row],[(A)]]-Table2[[#This Row],[Spread]]</f>
        <v>-2.8551184834123307</v>
      </c>
      <c r="AJ256" s="1">
        <f>Table2[[#This Row],[(A) Err]]^2</f>
        <v>8.1517015543227274</v>
      </c>
      <c r="AK256" s="6">
        <f>Table2[[#This Row],[EV]]-Table2[[#This Row],[Spread]]</f>
        <v>-3.2192711752438896</v>
      </c>
      <c r="AL256" s="1">
        <f>Table2[[#This Row],[EV Err]]^2</f>
        <v>10.363706899756174</v>
      </c>
    </row>
    <row r="257" spans="1:38" x14ac:dyDescent="0.25">
      <c r="A257" t="s">
        <v>76</v>
      </c>
      <c r="B257" t="s">
        <v>22</v>
      </c>
      <c r="C257" t="s">
        <v>20</v>
      </c>
      <c r="K257" s="25">
        <f>(Table2[[#This Row],[Home Pace]]/100)*(VLOOKUP(Table2[[#This Row],[Home/Neutral]],home_lookup,8,FALSE)+VLOOKUP(Table2[[#This Row],[Home/Neutral]],OFR_lookup,2,FALSE)+VLOOKUP(Table2[[#This Row],[Visitor/Neutral]],def_diff_lookup,6,FALSE))</f>
        <v>109.54278922968977</v>
      </c>
      <c r="L257" s="25"/>
      <c r="M257" s="25">
        <f>(Table2[[#This Row],[Away Pace]]/100)*(VLOOKUP(Table2[[#This Row],[Visitor/Neutral]],OFR_lookup,2,FALSE)+VLOOKUP(Table2[[#This Row],[Home/Neutral]],def_diff_lookup,6,FALSE))</f>
        <v>100.56327600000002</v>
      </c>
      <c r="N257" s="25"/>
      <c r="O257" s="25"/>
      <c r="P257">
        <f>VLOOKUP(Table2[[#This Row],[Home/Neutral]],pace_lookup,7,FALSE)</f>
        <v>94.7</v>
      </c>
      <c r="Q257" s="5">
        <f>VLOOKUP(Table2[[#This Row],[Visitor/Neutral]],pace_lookup,7,FALSE)</f>
        <v>90.9</v>
      </c>
      <c r="R257" s="9"/>
      <c r="V257" s="2">
        <f>-home-VLOOKUP(Table2[[#This Row],[Home/Neutral]],rtg_vlookup,4,FALSE)+VLOOKUP(Table2[[#This Row],[Visitor/Neutral]],rtg_vlookup,4,FALSE)</f>
        <v>-1.8951184834123309</v>
      </c>
      <c r="W257" s="25"/>
      <c r="X257" s="2"/>
      <c r="Y257" s="2">
        <f>Table2[[#This Row],[Away EV]]-Table2[[#This Row],[Home EV]]</f>
        <v>-8.9795132296897577</v>
      </c>
      <c r="Z257" s="33"/>
      <c r="AA257" s="34"/>
      <c r="AB257" s="5" t="b">
        <f>IF(VLOOKUP(Table2[[#This Row],[Home/Neutral]],division_lookup,9,FALSE)=VLOOKUP(Table2[[#This Row],[Visitor/Neutral]],division_lookup,9,FALSE),TRUE,FALSE)</f>
        <v>1</v>
      </c>
      <c r="AC257" s="19" t="str">
        <f>VLOOKUP(Table2[[#This Row],[Home/Neutral]],division_lookup,9,FALSE)</f>
        <v>NW</v>
      </c>
      <c r="AD257" s="19"/>
      <c r="AE257" s="19" t="str">
        <f>IF(Table2[[#This Row],[Total EV ®]]&lt;Table2[[#This Row],[Total (V)]],"UNDER","OVER")</f>
        <v>OVER</v>
      </c>
      <c r="AF257" s="30">
        <f>Table2[[#This Row],[(A) Spread]]-Table2[[#This Row],[Spread (V)]]</f>
        <v>0</v>
      </c>
      <c r="AG257" s="19"/>
      <c r="AH257" s="2">
        <f>Table2[[#This Row],[EV]]-Table2[[#This Row],[Spread (V)]]</f>
        <v>-8.9795132296897577</v>
      </c>
      <c r="AI257" s="22">
        <f>Table2[[#This Row],[(A)]]-Table2[[#This Row],[Spread]]</f>
        <v>-1.8951184834123309</v>
      </c>
      <c r="AJ257" s="1">
        <f>Table2[[#This Row],[(A) Err]]^2</f>
        <v>3.5914740661710534</v>
      </c>
      <c r="AK257" s="6">
        <f>Table2[[#This Row],[EV]]-Table2[[#This Row],[Spread]]</f>
        <v>-8.9795132296897577</v>
      </c>
      <c r="AL257" s="1">
        <f>Table2[[#This Row],[EV Err]]^2</f>
        <v>80.631657842173382</v>
      </c>
    </row>
    <row r="258" spans="1:38" x14ac:dyDescent="0.25">
      <c r="A258" t="s">
        <v>76</v>
      </c>
      <c r="B258" t="s">
        <v>31</v>
      </c>
      <c r="C258" t="s">
        <v>18</v>
      </c>
      <c r="K258" s="25">
        <f>(Table2[[#This Row],[Home Pace]]/100)*(VLOOKUP(Table2[[#This Row],[Home/Neutral]],home_lookup,8,FALSE)+VLOOKUP(Table2[[#This Row],[Home/Neutral]],OFR_lookup,2,FALSE)+VLOOKUP(Table2[[#This Row],[Visitor/Neutral]],def_diff_lookup,6,FALSE))</f>
        <v>106.3389743021789</v>
      </c>
      <c r="L258" s="25"/>
      <c r="M258" s="25">
        <f>(Table2[[#This Row],[Away Pace]]/100)*(VLOOKUP(Table2[[#This Row],[Visitor/Neutral]],OFR_lookup,2,FALSE)+VLOOKUP(Table2[[#This Row],[Home/Neutral]],def_diff_lookup,6,FALSE))</f>
        <v>108.63476333333335</v>
      </c>
      <c r="N258" s="25"/>
      <c r="O258" s="25"/>
      <c r="P258">
        <f>VLOOKUP(Table2[[#This Row],[Home/Neutral]],pace_lookup,7,FALSE)</f>
        <v>96</v>
      </c>
      <c r="Q258" s="5">
        <f>VLOOKUP(Table2[[#This Row],[Visitor/Neutral]],pace_lookup,7,FALSE)</f>
        <v>99.5</v>
      </c>
      <c r="R258" s="9"/>
      <c r="V258" s="2">
        <f>-home-VLOOKUP(Table2[[#This Row],[Home/Neutral]],rtg_vlookup,4,FALSE)+VLOOKUP(Table2[[#This Row],[Visitor/Neutral]],rtg_vlookup,4,FALSE)</f>
        <v>1.8448815165876695</v>
      </c>
      <c r="W258" s="25"/>
      <c r="X258" s="2"/>
      <c r="Y258" s="2">
        <f>Table2[[#This Row],[Away EV]]-Table2[[#This Row],[Home EV]]</f>
        <v>2.295789031154456</v>
      </c>
      <c r="Z258" s="33"/>
      <c r="AA258" s="34"/>
      <c r="AB258" s="5" t="b">
        <f>IF(VLOOKUP(Table2[[#This Row],[Home/Neutral]],division_lookup,9,FALSE)=VLOOKUP(Table2[[#This Row],[Visitor/Neutral]],division_lookup,9,FALSE),TRUE,FALSE)</f>
        <v>0</v>
      </c>
      <c r="AC258" s="19" t="str">
        <f>VLOOKUP(Table2[[#This Row],[Home/Neutral]],division_lookup,9,FALSE)</f>
        <v>A</v>
      </c>
      <c r="AD258" s="19"/>
      <c r="AE258" s="19" t="str">
        <f>IF(Table2[[#This Row],[Total EV ®]]&lt;Table2[[#This Row],[Total (V)]],"UNDER","OVER")</f>
        <v>OVER</v>
      </c>
      <c r="AF258" s="30">
        <f>Table2[[#This Row],[(A) Spread]]-Table2[[#This Row],[Spread (V)]]</f>
        <v>0</v>
      </c>
      <c r="AG258" s="19"/>
      <c r="AH258" s="2">
        <f>Table2[[#This Row],[EV]]-Table2[[#This Row],[Spread (V)]]</f>
        <v>2.295789031154456</v>
      </c>
      <c r="AI258" s="22">
        <f>Table2[[#This Row],[(A)]]-Table2[[#This Row],[Spread]]</f>
        <v>1.8448815165876695</v>
      </c>
      <c r="AJ258" s="1">
        <f>Table2[[#This Row],[(A) Err]]^2</f>
        <v>3.4035878102468193</v>
      </c>
      <c r="AK258" s="6">
        <f>Table2[[#This Row],[EV]]-Table2[[#This Row],[Spread]]</f>
        <v>2.295789031154456</v>
      </c>
      <c r="AL258" s="1">
        <f>Table2[[#This Row],[EV Err]]^2</f>
        <v>5.2706472755691154</v>
      </c>
    </row>
    <row r="259" spans="1:38" x14ac:dyDescent="0.25">
      <c r="A259" t="s">
        <v>76</v>
      </c>
      <c r="B259" t="s">
        <v>14</v>
      </c>
      <c r="C259" t="s">
        <v>39</v>
      </c>
      <c r="K259" s="25">
        <f>(Table2[[#This Row],[Home Pace]]/100)*(VLOOKUP(Table2[[#This Row],[Home/Neutral]],home_lookup,8,FALSE)+VLOOKUP(Table2[[#This Row],[Home/Neutral]],OFR_lookup,2,FALSE)+VLOOKUP(Table2[[#This Row],[Visitor/Neutral]],def_diff_lookup,6,FALSE))</f>
        <v>110.06396414241451</v>
      </c>
      <c r="L259" s="25"/>
      <c r="M259" s="25">
        <f>(Table2[[#This Row],[Away Pace]]/100)*(VLOOKUP(Table2[[#This Row],[Visitor/Neutral]],OFR_lookup,2,FALSE)+VLOOKUP(Table2[[#This Row],[Home/Neutral]],def_diff_lookup,6,FALSE))</f>
        <v>99.401900000000012</v>
      </c>
      <c r="N259" s="25"/>
      <c r="O259" s="25"/>
      <c r="P259">
        <f>VLOOKUP(Table2[[#This Row],[Home/Neutral]],pace_lookup,7,FALSE)</f>
        <v>95.9</v>
      </c>
      <c r="Q259" s="5">
        <f>VLOOKUP(Table2[[#This Row],[Visitor/Neutral]],pace_lookup,7,FALSE)</f>
        <v>97.5</v>
      </c>
      <c r="R259" s="9"/>
      <c r="V259" s="2">
        <f>-home-VLOOKUP(Table2[[#This Row],[Home/Neutral]],rtg_vlookup,4,FALSE)+VLOOKUP(Table2[[#This Row],[Visitor/Neutral]],rtg_vlookup,4,FALSE)</f>
        <v>-16.965118483412329</v>
      </c>
      <c r="W259" s="25"/>
      <c r="X259" s="2"/>
      <c r="Y259" s="2">
        <f>Table2[[#This Row],[Away EV]]-Table2[[#This Row],[Home EV]]</f>
        <v>-10.662064142414494</v>
      </c>
      <c r="Z259" s="33"/>
      <c r="AA259" s="34"/>
      <c r="AB259" s="5" t="b">
        <f>IF(VLOOKUP(Table2[[#This Row],[Home/Neutral]],division_lookup,9,FALSE)=VLOOKUP(Table2[[#This Row],[Visitor/Neutral]],division_lookup,9,FALSE),TRUE,FALSE)</f>
        <v>1</v>
      </c>
      <c r="AC259" s="19" t="str">
        <f>VLOOKUP(Table2[[#This Row],[Home/Neutral]],division_lookup,9,FALSE)</f>
        <v>A</v>
      </c>
      <c r="AD259" s="19"/>
      <c r="AE259" s="19" t="str">
        <f>IF(Table2[[#This Row],[Total EV ®]]&lt;Table2[[#This Row],[Total (V)]],"UNDER","OVER")</f>
        <v>OVER</v>
      </c>
      <c r="AF259" s="30">
        <f>Table2[[#This Row],[(A) Spread]]-Table2[[#This Row],[Spread (V)]]</f>
        <v>0</v>
      </c>
      <c r="AG259" s="19"/>
      <c r="AH259" s="2">
        <f>Table2[[#This Row],[EV]]-Table2[[#This Row],[Spread (V)]]</f>
        <v>-10.662064142414494</v>
      </c>
      <c r="AI259" s="22">
        <f>Table2[[#This Row],[(A)]]-Table2[[#This Row],[Spread]]</f>
        <v>-16.965118483412329</v>
      </c>
      <c r="AJ259" s="1">
        <f>Table2[[#This Row],[(A) Err]]^2</f>
        <v>287.81524515621862</v>
      </c>
      <c r="AK259" s="6">
        <f>Table2[[#This Row],[EV]]-Table2[[#This Row],[Spread]]</f>
        <v>-10.662064142414494</v>
      </c>
      <c r="AL259" s="1">
        <f>Table2[[#This Row],[EV Err]]^2</f>
        <v>113.67961177696091</v>
      </c>
    </row>
    <row r="260" spans="1:38" x14ac:dyDescent="0.25">
      <c r="A260" t="s">
        <v>76</v>
      </c>
      <c r="B260" t="s">
        <v>28</v>
      </c>
      <c r="C260" t="s">
        <v>29</v>
      </c>
      <c r="K260" s="25">
        <f>(Table2[[#This Row],[Home Pace]]/100)*(VLOOKUP(Table2[[#This Row],[Home/Neutral]],home_lookup,8,FALSE)+VLOOKUP(Table2[[#This Row],[Home/Neutral]],OFR_lookup,2,FALSE)+VLOOKUP(Table2[[#This Row],[Visitor/Neutral]],def_diff_lookup,6,FALSE))</f>
        <v>111.52220553204273</v>
      </c>
      <c r="L260" s="25"/>
      <c r="M260" s="25">
        <f>(Table2[[#This Row],[Away Pace]]/100)*(VLOOKUP(Table2[[#This Row],[Visitor/Neutral]],OFR_lookup,2,FALSE)+VLOOKUP(Table2[[#This Row],[Home/Neutral]],def_diff_lookup,6,FALSE))</f>
        <v>103.49016533333335</v>
      </c>
      <c r="N260" s="25"/>
      <c r="O260" s="25"/>
      <c r="P260">
        <f>VLOOKUP(Table2[[#This Row],[Home/Neutral]],pace_lookup,7,FALSE)</f>
        <v>96.3</v>
      </c>
      <c r="Q260" s="5">
        <f>VLOOKUP(Table2[[#This Row],[Visitor/Neutral]],pace_lookup,7,FALSE)</f>
        <v>93.8</v>
      </c>
      <c r="R260" s="9"/>
      <c r="V260" s="2">
        <f>-home-VLOOKUP(Table2[[#This Row],[Home/Neutral]],rtg_vlookup,4,FALSE)+VLOOKUP(Table2[[#This Row],[Visitor/Neutral]],rtg_vlookup,4,FALSE)</f>
        <v>-3.1051184834123307</v>
      </c>
      <c r="W260" s="25"/>
      <c r="X260" s="2"/>
      <c r="Y260" s="2">
        <f>Table2[[#This Row],[Away EV]]-Table2[[#This Row],[Home EV]]</f>
        <v>-8.0320401987093817</v>
      </c>
      <c r="Z260" s="33"/>
      <c r="AA260" s="34"/>
      <c r="AB260" s="5" t="b">
        <f>IF(VLOOKUP(Table2[[#This Row],[Home/Neutral]],division_lookup,9,FALSE)=VLOOKUP(Table2[[#This Row],[Visitor/Neutral]],division_lookup,9,FALSE),TRUE,FALSE)</f>
        <v>0</v>
      </c>
      <c r="AC260" s="19" t="str">
        <f>VLOOKUP(Table2[[#This Row],[Home/Neutral]],division_lookup,9,FALSE)</f>
        <v>SE</v>
      </c>
      <c r="AD260" s="19"/>
      <c r="AE260" s="19" t="str">
        <f>IF(Table2[[#This Row],[Total EV ®]]&lt;Table2[[#This Row],[Total (V)]],"UNDER","OVER")</f>
        <v>OVER</v>
      </c>
      <c r="AF260" s="30">
        <f>Table2[[#This Row],[(A) Spread]]-Table2[[#This Row],[Spread (V)]]</f>
        <v>0</v>
      </c>
      <c r="AG260" s="19"/>
      <c r="AH260" s="2">
        <f>Table2[[#This Row],[EV]]-Table2[[#This Row],[Spread (V)]]</f>
        <v>-8.0320401987093817</v>
      </c>
      <c r="AI260" s="22">
        <f>Table2[[#This Row],[(A)]]-Table2[[#This Row],[Spread]]</f>
        <v>-3.1051184834123307</v>
      </c>
      <c r="AJ260" s="1">
        <f>Table2[[#This Row],[(A) Err]]^2</f>
        <v>9.6417607960288922</v>
      </c>
      <c r="AK260" s="6">
        <f>Table2[[#This Row],[EV]]-Table2[[#This Row],[Spread]]</f>
        <v>-8.0320401987093817</v>
      </c>
      <c r="AL260" s="1">
        <f>Table2[[#This Row],[EV Err]]^2</f>
        <v>64.513669753683445</v>
      </c>
    </row>
    <row r="261" spans="1:38" x14ac:dyDescent="0.25">
      <c r="A261" t="s">
        <v>77</v>
      </c>
      <c r="B261" t="s">
        <v>35</v>
      </c>
      <c r="C261" t="s">
        <v>4</v>
      </c>
      <c r="K261" s="25">
        <f>(Table2[[#This Row],[Home Pace]]/100)*(VLOOKUP(Table2[[#This Row],[Home/Neutral]],home_lookup,8,FALSE)+VLOOKUP(Table2[[#This Row],[Home/Neutral]],OFR_lookup,2,FALSE)+VLOOKUP(Table2[[#This Row],[Visitor/Neutral]],def_diff_lookup,6,FALSE))</f>
        <v>101.39607121209625</v>
      </c>
      <c r="L261" s="25"/>
      <c r="M261" s="25">
        <f>(Table2[[#This Row],[Away Pace]]/100)*(VLOOKUP(Table2[[#This Row],[Visitor/Neutral]],OFR_lookup,2,FALSE)+VLOOKUP(Table2[[#This Row],[Home/Neutral]],def_diff_lookup,6,FALSE))</f>
        <v>114.40402399999999</v>
      </c>
      <c r="N261" s="25"/>
      <c r="O261" s="25"/>
      <c r="P261">
        <f>VLOOKUP(Table2[[#This Row],[Home/Neutral]],pace_lookup,7,FALSE)</f>
        <v>102.2</v>
      </c>
      <c r="Q261" s="5">
        <f>VLOOKUP(Table2[[#This Row],[Visitor/Neutral]],pace_lookup,7,FALSE)</f>
        <v>96.6</v>
      </c>
      <c r="R261" s="9"/>
      <c r="V261" s="2">
        <f>-home-VLOOKUP(Table2[[#This Row],[Home/Neutral]],rtg_vlookup,4,FALSE)+VLOOKUP(Table2[[#This Row],[Visitor/Neutral]],rtg_vlookup,4,FALSE)</f>
        <v>18.224881516587669</v>
      </c>
      <c r="W261" s="25"/>
      <c r="X261" s="2"/>
      <c r="Y261" s="2">
        <f>Table2[[#This Row],[Away EV]]-Table2[[#This Row],[Home EV]]</f>
        <v>13.007952787903747</v>
      </c>
      <c r="Z261" s="33"/>
      <c r="AA261" s="34"/>
      <c r="AB261" s="5" t="b">
        <f>IF(VLOOKUP(Table2[[#This Row],[Home/Neutral]],division_lookup,9,FALSE)=VLOOKUP(Table2[[#This Row],[Visitor/Neutral]],division_lookup,9,FALSE),TRUE,FALSE)</f>
        <v>0</v>
      </c>
      <c r="AC261" s="19" t="str">
        <f>VLOOKUP(Table2[[#This Row],[Home/Neutral]],division_lookup,9,FALSE)</f>
        <v>A</v>
      </c>
      <c r="AD261" s="19"/>
      <c r="AE261" s="19" t="str">
        <f>IF(Table2[[#This Row],[Total EV ®]]&lt;Table2[[#This Row],[Total (V)]],"UNDER","OVER")</f>
        <v>OVER</v>
      </c>
      <c r="AF261" s="30">
        <f>Table2[[#This Row],[(A) Spread]]-Table2[[#This Row],[Spread (V)]]</f>
        <v>0</v>
      </c>
      <c r="AG261" s="19"/>
      <c r="AH261" s="2">
        <f>Table2[[#This Row],[EV]]-Table2[[#This Row],[Spread (V)]]</f>
        <v>13.007952787903747</v>
      </c>
      <c r="AI261" s="22">
        <f>Table2[[#This Row],[(A)]]-Table2[[#This Row],[Spread]]</f>
        <v>18.224881516587669</v>
      </c>
      <c r="AJ261" s="1">
        <f>Table2[[#This Row],[(A) Err]]^2</f>
        <v>332.14630629365882</v>
      </c>
      <c r="AK261" s="6">
        <f>Table2[[#This Row],[EV]]-Table2[[#This Row],[Spread]]</f>
        <v>13.007952787903747</v>
      </c>
      <c r="AL261" s="1">
        <f>Table2[[#This Row],[EV Err]]^2</f>
        <v>169.20683573233288</v>
      </c>
    </row>
    <row r="262" spans="1:38" x14ac:dyDescent="0.25">
      <c r="A262" t="s">
        <v>77</v>
      </c>
      <c r="B262" t="s">
        <v>16</v>
      </c>
      <c r="C262" t="s">
        <v>25</v>
      </c>
      <c r="K262" s="25">
        <f>(Table2[[#This Row],[Home Pace]]/100)*(VLOOKUP(Table2[[#This Row],[Home/Neutral]],home_lookup,8,FALSE)+VLOOKUP(Table2[[#This Row],[Home/Neutral]],OFR_lookup,2,FALSE)+VLOOKUP(Table2[[#This Row],[Visitor/Neutral]],def_diff_lookup,6,FALSE))</f>
        <v>100.11635601115951</v>
      </c>
      <c r="L262" s="25"/>
      <c r="M262" s="25">
        <f>(Table2[[#This Row],[Away Pace]]/100)*(VLOOKUP(Table2[[#This Row],[Visitor/Neutral]],OFR_lookup,2,FALSE)+VLOOKUP(Table2[[#This Row],[Home/Neutral]],def_diff_lookup,6,FALSE))</f>
        <v>95.19358933333335</v>
      </c>
      <c r="N262" s="25"/>
      <c r="O262" s="25"/>
      <c r="P262">
        <f>VLOOKUP(Table2[[#This Row],[Home/Neutral]],pace_lookup,7,FALSE)</f>
        <v>97.5</v>
      </c>
      <c r="Q262" s="5">
        <f>VLOOKUP(Table2[[#This Row],[Visitor/Neutral]],pace_lookup,7,FALSE)</f>
        <v>94.4</v>
      </c>
      <c r="R262" s="9"/>
      <c r="V262" s="2">
        <f>-home-VLOOKUP(Table2[[#This Row],[Home/Neutral]],rtg_vlookup,4,FALSE)+VLOOKUP(Table2[[#This Row],[Visitor/Neutral]],rtg_vlookup,4,FALSE)</f>
        <v>-5.3551184834123307</v>
      </c>
      <c r="W262" s="25"/>
      <c r="X262" s="2"/>
      <c r="Y262" s="2">
        <f>Table2[[#This Row],[Away EV]]-Table2[[#This Row],[Home EV]]</f>
        <v>-4.9227666778261607</v>
      </c>
      <c r="Z262" s="33"/>
      <c r="AA262" s="34"/>
      <c r="AB262" s="5" t="b">
        <f>IF(VLOOKUP(Table2[[#This Row],[Home/Neutral]],division_lookup,9,FALSE)=VLOOKUP(Table2[[#This Row],[Visitor/Neutral]],division_lookup,9,FALSE),TRUE,FALSE)</f>
        <v>0</v>
      </c>
      <c r="AC262" s="19" t="str">
        <f>VLOOKUP(Table2[[#This Row],[Home/Neutral]],division_lookup,9,FALSE)</f>
        <v>SE</v>
      </c>
      <c r="AD262" s="19"/>
      <c r="AE262" s="19" t="str">
        <f>IF(Table2[[#This Row],[Total EV ®]]&lt;Table2[[#This Row],[Total (V)]],"UNDER","OVER")</f>
        <v>OVER</v>
      </c>
      <c r="AF262" s="30">
        <f>Table2[[#This Row],[(A) Spread]]-Table2[[#This Row],[Spread (V)]]</f>
        <v>0</v>
      </c>
      <c r="AG262" s="19"/>
      <c r="AH262" s="2">
        <f>Table2[[#This Row],[EV]]-Table2[[#This Row],[Spread (V)]]</f>
        <v>-4.9227666778261607</v>
      </c>
      <c r="AI262" s="22">
        <f>Table2[[#This Row],[(A)]]-Table2[[#This Row],[Spread]]</f>
        <v>-5.3551184834123307</v>
      </c>
      <c r="AJ262" s="1">
        <f>Table2[[#This Row],[(A) Err]]^2</f>
        <v>28.67729397138438</v>
      </c>
      <c r="AK262" s="6">
        <f>Table2[[#This Row],[EV]]-Table2[[#This Row],[Spread]]</f>
        <v>-4.9227666778261607</v>
      </c>
      <c r="AL262" s="1">
        <f>Table2[[#This Row],[EV Err]]^2</f>
        <v>24.233631764315614</v>
      </c>
    </row>
    <row r="263" spans="1:38" x14ac:dyDescent="0.25">
      <c r="A263" t="s">
        <v>77</v>
      </c>
      <c r="B263" t="s">
        <v>30</v>
      </c>
      <c r="C263" t="s">
        <v>8</v>
      </c>
      <c r="K263" s="25">
        <f>(Table2[[#This Row],[Home Pace]]/100)*(VLOOKUP(Table2[[#This Row],[Home/Neutral]],home_lookup,8,FALSE)+VLOOKUP(Table2[[#This Row],[Home/Neutral]],OFR_lookup,2,FALSE)+VLOOKUP(Table2[[#This Row],[Visitor/Neutral]],def_diff_lookup,6,FALSE))</f>
        <v>106.20536034993644</v>
      </c>
      <c r="L263" s="25"/>
      <c r="M263" s="25">
        <f>(Table2[[#This Row],[Away Pace]]/100)*(VLOOKUP(Table2[[#This Row],[Visitor/Neutral]],OFR_lookup,2,FALSE)+VLOOKUP(Table2[[#This Row],[Home/Neutral]],def_diff_lookup,6,FALSE))</f>
        <v>109.95328800000001</v>
      </c>
      <c r="N263" s="25"/>
      <c r="O263" s="25"/>
      <c r="P263">
        <f>VLOOKUP(Table2[[#This Row],[Home/Neutral]],pace_lookup,7,FALSE)</f>
        <v>96.8</v>
      </c>
      <c r="Q263" s="5">
        <f>VLOOKUP(Table2[[#This Row],[Visitor/Neutral]],pace_lookup,7,FALSE)</f>
        <v>97.2</v>
      </c>
      <c r="R263" s="9"/>
      <c r="V263" s="2">
        <f>-home-VLOOKUP(Table2[[#This Row],[Home/Neutral]],rtg_vlookup,4,FALSE)+VLOOKUP(Table2[[#This Row],[Visitor/Neutral]],rtg_vlookup,4,FALSE)</f>
        <v>6.6448815165876693</v>
      </c>
      <c r="W263" s="25"/>
      <c r="X263" s="2"/>
      <c r="Y263" s="2">
        <f>Table2[[#This Row],[Away EV]]-Table2[[#This Row],[Home EV]]</f>
        <v>3.7479276500635734</v>
      </c>
      <c r="Z263" s="33"/>
      <c r="AA263" s="34"/>
      <c r="AB263" s="5" t="b">
        <f>IF(VLOOKUP(Table2[[#This Row],[Home/Neutral]],division_lookup,9,FALSE)=VLOOKUP(Table2[[#This Row],[Visitor/Neutral]],division_lookup,9,FALSE),TRUE,FALSE)</f>
        <v>1</v>
      </c>
      <c r="AC263" s="19" t="str">
        <f>VLOOKUP(Table2[[#This Row],[Home/Neutral]],division_lookup,9,FALSE)</f>
        <v>C</v>
      </c>
      <c r="AD263" s="19"/>
      <c r="AE263" s="19" t="str">
        <f>IF(Table2[[#This Row],[Total EV ®]]&lt;Table2[[#This Row],[Total (V)]],"UNDER","OVER")</f>
        <v>OVER</v>
      </c>
      <c r="AF263" s="30">
        <f>Table2[[#This Row],[(A) Spread]]-Table2[[#This Row],[Spread (V)]]</f>
        <v>0</v>
      </c>
      <c r="AG263" s="19"/>
      <c r="AH263" s="2">
        <f>Table2[[#This Row],[EV]]-Table2[[#This Row],[Spread (V)]]</f>
        <v>3.7479276500635734</v>
      </c>
      <c r="AI263" s="22">
        <f>Table2[[#This Row],[(A)]]-Table2[[#This Row],[Spread]]</f>
        <v>6.6448815165876693</v>
      </c>
      <c r="AJ263" s="1">
        <f>Table2[[#This Row],[(A) Err]]^2</f>
        <v>44.154450369488444</v>
      </c>
      <c r="AK263" s="6">
        <f>Table2[[#This Row],[EV]]-Table2[[#This Row],[Spread]]</f>
        <v>3.7479276500635734</v>
      </c>
      <c r="AL263" s="1">
        <f>Table2[[#This Row],[EV Err]]^2</f>
        <v>14.04696167011106</v>
      </c>
    </row>
    <row r="264" spans="1:38" x14ac:dyDescent="0.25">
      <c r="A264" t="s">
        <v>77</v>
      </c>
      <c r="B264" t="s">
        <v>34</v>
      </c>
      <c r="C264" t="s">
        <v>24</v>
      </c>
      <c r="K264" s="25">
        <f>(Table2[[#This Row],[Home Pace]]/100)*(VLOOKUP(Table2[[#This Row],[Home/Neutral]],home_lookup,8,FALSE)+VLOOKUP(Table2[[#This Row],[Home/Neutral]],OFR_lookup,2,FALSE)+VLOOKUP(Table2[[#This Row],[Visitor/Neutral]],def_diff_lookup,6,FALSE))</f>
        <v>108.81015864565555</v>
      </c>
      <c r="L264" s="25"/>
      <c r="M264" s="25">
        <f>(Table2[[#This Row],[Away Pace]]/100)*(VLOOKUP(Table2[[#This Row],[Visitor/Neutral]],OFR_lookup,2,FALSE)+VLOOKUP(Table2[[#This Row],[Home/Neutral]],def_diff_lookup,6,FALSE))</f>
        <v>110.16039600000002</v>
      </c>
      <c r="N264" s="25"/>
      <c r="O264" s="25"/>
      <c r="P264">
        <f>VLOOKUP(Table2[[#This Row],[Home/Neutral]],pace_lookup,7,FALSE)</f>
        <v>98.8</v>
      </c>
      <c r="Q264" s="5">
        <f>VLOOKUP(Table2[[#This Row],[Visitor/Neutral]],pace_lookup,7,FALSE)</f>
        <v>99.9</v>
      </c>
      <c r="R264" s="9"/>
      <c r="V264" s="2">
        <f>-home-VLOOKUP(Table2[[#This Row],[Home/Neutral]],rtg_vlookup,4,FALSE)+VLOOKUP(Table2[[#This Row],[Visitor/Neutral]],rtg_vlookup,4,FALSE)</f>
        <v>2.5648815165876693</v>
      </c>
      <c r="W264" s="25"/>
      <c r="X264" s="2"/>
      <c r="Y264" s="2">
        <f>Table2[[#This Row],[Away EV]]-Table2[[#This Row],[Home EV]]</f>
        <v>1.3502373543444719</v>
      </c>
      <c r="Z264" s="33"/>
      <c r="AA264" s="34"/>
      <c r="AB264" s="5" t="b">
        <f>IF(VLOOKUP(Table2[[#This Row],[Home/Neutral]],division_lookup,9,FALSE)=VLOOKUP(Table2[[#This Row],[Visitor/Neutral]],division_lookup,9,FALSE),TRUE,FALSE)</f>
        <v>0</v>
      </c>
      <c r="AC264" s="19" t="str">
        <f>VLOOKUP(Table2[[#This Row],[Home/Neutral]],division_lookup,9,FALSE)</f>
        <v>SW</v>
      </c>
      <c r="AD264" s="19"/>
      <c r="AE264" s="19" t="str">
        <f>IF(Table2[[#This Row],[Total EV ®]]&lt;Table2[[#This Row],[Total (V)]],"UNDER","OVER")</f>
        <v>OVER</v>
      </c>
      <c r="AF264" s="30">
        <f>Table2[[#This Row],[(A) Spread]]-Table2[[#This Row],[Spread (V)]]</f>
        <v>0</v>
      </c>
      <c r="AG264" s="19"/>
      <c r="AH264" s="2">
        <f>Table2[[#This Row],[EV]]-Table2[[#This Row],[Spread (V)]]</f>
        <v>1.3502373543444719</v>
      </c>
      <c r="AI264" s="22">
        <f>Table2[[#This Row],[(A)]]-Table2[[#This Row],[Spread]]</f>
        <v>2.5648815165876693</v>
      </c>
      <c r="AJ264" s="1">
        <f>Table2[[#This Row],[(A) Err]]^2</f>
        <v>6.578617194133062</v>
      </c>
      <c r="AK264" s="6">
        <f>Table2[[#This Row],[EV]]-Table2[[#This Row],[Spread]]</f>
        <v>1.3502373543444719</v>
      </c>
      <c r="AL264" s="1">
        <f>Table2[[#This Row],[EV Err]]^2</f>
        <v>1.823140913067159</v>
      </c>
    </row>
    <row r="265" spans="1:38" x14ac:dyDescent="0.25">
      <c r="A265" t="s">
        <v>77</v>
      </c>
      <c r="B265" t="s">
        <v>6</v>
      </c>
      <c r="C265" t="s">
        <v>38</v>
      </c>
      <c r="K265" s="25">
        <f>(Table2[[#This Row],[Home Pace]]/100)*(VLOOKUP(Table2[[#This Row],[Home/Neutral]],home_lookup,8,FALSE)+VLOOKUP(Table2[[#This Row],[Home/Neutral]],OFR_lookup,2,FALSE)+VLOOKUP(Table2[[#This Row],[Visitor/Neutral]],def_diff_lookup,6,FALSE))</f>
        <v>104.06497787062244</v>
      </c>
      <c r="L265" s="25"/>
      <c r="M265" s="25">
        <f>(Table2[[#This Row],[Away Pace]]/100)*(VLOOKUP(Table2[[#This Row],[Visitor/Neutral]],OFR_lookup,2,FALSE)+VLOOKUP(Table2[[#This Row],[Home/Neutral]],def_diff_lookup,6,FALSE))</f>
        <v>90.84710800000002</v>
      </c>
      <c r="N265" s="25"/>
      <c r="O265" s="25"/>
      <c r="P265">
        <f>VLOOKUP(Table2[[#This Row],[Home/Neutral]],pace_lookup,7,FALSE)</f>
        <v>93.1</v>
      </c>
      <c r="Q265" s="5">
        <f>VLOOKUP(Table2[[#This Row],[Visitor/Neutral]],pace_lookup,7,FALSE)</f>
        <v>94.2</v>
      </c>
      <c r="R265" s="9"/>
      <c r="V265" s="2">
        <f>-home-VLOOKUP(Table2[[#This Row],[Home/Neutral]],rtg_vlookup,4,FALSE)+VLOOKUP(Table2[[#This Row],[Visitor/Neutral]],rtg_vlookup,4,FALSE)</f>
        <v>-18.415118483412328</v>
      </c>
      <c r="W265" s="25"/>
      <c r="X265" s="2"/>
      <c r="Y265" s="2">
        <f>Table2[[#This Row],[Away EV]]-Table2[[#This Row],[Home EV]]</f>
        <v>-13.217869870622422</v>
      </c>
      <c r="Z265" s="33"/>
      <c r="AA265" s="34"/>
      <c r="AB265" s="5" t="b">
        <f>IF(VLOOKUP(Table2[[#This Row],[Home/Neutral]],division_lookup,9,FALSE)=VLOOKUP(Table2[[#This Row],[Visitor/Neutral]],division_lookup,9,FALSE),TRUE,FALSE)</f>
        <v>0</v>
      </c>
      <c r="AC265" s="19" t="str">
        <f>VLOOKUP(Table2[[#This Row],[Home/Neutral]],division_lookup,9,FALSE)</f>
        <v>SW</v>
      </c>
      <c r="AD265" s="19"/>
      <c r="AE265" s="19" t="str">
        <f>IF(Table2[[#This Row],[Total EV ®]]&lt;Table2[[#This Row],[Total (V)]],"UNDER","OVER")</f>
        <v>OVER</v>
      </c>
      <c r="AF265" s="30">
        <f>Table2[[#This Row],[(A) Spread]]-Table2[[#This Row],[Spread (V)]]</f>
        <v>0</v>
      </c>
      <c r="AG265" s="19"/>
      <c r="AH265" s="2">
        <f>Table2[[#This Row],[EV]]-Table2[[#This Row],[Spread (V)]]</f>
        <v>-13.217869870622422</v>
      </c>
      <c r="AI265" s="22">
        <f>Table2[[#This Row],[(A)]]-Table2[[#This Row],[Spread]]</f>
        <v>-18.415118483412328</v>
      </c>
      <c r="AJ265" s="1">
        <f>Table2[[#This Row],[(A) Err]]^2</f>
        <v>339.1165887581144</v>
      </c>
      <c r="AK265" s="6">
        <f>Table2[[#This Row],[EV]]-Table2[[#This Row],[Spread]]</f>
        <v>-13.217869870622422</v>
      </c>
      <c r="AL265" s="1">
        <f>Table2[[#This Row],[EV Err]]^2</f>
        <v>174.71208391670802</v>
      </c>
    </row>
    <row r="266" spans="1:38" x14ac:dyDescent="0.25">
      <c r="A266" t="s">
        <v>77</v>
      </c>
      <c r="B266" t="s">
        <v>20</v>
      </c>
      <c r="C266" t="s">
        <v>17</v>
      </c>
      <c r="K266" s="25">
        <f>(Table2[[#This Row],[Home Pace]]/100)*(VLOOKUP(Table2[[#This Row],[Home/Neutral]],home_lookup,8,FALSE)+VLOOKUP(Table2[[#This Row],[Home/Neutral]],OFR_lookup,2,FALSE)+VLOOKUP(Table2[[#This Row],[Visitor/Neutral]],def_diff_lookup,6,FALSE))</f>
        <v>106.89212528915178</v>
      </c>
      <c r="L266" s="25"/>
      <c r="M266" s="25">
        <f>(Table2[[#This Row],[Away Pace]]/100)*(VLOOKUP(Table2[[#This Row],[Visitor/Neutral]],OFR_lookup,2,FALSE)+VLOOKUP(Table2[[#This Row],[Home/Neutral]],def_diff_lookup,6,FALSE))</f>
        <v>108.66243466666668</v>
      </c>
      <c r="N266" s="25"/>
      <c r="O266" s="25"/>
      <c r="P266">
        <f>VLOOKUP(Table2[[#This Row],[Home/Neutral]],pace_lookup,7,FALSE)</f>
        <v>90.9</v>
      </c>
      <c r="Q266" s="5">
        <f>VLOOKUP(Table2[[#This Row],[Visitor/Neutral]],pace_lookup,7,FALSE)</f>
        <v>96.7</v>
      </c>
      <c r="R266" s="9"/>
      <c r="V266" s="2">
        <f>-home-VLOOKUP(Table2[[#This Row],[Home/Neutral]],rtg_vlookup,4,FALSE)+VLOOKUP(Table2[[#This Row],[Visitor/Neutral]],rtg_vlookup,4,FALSE)</f>
        <v>-0.22511848341233076</v>
      </c>
      <c r="W266" s="25"/>
      <c r="X266" s="2"/>
      <c r="Y266" s="2">
        <f>Table2[[#This Row],[Away EV]]-Table2[[#This Row],[Home EV]]</f>
        <v>1.7703093775149057</v>
      </c>
      <c r="Z266" s="33"/>
      <c r="AA266" s="34"/>
      <c r="AB266" s="5" t="b">
        <f>IF(VLOOKUP(Table2[[#This Row],[Home/Neutral]],division_lookup,9,FALSE)=VLOOKUP(Table2[[#This Row],[Visitor/Neutral]],division_lookup,9,FALSE),TRUE,FALSE)</f>
        <v>0</v>
      </c>
      <c r="AC266" s="19" t="str">
        <f>VLOOKUP(Table2[[#This Row],[Home/Neutral]],division_lookup,9,FALSE)</f>
        <v>NW</v>
      </c>
      <c r="AD266" s="19"/>
      <c r="AE266" s="19" t="str">
        <f>IF(Table2[[#This Row],[Total EV ®]]&lt;Table2[[#This Row],[Total (V)]],"UNDER","OVER")</f>
        <v>OVER</v>
      </c>
      <c r="AF266" s="30">
        <f>Table2[[#This Row],[(A) Spread]]-Table2[[#This Row],[Spread (V)]]</f>
        <v>0</v>
      </c>
      <c r="AG266" s="19"/>
      <c r="AH266" s="2">
        <f>Table2[[#This Row],[EV]]-Table2[[#This Row],[Spread (V)]]</f>
        <v>1.7703093775149057</v>
      </c>
      <c r="AI266" s="22">
        <f>Table2[[#This Row],[(A)]]-Table2[[#This Row],[Spread]]</f>
        <v>-0.22511848341233076</v>
      </c>
      <c r="AJ266" s="1">
        <f>Table2[[#This Row],[(A) Err]]^2</f>
        <v>5.0678331573867842E-2</v>
      </c>
      <c r="AK266" s="6">
        <f>Table2[[#This Row],[EV]]-Table2[[#This Row],[Spread]]</f>
        <v>1.7703093775149057</v>
      </c>
      <c r="AL266" s="1">
        <f>Table2[[#This Row],[EV Err]]^2</f>
        <v>3.1339952921172127</v>
      </c>
    </row>
    <row r="267" spans="1:38" x14ac:dyDescent="0.25">
      <c r="A267" t="s">
        <v>78</v>
      </c>
      <c r="B267" t="s">
        <v>26</v>
      </c>
      <c r="C267" t="s">
        <v>25</v>
      </c>
      <c r="K267" s="25">
        <f>(Table2[[#This Row],[Home Pace]]/100)*(VLOOKUP(Table2[[#This Row],[Home/Neutral]],home_lookup,8,FALSE)+VLOOKUP(Table2[[#This Row],[Home/Neutral]],OFR_lookup,2,FALSE)+VLOOKUP(Table2[[#This Row],[Visitor/Neutral]],def_diff_lookup,6,FALSE))</f>
        <v>103.30896358918159</v>
      </c>
      <c r="L267" s="25"/>
      <c r="M267" s="25">
        <f>(Table2[[#This Row],[Away Pace]]/100)*(VLOOKUP(Table2[[#This Row],[Visitor/Neutral]],OFR_lookup,2,FALSE)+VLOOKUP(Table2[[#This Row],[Home/Neutral]],def_diff_lookup,6,FALSE))</f>
        <v>98.516469333333347</v>
      </c>
      <c r="N267" s="25"/>
      <c r="O267" s="25"/>
      <c r="P267">
        <f>VLOOKUP(Table2[[#This Row],[Home/Neutral]],pace_lookup,7,FALSE)</f>
        <v>96</v>
      </c>
      <c r="Q267" s="5">
        <f>VLOOKUP(Table2[[#This Row],[Visitor/Neutral]],pace_lookup,7,FALSE)</f>
        <v>94.4</v>
      </c>
      <c r="R267" s="9"/>
      <c r="V267" s="2">
        <f>-home-VLOOKUP(Table2[[#This Row],[Home/Neutral]],rtg_vlookup,4,FALSE)+VLOOKUP(Table2[[#This Row],[Visitor/Neutral]],rtg_vlookup,4,FALSE)</f>
        <v>-2.5151184834123308</v>
      </c>
      <c r="W267" s="25"/>
      <c r="X267" s="2"/>
      <c r="Y267" s="2">
        <f>Table2[[#This Row],[Away EV]]-Table2[[#This Row],[Home EV]]</f>
        <v>-4.79249425584824</v>
      </c>
      <c r="Z267" s="33"/>
      <c r="AA267" s="34"/>
      <c r="AB267" s="5" t="b">
        <f>IF(VLOOKUP(Table2[[#This Row],[Home/Neutral]],division_lookup,9,FALSE)=VLOOKUP(Table2[[#This Row],[Visitor/Neutral]],division_lookup,9,FALSE),TRUE,FALSE)</f>
        <v>0</v>
      </c>
      <c r="AC267" s="19" t="str">
        <f>VLOOKUP(Table2[[#This Row],[Home/Neutral]],division_lookup,9,FALSE)</f>
        <v>A</v>
      </c>
      <c r="AD267" s="19"/>
      <c r="AE267" s="19" t="str">
        <f>IF(Table2[[#This Row],[Total EV ®]]&lt;Table2[[#This Row],[Total (V)]],"UNDER","OVER")</f>
        <v>OVER</v>
      </c>
      <c r="AF267" s="30">
        <f>Table2[[#This Row],[(A) Spread]]-Table2[[#This Row],[Spread (V)]]</f>
        <v>0</v>
      </c>
      <c r="AG267" s="19"/>
      <c r="AH267" s="2">
        <f>Table2[[#This Row],[EV]]-Table2[[#This Row],[Spread (V)]]</f>
        <v>-4.79249425584824</v>
      </c>
      <c r="AI267" s="22">
        <f>Table2[[#This Row],[(A)]]-Table2[[#This Row],[Spread]]</f>
        <v>-2.5151184834123308</v>
      </c>
      <c r="AJ267" s="1">
        <f>Table2[[#This Row],[(A) Err]]^2</f>
        <v>6.3258209856023431</v>
      </c>
      <c r="AK267" s="6">
        <f>Table2[[#This Row],[EV]]-Table2[[#This Row],[Spread]]</f>
        <v>-4.79249425584824</v>
      </c>
      <c r="AL267" s="1">
        <f>Table2[[#This Row],[EV Err]]^2</f>
        <v>22.968001192338374</v>
      </c>
    </row>
    <row r="268" spans="1:38" x14ac:dyDescent="0.25">
      <c r="A268" t="s">
        <v>78</v>
      </c>
      <c r="B268" t="s">
        <v>13</v>
      </c>
      <c r="C268" t="s">
        <v>24</v>
      </c>
      <c r="K268" s="25">
        <f>(Table2[[#This Row],[Home Pace]]/100)*(VLOOKUP(Table2[[#This Row],[Home/Neutral]],home_lookup,8,FALSE)+VLOOKUP(Table2[[#This Row],[Home/Neutral]],OFR_lookup,2,FALSE)+VLOOKUP(Table2[[#This Row],[Visitor/Neutral]],def_diff_lookup,6,FALSE))</f>
        <v>109.134341084504</v>
      </c>
      <c r="L268" s="25"/>
      <c r="M268" s="25">
        <f>(Table2[[#This Row],[Away Pace]]/100)*(VLOOKUP(Table2[[#This Row],[Visitor/Neutral]],OFR_lookup,2,FALSE)+VLOOKUP(Table2[[#This Row],[Home/Neutral]],def_diff_lookup,6,FALSE))</f>
        <v>109.73082600000002</v>
      </c>
      <c r="N268" s="25"/>
      <c r="O268" s="25"/>
      <c r="P268">
        <f>VLOOKUP(Table2[[#This Row],[Home/Neutral]],pace_lookup,7,FALSE)</f>
        <v>94.5</v>
      </c>
      <c r="Q268" s="5">
        <f>VLOOKUP(Table2[[#This Row],[Visitor/Neutral]],pace_lookup,7,FALSE)</f>
        <v>99.9</v>
      </c>
      <c r="R268" s="9"/>
      <c r="V268" s="2">
        <f>-home-VLOOKUP(Table2[[#This Row],[Home/Neutral]],rtg_vlookup,4,FALSE)+VLOOKUP(Table2[[#This Row],[Visitor/Neutral]],rtg_vlookup,4,FALSE)</f>
        <v>-8.1051184834123315</v>
      </c>
      <c r="W268" s="25"/>
      <c r="X268" s="2"/>
      <c r="Y268" s="2">
        <f>Table2[[#This Row],[Away EV]]-Table2[[#This Row],[Home EV]]</f>
        <v>0.59648491549602056</v>
      </c>
      <c r="Z268" s="33"/>
      <c r="AA268" s="34"/>
      <c r="AB268" s="5" t="b">
        <f>IF(VLOOKUP(Table2[[#This Row],[Home/Neutral]],division_lookup,9,FALSE)=VLOOKUP(Table2[[#This Row],[Visitor/Neutral]],division_lookup,9,FALSE),TRUE,FALSE)</f>
        <v>0</v>
      </c>
      <c r="AC268" s="19" t="str">
        <f>VLOOKUP(Table2[[#This Row],[Home/Neutral]],division_lookup,9,FALSE)</f>
        <v>C</v>
      </c>
      <c r="AD268" s="19"/>
      <c r="AE268" s="19" t="str">
        <f>IF(Table2[[#This Row],[Total EV ®]]&lt;Table2[[#This Row],[Total (V)]],"UNDER","OVER")</f>
        <v>OVER</v>
      </c>
      <c r="AF268" s="30">
        <f>Table2[[#This Row],[(A) Spread]]-Table2[[#This Row],[Spread (V)]]</f>
        <v>0</v>
      </c>
      <c r="AG268" s="19"/>
      <c r="AH268" s="2">
        <f>Table2[[#This Row],[EV]]-Table2[[#This Row],[Spread (V)]]</f>
        <v>0.59648491549602056</v>
      </c>
      <c r="AI268" s="22">
        <f>Table2[[#This Row],[(A)]]-Table2[[#This Row],[Spread]]</f>
        <v>-8.1051184834123315</v>
      </c>
      <c r="AJ268" s="1">
        <f>Table2[[#This Row],[(A) Err]]^2</f>
        <v>65.692945630152209</v>
      </c>
      <c r="AK268" s="6">
        <f>Table2[[#This Row],[EV]]-Table2[[#This Row],[Spread]]</f>
        <v>0.59648491549602056</v>
      </c>
      <c r="AL268" s="1">
        <f>Table2[[#This Row],[EV Err]]^2</f>
        <v>0.3557942544142948</v>
      </c>
    </row>
    <row r="269" spans="1:38" x14ac:dyDescent="0.25">
      <c r="A269" t="s">
        <v>78</v>
      </c>
      <c r="B269" t="s">
        <v>37</v>
      </c>
      <c r="C269" t="s">
        <v>6</v>
      </c>
      <c r="K269" s="25">
        <f>(Table2[[#This Row],[Home Pace]]/100)*(VLOOKUP(Table2[[#This Row],[Home/Neutral]],home_lookup,8,FALSE)+VLOOKUP(Table2[[#This Row],[Home/Neutral]],OFR_lookup,2,FALSE)+VLOOKUP(Table2[[#This Row],[Visitor/Neutral]],def_diff_lookup,6,FALSE))</f>
        <v>100.25831809362123</v>
      </c>
      <c r="L269" s="25"/>
      <c r="M269" s="25">
        <f>(Table2[[#This Row],[Away Pace]]/100)*(VLOOKUP(Table2[[#This Row],[Visitor/Neutral]],OFR_lookup,2,FALSE)+VLOOKUP(Table2[[#This Row],[Home/Neutral]],def_diff_lookup,6,FALSE))</f>
        <v>100.50207066666667</v>
      </c>
      <c r="N269" s="25"/>
      <c r="O269" s="25"/>
      <c r="P269">
        <f>VLOOKUP(Table2[[#This Row],[Home/Neutral]],pace_lookup,7,FALSE)</f>
        <v>92.1</v>
      </c>
      <c r="Q269" s="5">
        <f>VLOOKUP(Table2[[#This Row],[Visitor/Neutral]],pace_lookup,7,FALSE)</f>
        <v>93.1</v>
      </c>
      <c r="R269" s="9"/>
      <c r="V269" s="2">
        <f>-home-VLOOKUP(Table2[[#This Row],[Home/Neutral]],rtg_vlookup,4,FALSE)+VLOOKUP(Table2[[#This Row],[Visitor/Neutral]],rtg_vlookup,4,FALSE)</f>
        <v>11.75488151658767</v>
      </c>
      <c r="W269" s="25"/>
      <c r="X269" s="2"/>
      <c r="Y269" s="2">
        <f>Table2[[#This Row],[Away EV]]-Table2[[#This Row],[Home EV]]</f>
        <v>0.24375257304544107</v>
      </c>
      <c r="Z269" s="33"/>
      <c r="AA269" s="34"/>
      <c r="AB269" s="5" t="b">
        <f>IF(VLOOKUP(Table2[[#This Row],[Home/Neutral]],division_lookup,9,FALSE)=VLOOKUP(Table2[[#This Row],[Visitor/Neutral]],division_lookup,9,FALSE),TRUE,FALSE)</f>
        <v>1</v>
      </c>
      <c r="AC269" s="19" t="str">
        <f>VLOOKUP(Table2[[#This Row],[Home/Neutral]],division_lookup,9,FALSE)</f>
        <v>SW</v>
      </c>
      <c r="AD269" s="19"/>
      <c r="AE269" s="19" t="str">
        <f>IF(Table2[[#This Row],[Total EV ®]]&lt;Table2[[#This Row],[Total (V)]],"UNDER","OVER")</f>
        <v>OVER</v>
      </c>
      <c r="AF269" s="30">
        <f>Table2[[#This Row],[(A) Spread]]-Table2[[#This Row],[Spread (V)]]</f>
        <v>0</v>
      </c>
      <c r="AG269" s="19"/>
      <c r="AH269" s="2">
        <f>Table2[[#This Row],[EV]]-Table2[[#This Row],[Spread (V)]]</f>
        <v>0.24375257304544107</v>
      </c>
      <c r="AI269" s="22">
        <f>Table2[[#This Row],[(A)]]-Table2[[#This Row],[Spread]]</f>
        <v>11.75488151658767</v>
      </c>
      <c r="AJ269" s="1">
        <f>Table2[[#This Row],[(A) Err]]^2</f>
        <v>138.17723946901444</v>
      </c>
      <c r="AK269" s="6">
        <f>Table2[[#This Row],[EV]]-Table2[[#This Row],[Spread]]</f>
        <v>0.24375257304544107</v>
      </c>
      <c r="AL269" s="1">
        <f>Table2[[#This Row],[EV Err]]^2</f>
        <v>5.9415316866273084E-2</v>
      </c>
    </row>
    <row r="270" spans="1:38" x14ac:dyDescent="0.25">
      <c r="A270" t="s">
        <v>78</v>
      </c>
      <c r="B270" t="s">
        <v>27</v>
      </c>
      <c r="C270" t="s">
        <v>21</v>
      </c>
      <c r="K270" s="25">
        <f>(Table2[[#This Row],[Home Pace]]/100)*(VLOOKUP(Table2[[#This Row],[Home/Neutral]],home_lookup,8,FALSE)+VLOOKUP(Table2[[#This Row],[Home/Neutral]],OFR_lookup,2,FALSE)+VLOOKUP(Table2[[#This Row],[Visitor/Neutral]],def_diff_lookup,6,FALSE))</f>
        <v>100.82295642647259</v>
      </c>
      <c r="L270" s="25"/>
      <c r="M270" s="25">
        <f>(Table2[[#This Row],[Away Pace]]/100)*(VLOOKUP(Table2[[#This Row],[Visitor/Neutral]],OFR_lookup,2,FALSE)+VLOOKUP(Table2[[#This Row],[Home/Neutral]],def_diff_lookup,6,FALSE))</f>
        <v>96.122308000000018</v>
      </c>
      <c r="N270" s="25"/>
      <c r="O270" s="25"/>
      <c r="P270">
        <f>VLOOKUP(Table2[[#This Row],[Home/Neutral]],pace_lookup,7,FALSE)</f>
        <v>99</v>
      </c>
      <c r="Q270" s="5">
        <f>VLOOKUP(Table2[[#This Row],[Visitor/Neutral]],pace_lookup,7,FALSE)</f>
        <v>94.2</v>
      </c>
      <c r="R270" s="9"/>
      <c r="V270" s="2">
        <f>-home-VLOOKUP(Table2[[#This Row],[Home/Neutral]],rtg_vlookup,4,FALSE)+VLOOKUP(Table2[[#This Row],[Visitor/Neutral]],rtg_vlookup,4,FALSE)</f>
        <v>-2.2251184834123308</v>
      </c>
      <c r="W270" s="25"/>
      <c r="X270" s="2"/>
      <c r="Y270" s="2">
        <f>Table2[[#This Row],[Away EV]]-Table2[[#This Row],[Home EV]]</f>
        <v>-4.7006484264725685</v>
      </c>
      <c r="Z270" s="33"/>
      <c r="AA270" s="34"/>
      <c r="AB270" s="5" t="b">
        <f>IF(VLOOKUP(Table2[[#This Row],[Home/Neutral]],division_lookup,9,FALSE)=VLOOKUP(Table2[[#This Row],[Visitor/Neutral]],division_lookup,9,FALSE),TRUE,FALSE)</f>
        <v>0</v>
      </c>
      <c r="AC270" s="19" t="str">
        <f>VLOOKUP(Table2[[#This Row],[Home/Neutral]],division_lookup,9,FALSE)</f>
        <v>NW</v>
      </c>
      <c r="AD270" s="19"/>
      <c r="AE270" s="19" t="str">
        <f>IF(Table2[[#This Row],[Total EV ®]]&lt;Table2[[#This Row],[Total (V)]],"UNDER","OVER")</f>
        <v>OVER</v>
      </c>
      <c r="AF270" s="30">
        <f>Table2[[#This Row],[(A) Spread]]-Table2[[#This Row],[Spread (V)]]</f>
        <v>0</v>
      </c>
      <c r="AG270" s="19"/>
      <c r="AH270" s="2">
        <f>Table2[[#This Row],[EV]]-Table2[[#This Row],[Spread (V)]]</f>
        <v>-4.7006484264725685</v>
      </c>
      <c r="AI270" s="22">
        <f>Table2[[#This Row],[(A)]]-Table2[[#This Row],[Spread]]</f>
        <v>-2.2251184834123308</v>
      </c>
      <c r="AJ270" s="1">
        <f>Table2[[#This Row],[(A) Err]]^2</f>
        <v>4.9511522652231905</v>
      </c>
      <c r="AK270" s="6">
        <f>Table2[[#This Row],[EV]]-Table2[[#This Row],[Spread]]</f>
        <v>-4.7006484264725685</v>
      </c>
      <c r="AL270" s="1">
        <f>Table2[[#This Row],[EV Err]]^2</f>
        <v>22.096095629299036</v>
      </c>
    </row>
    <row r="271" spans="1:38" x14ac:dyDescent="0.25">
      <c r="A271" t="s">
        <v>78</v>
      </c>
      <c r="B271" t="s">
        <v>22</v>
      </c>
      <c r="C271" t="s">
        <v>31</v>
      </c>
      <c r="K271" s="25">
        <f>(Table2[[#This Row],[Home Pace]]/100)*(VLOOKUP(Table2[[#This Row],[Home/Neutral]],home_lookup,8,FALSE)+VLOOKUP(Table2[[#This Row],[Home/Neutral]],OFR_lookup,2,FALSE)+VLOOKUP(Table2[[#This Row],[Visitor/Neutral]],def_diff_lookup,6,FALSE))</f>
        <v>115.39524922968977</v>
      </c>
      <c r="L271" s="25"/>
      <c r="M271" s="25">
        <f>(Table2[[#This Row],[Away Pace]]/100)*(VLOOKUP(Table2[[#This Row],[Visitor/Neutral]],OFR_lookup,2,FALSE)+VLOOKUP(Table2[[#This Row],[Home/Neutral]],def_diff_lookup,6,FALSE))</f>
        <v>108.29824000000001</v>
      </c>
      <c r="N271" s="25"/>
      <c r="O271" s="25"/>
      <c r="P271">
        <f>VLOOKUP(Table2[[#This Row],[Home/Neutral]],pace_lookup,7,FALSE)</f>
        <v>94.7</v>
      </c>
      <c r="Q271" s="5">
        <f>VLOOKUP(Table2[[#This Row],[Visitor/Neutral]],pace_lookup,7,FALSE)</f>
        <v>96</v>
      </c>
      <c r="R271" s="9"/>
      <c r="V271" s="2">
        <f>-home-VLOOKUP(Table2[[#This Row],[Home/Neutral]],rtg_vlookup,4,FALSE)+VLOOKUP(Table2[[#This Row],[Visitor/Neutral]],rtg_vlookup,4,FALSE)</f>
        <v>-5.8751184834123311</v>
      </c>
      <c r="W271" s="25"/>
      <c r="X271" s="2"/>
      <c r="Y271" s="2">
        <f>Table2[[#This Row],[Away EV]]-Table2[[#This Row],[Home EV]]</f>
        <v>-7.0970092296897604</v>
      </c>
      <c r="Z271" s="33"/>
      <c r="AA271" s="34"/>
      <c r="AB271" s="5" t="b">
        <f>IF(VLOOKUP(Table2[[#This Row],[Home/Neutral]],division_lookup,9,FALSE)=VLOOKUP(Table2[[#This Row],[Visitor/Neutral]],division_lookup,9,FALSE),TRUE,FALSE)</f>
        <v>0</v>
      </c>
      <c r="AC271" s="19" t="str">
        <f>VLOOKUP(Table2[[#This Row],[Home/Neutral]],division_lookup,9,FALSE)</f>
        <v>NW</v>
      </c>
      <c r="AD271" s="19"/>
      <c r="AE271" s="19" t="str">
        <f>IF(Table2[[#This Row],[Total EV ®]]&lt;Table2[[#This Row],[Total (V)]],"UNDER","OVER")</f>
        <v>OVER</v>
      </c>
      <c r="AF271" s="30">
        <f>Table2[[#This Row],[(A) Spread]]-Table2[[#This Row],[Spread (V)]]</f>
        <v>0</v>
      </c>
      <c r="AG271" s="19"/>
      <c r="AH271" s="2">
        <f>Table2[[#This Row],[EV]]-Table2[[#This Row],[Spread (V)]]</f>
        <v>-7.0970092296897604</v>
      </c>
      <c r="AI271" s="22">
        <f>Table2[[#This Row],[(A)]]-Table2[[#This Row],[Spread]]</f>
        <v>-5.8751184834123311</v>
      </c>
      <c r="AJ271" s="1">
        <f>Table2[[#This Row],[(A) Err]]^2</f>
        <v>34.51701719413321</v>
      </c>
      <c r="AK271" s="6">
        <f>Table2[[#This Row],[EV]]-Table2[[#This Row],[Spread]]</f>
        <v>-7.0970092296897604</v>
      </c>
      <c r="AL271" s="1">
        <f>Table2[[#This Row],[EV Err]]^2</f>
        <v>50.367540006301645</v>
      </c>
    </row>
    <row r="272" spans="1:38" x14ac:dyDescent="0.25">
      <c r="A272" t="s">
        <v>78</v>
      </c>
      <c r="B272" t="s">
        <v>18</v>
      </c>
      <c r="C272" t="s">
        <v>28</v>
      </c>
      <c r="K272" s="25">
        <f>(Table2[[#This Row],[Home Pace]]/100)*(VLOOKUP(Table2[[#This Row],[Home/Neutral]],home_lookup,8,FALSE)+VLOOKUP(Table2[[#This Row],[Home/Neutral]],OFR_lookup,2,FALSE)+VLOOKUP(Table2[[#This Row],[Visitor/Neutral]],def_diff_lookup,6,FALSE))</f>
        <v>105.84035616021133</v>
      </c>
      <c r="L272" s="25"/>
      <c r="M272" s="25">
        <f>(Table2[[#This Row],[Away Pace]]/100)*(VLOOKUP(Table2[[#This Row],[Visitor/Neutral]],OFR_lookup,2,FALSE)+VLOOKUP(Table2[[#This Row],[Home/Neutral]],def_diff_lookup,6,FALSE))</f>
        <v>99.382241999999991</v>
      </c>
      <c r="N272" s="25"/>
      <c r="O272" s="25"/>
      <c r="P272">
        <f>VLOOKUP(Table2[[#This Row],[Home/Neutral]],pace_lookup,7,FALSE)</f>
        <v>99.5</v>
      </c>
      <c r="Q272" s="5">
        <f>VLOOKUP(Table2[[#This Row],[Visitor/Neutral]],pace_lookup,7,FALSE)</f>
        <v>96.3</v>
      </c>
      <c r="R272" s="9"/>
      <c r="V272" s="2">
        <f>-home-VLOOKUP(Table2[[#This Row],[Home/Neutral]],rtg_vlookup,4,FALSE)+VLOOKUP(Table2[[#This Row],[Visitor/Neutral]],rtg_vlookup,4,FALSE)</f>
        <v>-6.965118483412331</v>
      </c>
      <c r="W272" s="25"/>
      <c r="X272" s="2"/>
      <c r="Y272" s="2">
        <f>Table2[[#This Row],[Away EV]]-Table2[[#This Row],[Home EV]]</f>
        <v>-6.4581141602113377</v>
      </c>
      <c r="Z272" s="33"/>
      <c r="AA272" s="34"/>
      <c r="AB272" s="5" t="b">
        <f>IF(VLOOKUP(Table2[[#This Row],[Home/Neutral]],division_lookup,9,FALSE)=VLOOKUP(Table2[[#This Row],[Visitor/Neutral]],division_lookup,9,FALSE),TRUE,FALSE)</f>
        <v>0</v>
      </c>
      <c r="AC272" s="19" t="str">
        <f>VLOOKUP(Table2[[#This Row],[Home/Neutral]],division_lookup,9,FALSE)</f>
        <v>NW</v>
      </c>
      <c r="AD272" s="19"/>
      <c r="AE272" s="19" t="str">
        <f>IF(Table2[[#This Row],[Total EV ®]]&lt;Table2[[#This Row],[Total (V)]],"UNDER","OVER")</f>
        <v>OVER</v>
      </c>
      <c r="AF272" s="30">
        <f>Table2[[#This Row],[(A) Spread]]-Table2[[#This Row],[Spread (V)]]</f>
        <v>0</v>
      </c>
      <c r="AG272" s="19"/>
      <c r="AH272" s="2">
        <f>Table2[[#This Row],[EV]]-Table2[[#This Row],[Spread (V)]]</f>
        <v>-6.4581141602113377</v>
      </c>
      <c r="AI272" s="22">
        <f>Table2[[#This Row],[(A)]]-Table2[[#This Row],[Spread]]</f>
        <v>-6.965118483412331</v>
      </c>
      <c r="AJ272" s="1">
        <f>Table2[[#This Row],[(A) Err]]^2</f>
        <v>48.512875487972089</v>
      </c>
      <c r="AK272" s="6">
        <f>Table2[[#This Row],[EV]]-Table2[[#This Row],[Spread]]</f>
        <v>-6.4581141602113377</v>
      </c>
      <c r="AL272" s="1">
        <f>Table2[[#This Row],[EV Err]]^2</f>
        <v>41.707238506322192</v>
      </c>
    </row>
    <row r="273" spans="1:38" x14ac:dyDescent="0.25">
      <c r="A273" t="s">
        <v>78</v>
      </c>
      <c r="B273" t="s">
        <v>39</v>
      </c>
      <c r="C273" t="s">
        <v>29</v>
      </c>
      <c r="K273" s="25">
        <f>(Table2[[#This Row],[Home Pace]]/100)*(VLOOKUP(Table2[[#This Row],[Home/Neutral]],home_lookup,8,FALSE)+VLOOKUP(Table2[[#This Row],[Home/Neutral]],OFR_lookup,2,FALSE)+VLOOKUP(Table2[[#This Row],[Visitor/Neutral]],def_diff_lookup,6,FALSE))</f>
        <v>110.57477211468577</v>
      </c>
      <c r="L273" s="25"/>
      <c r="M273" s="25">
        <f>(Table2[[#This Row],[Away Pace]]/100)*(VLOOKUP(Table2[[#This Row],[Visitor/Neutral]],OFR_lookup,2,FALSE)+VLOOKUP(Table2[[#This Row],[Home/Neutral]],def_diff_lookup,6,FALSE))</f>
        <v>103.52768533333334</v>
      </c>
      <c r="N273" s="25"/>
      <c r="O273" s="25"/>
      <c r="P273">
        <f>VLOOKUP(Table2[[#This Row],[Home/Neutral]],pace_lookup,7,FALSE)</f>
        <v>97.5</v>
      </c>
      <c r="Q273" s="5">
        <f>VLOOKUP(Table2[[#This Row],[Visitor/Neutral]],pace_lookup,7,FALSE)</f>
        <v>93.8</v>
      </c>
      <c r="R273" s="9"/>
      <c r="V273" s="2">
        <f>-home-VLOOKUP(Table2[[#This Row],[Home/Neutral]],rtg_vlookup,4,FALSE)+VLOOKUP(Table2[[#This Row],[Visitor/Neutral]],rtg_vlookup,4,FALSE)</f>
        <v>4.2548815165876688</v>
      </c>
      <c r="W273" s="25"/>
      <c r="X273" s="2"/>
      <c r="Y273" s="2">
        <f>Table2[[#This Row],[Away EV]]-Table2[[#This Row],[Home EV]]</f>
        <v>-7.0470867813524336</v>
      </c>
      <c r="Z273" s="33"/>
      <c r="AA273" s="34"/>
      <c r="AB273" s="5" t="b">
        <f>IF(VLOOKUP(Table2[[#This Row],[Home/Neutral]],division_lookup,9,FALSE)=VLOOKUP(Table2[[#This Row],[Visitor/Neutral]],division_lookup,9,FALSE),TRUE,FALSE)</f>
        <v>0</v>
      </c>
      <c r="AC273" s="19" t="str">
        <f>VLOOKUP(Table2[[#This Row],[Home/Neutral]],division_lookup,9,FALSE)</f>
        <v>A</v>
      </c>
      <c r="AD273" s="19"/>
      <c r="AE273" s="19" t="str">
        <f>IF(Table2[[#This Row],[Total EV ®]]&lt;Table2[[#This Row],[Total (V)]],"UNDER","OVER")</f>
        <v>OVER</v>
      </c>
      <c r="AF273" s="30">
        <f>Table2[[#This Row],[(A) Spread]]-Table2[[#This Row],[Spread (V)]]</f>
        <v>0</v>
      </c>
      <c r="AG273" s="19"/>
      <c r="AH273" s="2">
        <f>Table2[[#This Row],[EV]]-Table2[[#This Row],[Spread (V)]]</f>
        <v>-7.0470867813524336</v>
      </c>
      <c r="AI273" s="22">
        <f>Table2[[#This Row],[(A)]]-Table2[[#This Row],[Spread]]</f>
        <v>4.2548815165876688</v>
      </c>
      <c r="AJ273" s="1">
        <f>Table2[[#This Row],[(A) Err]]^2</f>
        <v>18.104016720199379</v>
      </c>
      <c r="AK273" s="6">
        <f>Table2[[#This Row],[EV]]-Table2[[#This Row],[Spread]]</f>
        <v>-7.0470867813524336</v>
      </c>
      <c r="AL273" s="1">
        <f>Table2[[#This Row],[EV Err]]^2</f>
        <v>49.661432103912205</v>
      </c>
    </row>
    <row r="274" spans="1:38" x14ac:dyDescent="0.25">
      <c r="A274" t="s">
        <v>78</v>
      </c>
      <c r="B274" t="s">
        <v>36</v>
      </c>
      <c r="C274" t="s">
        <v>11</v>
      </c>
      <c r="K274" s="25">
        <f>(Table2[[#This Row],[Home Pace]]/100)*(VLOOKUP(Table2[[#This Row],[Home/Neutral]],home_lookup,8,FALSE)+VLOOKUP(Table2[[#This Row],[Home/Neutral]],OFR_lookup,2,FALSE)+VLOOKUP(Table2[[#This Row],[Visitor/Neutral]],def_diff_lookup,6,FALSE))</f>
        <v>99.510791566040439</v>
      </c>
      <c r="L274" s="25"/>
      <c r="M274" s="25">
        <f>(Table2[[#This Row],[Away Pace]]/100)*(VLOOKUP(Table2[[#This Row],[Visitor/Neutral]],OFR_lookup,2,FALSE)+VLOOKUP(Table2[[#This Row],[Home/Neutral]],def_diff_lookup,6,FALSE))</f>
        <v>107.35762466666667</v>
      </c>
      <c r="N274" s="25"/>
      <c r="O274" s="25"/>
      <c r="P274">
        <f>VLOOKUP(Table2[[#This Row],[Home/Neutral]],pace_lookup,7,FALSE)</f>
        <v>102.2</v>
      </c>
      <c r="Q274" s="5">
        <f>VLOOKUP(Table2[[#This Row],[Visitor/Neutral]],pace_lookup,7,FALSE)</f>
        <v>99.7</v>
      </c>
      <c r="R274" s="9"/>
      <c r="V274" s="2">
        <f>-home-VLOOKUP(Table2[[#This Row],[Home/Neutral]],rtg_vlookup,4,FALSE)+VLOOKUP(Table2[[#This Row],[Visitor/Neutral]],rtg_vlookup,4,FALSE)</f>
        <v>9.7948815165876688</v>
      </c>
      <c r="W274" s="25"/>
      <c r="X274" s="2"/>
      <c r="Y274" s="2">
        <f>Table2[[#This Row],[Away EV]]-Table2[[#This Row],[Home EV]]</f>
        <v>7.8468331006262275</v>
      </c>
      <c r="Z274" s="33"/>
      <c r="AA274" s="34"/>
      <c r="AB274" s="5" t="b">
        <f>IF(VLOOKUP(Table2[[#This Row],[Home/Neutral]],division_lookup,9,FALSE)=VLOOKUP(Table2[[#This Row],[Visitor/Neutral]],division_lookup,9,FALSE),TRUE,FALSE)</f>
        <v>0</v>
      </c>
      <c r="AC274" s="19" t="str">
        <f>VLOOKUP(Table2[[#This Row],[Home/Neutral]],division_lookup,9,FALSE)</f>
        <v>P</v>
      </c>
      <c r="AD274" s="19"/>
      <c r="AE274" s="19" t="str">
        <f>IF(Table2[[#This Row],[Total EV ®]]&lt;Table2[[#This Row],[Total (V)]],"UNDER","OVER")</f>
        <v>OVER</v>
      </c>
      <c r="AF274" s="30">
        <f>Table2[[#This Row],[(A) Spread]]-Table2[[#This Row],[Spread (V)]]</f>
        <v>0</v>
      </c>
      <c r="AG274" s="19"/>
      <c r="AH274" s="2">
        <f>Table2[[#This Row],[EV]]-Table2[[#This Row],[Spread (V)]]</f>
        <v>7.8468331006262275</v>
      </c>
      <c r="AI274" s="22">
        <f>Table2[[#This Row],[(A)]]-Table2[[#This Row],[Spread]]</f>
        <v>9.7948815165876688</v>
      </c>
      <c r="AJ274" s="1">
        <f>Table2[[#This Row],[(A) Err]]^2</f>
        <v>95.939703923990749</v>
      </c>
      <c r="AK274" s="6">
        <f>Table2[[#This Row],[EV]]-Table2[[#This Row],[Spread]]</f>
        <v>7.8468331006262275</v>
      </c>
      <c r="AL274" s="1">
        <f>Table2[[#This Row],[EV Err]]^2</f>
        <v>61.572789709083416</v>
      </c>
    </row>
    <row r="275" spans="1:38" x14ac:dyDescent="0.25">
      <c r="A275" t="s">
        <v>78</v>
      </c>
      <c r="B275" t="s">
        <v>32</v>
      </c>
      <c r="C275" t="s">
        <v>33</v>
      </c>
      <c r="K275" s="25">
        <f>(Table2[[#This Row],[Home Pace]]/100)*(VLOOKUP(Table2[[#This Row],[Home/Neutral]],home_lookup,8,FALSE)+VLOOKUP(Table2[[#This Row],[Home/Neutral]],OFR_lookup,2,FALSE)+VLOOKUP(Table2[[#This Row],[Visitor/Neutral]],def_diff_lookup,6,FALSE))</f>
        <v>111.6635311200184</v>
      </c>
      <c r="L275" s="25"/>
      <c r="M275" s="25">
        <f>(Table2[[#This Row],[Away Pace]]/100)*(VLOOKUP(Table2[[#This Row],[Visitor/Neutral]],OFR_lookup,2,FALSE)+VLOOKUP(Table2[[#This Row],[Home/Neutral]],def_diff_lookup,6,FALSE))</f>
        <v>106.65567466666667</v>
      </c>
      <c r="N275" s="25"/>
      <c r="O275" s="25"/>
      <c r="P275">
        <f>VLOOKUP(Table2[[#This Row],[Home/Neutral]],pace_lookup,7,FALSE)</f>
        <v>98.6</v>
      </c>
      <c r="Q275" s="5">
        <f>VLOOKUP(Table2[[#This Row],[Visitor/Neutral]],pace_lookup,7,FALSE)</f>
        <v>98.2</v>
      </c>
      <c r="R275" s="9"/>
      <c r="V275" s="2">
        <f>-home-VLOOKUP(Table2[[#This Row],[Home/Neutral]],rtg_vlookup,4,FALSE)+VLOOKUP(Table2[[#This Row],[Visitor/Neutral]],rtg_vlookup,4,FALSE)</f>
        <v>-5.0851184834123311</v>
      </c>
      <c r="W275" s="25"/>
      <c r="X275" s="2"/>
      <c r="Y275" s="2">
        <f>Table2[[#This Row],[Away EV]]-Table2[[#This Row],[Home EV]]</f>
        <v>-5.0078564533517351</v>
      </c>
      <c r="Z275" s="33"/>
      <c r="AA275" s="34"/>
      <c r="AB275" s="5" t="b">
        <f>IF(VLOOKUP(Table2[[#This Row],[Home/Neutral]],division_lookup,9,FALSE)=VLOOKUP(Table2[[#This Row],[Visitor/Neutral]],division_lookup,9,FALSE),TRUE,FALSE)</f>
        <v>0</v>
      </c>
      <c r="AC275" s="19" t="str">
        <f>VLOOKUP(Table2[[#This Row],[Home/Neutral]],division_lookup,9,FALSE)</f>
        <v>NW</v>
      </c>
      <c r="AD275" s="19"/>
      <c r="AE275" s="19" t="str">
        <f>IF(Table2[[#This Row],[Total EV ®]]&lt;Table2[[#This Row],[Total (V)]],"UNDER","OVER")</f>
        <v>OVER</v>
      </c>
      <c r="AF275" s="30">
        <f>Table2[[#This Row],[(A) Spread]]-Table2[[#This Row],[Spread (V)]]</f>
        <v>0</v>
      </c>
      <c r="AG275" s="19"/>
      <c r="AH275" s="2">
        <f>Table2[[#This Row],[EV]]-Table2[[#This Row],[Spread (V)]]</f>
        <v>-5.0078564533517351</v>
      </c>
      <c r="AI275" s="22">
        <f>Table2[[#This Row],[(A)]]-Table2[[#This Row],[Spread]]</f>
        <v>-5.0851184834123311</v>
      </c>
      <c r="AJ275" s="1">
        <f>Table2[[#This Row],[(A) Err]]^2</f>
        <v>25.858429990341726</v>
      </c>
      <c r="AK275" s="6">
        <f>Table2[[#This Row],[EV]]-Table2[[#This Row],[Spread]]</f>
        <v>-5.0078564533517351</v>
      </c>
      <c r="AL275" s="1">
        <f>Table2[[#This Row],[EV Err]]^2</f>
        <v>25.078626257376619</v>
      </c>
    </row>
    <row r="276" spans="1:38" x14ac:dyDescent="0.25">
      <c r="A276" t="s">
        <v>78</v>
      </c>
      <c r="B276" t="s">
        <v>14</v>
      </c>
      <c r="C276" t="s">
        <v>23</v>
      </c>
      <c r="K276" s="25">
        <f>(Table2[[#This Row],[Home Pace]]/100)*(VLOOKUP(Table2[[#This Row],[Home/Neutral]],home_lookup,8,FALSE)+VLOOKUP(Table2[[#This Row],[Home/Neutral]],OFR_lookup,2,FALSE)+VLOOKUP(Table2[[#This Row],[Visitor/Neutral]],def_diff_lookup,6,FALSE))</f>
        <v>102.96736414241451</v>
      </c>
      <c r="L276" s="25"/>
      <c r="M276" s="25">
        <f>(Table2[[#This Row],[Away Pace]]/100)*(VLOOKUP(Table2[[#This Row],[Visitor/Neutral]],OFR_lookup,2,FALSE)+VLOOKUP(Table2[[#This Row],[Home/Neutral]],def_diff_lookup,6,FALSE))</f>
        <v>98.244866666666681</v>
      </c>
      <c r="N276" s="25"/>
      <c r="O276" s="25"/>
      <c r="P276">
        <f>VLOOKUP(Table2[[#This Row],[Home/Neutral]],pace_lookup,7,FALSE)</f>
        <v>95.9</v>
      </c>
      <c r="Q276" s="5">
        <f>VLOOKUP(Table2[[#This Row],[Visitor/Neutral]],pace_lookup,7,FALSE)</f>
        <v>92.5</v>
      </c>
      <c r="R276" s="9"/>
      <c r="V276" s="2">
        <f>-home-VLOOKUP(Table2[[#This Row],[Home/Neutral]],rtg_vlookup,4,FALSE)+VLOOKUP(Table2[[#This Row],[Visitor/Neutral]],rtg_vlookup,4,FALSE)</f>
        <v>-5.295118483412331</v>
      </c>
      <c r="W276" s="25"/>
      <c r="X276" s="2"/>
      <c r="Y276" s="2">
        <f>Table2[[#This Row],[Away EV]]-Table2[[#This Row],[Home EV]]</f>
        <v>-4.7224974757478293</v>
      </c>
      <c r="Z276" s="33"/>
      <c r="AA276" s="34"/>
      <c r="AB276" s="5" t="b">
        <f>IF(VLOOKUP(Table2[[#This Row],[Home/Neutral]],division_lookup,9,FALSE)=VLOOKUP(Table2[[#This Row],[Visitor/Neutral]],division_lookup,9,FALSE),TRUE,FALSE)</f>
        <v>0</v>
      </c>
      <c r="AC276" s="19" t="str">
        <f>VLOOKUP(Table2[[#This Row],[Home/Neutral]],division_lookup,9,FALSE)</f>
        <v>A</v>
      </c>
      <c r="AD276" s="19"/>
      <c r="AE276" s="19" t="str">
        <f>IF(Table2[[#This Row],[Total EV ®]]&lt;Table2[[#This Row],[Total (V)]],"UNDER","OVER")</f>
        <v>OVER</v>
      </c>
      <c r="AF276" s="30">
        <f>Table2[[#This Row],[(A) Spread]]-Table2[[#This Row],[Spread (V)]]</f>
        <v>0</v>
      </c>
      <c r="AG276" s="19"/>
      <c r="AH276" s="2">
        <f>Table2[[#This Row],[EV]]-Table2[[#This Row],[Spread (V)]]</f>
        <v>-4.7224974757478293</v>
      </c>
      <c r="AI276" s="22">
        <f>Table2[[#This Row],[(A)]]-Table2[[#This Row],[Spread]]</f>
        <v>-5.295118483412331</v>
      </c>
      <c r="AJ276" s="1">
        <f>Table2[[#This Row],[(A) Err]]^2</f>
        <v>28.038279753374905</v>
      </c>
      <c r="AK276" s="6">
        <f>Table2[[#This Row],[EV]]-Table2[[#This Row],[Spread]]</f>
        <v>-4.7224974757478293</v>
      </c>
      <c r="AL276" s="1">
        <f>Table2[[#This Row],[EV Err]]^2</f>
        <v>22.301982408444619</v>
      </c>
    </row>
    <row r="277" spans="1:38" x14ac:dyDescent="0.25">
      <c r="A277" t="s">
        <v>79</v>
      </c>
      <c r="B277" t="s">
        <v>35</v>
      </c>
      <c r="C277" t="s">
        <v>30</v>
      </c>
      <c r="K277" s="25">
        <f>(Table2[[#This Row],[Home Pace]]/100)*(VLOOKUP(Table2[[#This Row],[Home/Neutral]],home_lookup,8,FALSE)+VLOOKUP(Table2[[#This Row],[Home/Neutral]],OFR_lookup,2,FALSE)+VLOOKUP(Table2[[#This Row],[Visitor/Neutral]],def_diff_lookup,6,FALSE))</f>
        <v>109.59251121209626</v>
      </c>
      <c r="L277" s="25"/>
      <c r="M277" s="25">
        <f>(Table2[[#This Row],[Away Pace]]/100)*(VLOOKUP(Table2[[#This Row],[Visitor/Neutral]],OFR_lookup,2,FALSE)+VLOOKUP(Table2[[#This Row],[Home/Neutral]],def_diff_lookup,6,FALSE))</f>
        <v>105.80304533333333</v>
      </c>
      <c r="N277" s="25"/>
      <c r="O277" s="25"/>
      <c r="P277">
        <f>VLOOKUP(Table2[[#This Row],[Home/Neutral]],pace_lookup,7,FALSE)</f>
        <v>102.2</v>
      </c>
      <c r="Q277" s="5">
        <f>VLOOKUP(Table2[[#This Row],[Visitor/Neutral]],pace_lookup,7,FALSE)</f>
        <v>96.8</v>
      </c>
      <c r="R277" s="9"/>
      <c r="V277" s="2">
        <f>-home-VLOOKUP(Table2[[#This Row],[Home/Neutral]],rtg_vlookup,4,FALSE)+VLOOKUP(Table2[[#This Row],[Visitor/Neutral]],rtg_vlookup,4,FALSE)</f>
        <v>1.0748815165876691</v>
      </c>
      <c r="W277" s="25"/>
      <c r="X277" s="2"/>
      <c r="Y277" s="2">
        <f>Table2[[#This Row],[Away EV]]-Table2[[#This Row],[Home EV]]</f>
        <v>-3.7894658787629254</v>
      </c>
      <c r="Z277" s="33"/>
      <c r="AA277" s="34"/>
      <c r="AB277" s="5" t="b">
        <f>IF(VLOOKUP(Table2[[#This Row],[Home/Neutral]],division_lookup,9,FALSE)=VLOOKUP(Table2[[#This Row],[Visitor/Neutral]],division_lookup,9,FALSE),TRUE,FALSE)</f>
        <v>0</v>
      </c>
      <c r="AC277" s="19" t="str">
        <f>VLOOKUP(Table2[[#This Row],[Home/Neutral]],division_lookup,9,FALSE)</f>
        <v>A</v>
      </c>
      <c r="AD277" s="19"/>
      <c r="AE277" s="19" t="str">
        <f>IF(Table2[[#This Row],[Total EV ®]]&lt;Table2[[#This Row],[Total (V)]],"UNDER","OVER")</f>
        <v>OVER</v>
      </c>
      <c r="AF277" s="30">
        <f>Table2[[#This Row],[(A) Spread]]-Table2[[#This Row],[Spread (V)]]</f>
        <v>0</v>
      </c>
      <c r="AG277" s="19"/>
      <c r="AH277" s="2">
        <f>Table2[[#This Row],[EV]]-Table2[[#This Row],[Spread (V)]]</f>
        <v>-3.7894658787629254</v>
      </c>
      <c r="AI277" s="22">
        <f>Table2[[#This Row],[(A)]]-Table2[[#This Row],[Spread]]</f>
        <v>1.0748815165876691</v>
      </c>
      <c r="AJ277" s="1">
        <f>Table2[[#This Row],[(A) Err]]^2</f>
        <v>1.1553702747018075</v>
      </c>
      <c r="AK277" s="6">
        <f>Table2[[#This Row],[EV]]-Table2[[#This Row],[Spread]]</f>
        <v>-3.7894658787629254</v>
      </c>
      <c r="AL277" s="1">
        <f>Table2[[#This Row],[EV Err]]^2</f>
        <v>14.36005164630847</v>
      </c>
    </row>
    <row r="278" spans="1:38" x14ac:dyDescent="0.25">
      <c r="A278" t="s">
        <v>79</v>
      </c>
      <c r="B278" t="s">
        <v>16</v>
      </c>
      <c r="C278" t="s">
        <v>37</v>
      </c>
      <c r="K278" s="25">
        <f>(Table2[[#This Row],[Home Pace]]/100)*(VLOOKUP(Table2[[#This Row],[Home/Neutral]],home_lookup,8,FALSE)+VLOOKUP(Table2[[#This Row],[Home/Neutral]],OFR_lookup,2,FALSE)+VLOOKUP(Table2[[#This Row],[Visitor/Neutral]],def_diff_lookup,6,FALSE))</f>
        <v>100.73060601115951</v>
      </c>
      <c r="L278" s="25"/>
      <c r="M278" s="25">
        <f>(Table2[[#This Row],[Away Pace]]/100)*(VLOOKUP(Table2[[#This Row],[Visitor/Neutral]],OFR_lookup,2,FALSE)+VLOOKUP(Table2[[#This Row],[Home/Neutral]],def_diff_lookup,6,FALSE))</f>
        <v>86.565404000000015</v>
      </c>
      <c r="N278" s="25"/>
      <c r="O278" s="25"/>
      <c r="P278">
        <f>VLOOKUP(Table2[[#This Row],[Home/Neutral]],pace_lookup,7,FALSE)</f>
        <v>97.5</v>
      </c>
      <c r="Q278" s="5">
        <f>VLOOKUP(Table2[[#This Row],[Visitor/Neutral]],pace_lookup,7,FALSE)</f>
        <v>92.1</v>
      </c>
      <c r="R278" s="9"/>
      <c r="V278" s="2">
        <f>-home-VLOOKUP(Table2[[#This Row],[Home/Neutral]],rtg_vlookup,4,FALSE)+VLOOKUP(Table2[[#This Row],[Visitor/Neutral]],rtg_vlookup,4,FALSE)</f>
        <v>-12.825118483412332</v>
      </c>
      <c r="W278" s="25"/>
      <c r="X278" s="2"/>
      <c r="Y278" s="2">
        <f>Table2[[#This Row],[Away EV]]-Table2[[#This Row],[Home EV]]</f>
        <v>-14.165202011159494</v>
      </c>
      <c r="Z278" s="33"/>
      <c r="AA278" s="34"/>
      <c r="AB278" s="5" t="b">
        <f>IF(VLOOKUP(Table2[[#This Row],[Home/Neutral]],division_lookup,9,FALSE)=VLOOKUP(Table2[[#This Row],[Visitor/Neutral]],division_lookup,9,FALSE),TRUE,FALSE)</f>
        <v>0</v>
      </c>
      <c r="AC278" s="19" t="str">
        <f>VLOOKUP(Table2[[#This Row],[Home/Neutral]],division_lookup,9,FALSE)</f>
        <v>SE</v>
      </c>
      <c r="AD278" s="19"/>
      <c r="AE278" s="19" t="str">
        <f>IF(Table2[[#This Row],[Total EV ®]]&lt;Table2[[#This Row],[Total (V)]],"UNDER","OVER")</f>
        <v>OVER</v>
      </c>
      <c r="AF278" s="30">
        <f>Table2[[#This Row],[(A) Spread]]-Table2[[#This Row],[Spread (V)]]</f>
        <v>0</v>
      </c>
      <c r="AG278" s="19"/>
      <c r="AH278" s="2">
        <f>Table2[[#This Row],[EV]]-Table2[[#This Row],[Spread (V)]]</f>
        <v>-14.165202011159494</v>
      </c>
      <c r="AI278" s="22">
        <f>Table2[[#This Row],[(A)]]-Table2[[#This Row],[Spread]]</f>
        <v>-12.825118483412332</v>
      </c>
      <c r="AJ278" s="1">
        <f>Table2[[#This Row],[(A) Err]]^2</f>
        <v>164.48366411356463</v>
      </c>
      <c r="AK278" s="6">
        <f>Table2[[#This Row],[EV]]-Table2[[#This Row],[Spread]]</f>
        <v>-14.165202011159494</v>
      </c>
      <c r="AL278" s="1">
        <f>Table2[[#This Row],[EV Err]]^2</f>
        <v>200.65294801695697</v>
      </c>
    </row>
    <row r="279" spans="1:38" x14ac:dyDescent="0.25">
      <c r="A279" t="s">
        <v>79</v>
      </c>
      <c r="B279" t="s">
        <v>8</v>
      </c>
      <c r="C279" t="s">
        <v>4</v>
      </c>
      <c r="K279" s="25">
        <f>(Table2[[#This Row],[Home Pace]]/100)*(VLOOKUP(Table2[[#This Row],[Home/Neutral]],home_lookup,8,FALSE)+VLOOKUP(Table2[[#This Row],[Home/Neutral]],OFR_lookup,2,FALSE)+VLOOKUP(Table2[[#This Row],[Visitor/Neutral]],def_diff_lookup,6,FALSE))</f>
        <v>98.867220368981805</v>
      </c>
      <c r="L279" s="25"/>
      <c r="M279" s="25">
        <f>(Table2[[#This Row],[Away Pace]]/100)*(VLOOKUP(Table2[[#This Row],[Visitor/Neutral]],OFR_lookup,2,FALSE)+VLOOKUP(Table2[[#This Row],[Home/Neutral]],def_diff_lookup,6,FALSE))</f>
        <v>109.052384</v>
      </c>
      <c r="N279" s="25"/>
      <c r="O279" s="25"/>
      <c r="P279">
        <f>VLOOKUP(Table2[[#This Row],[Home/Neutral]],pace_lookup,7,FALSE)</f>
        <v>97.2</v>
      </c>
      <c r="Q279" s="5">
        <f>VLOOKUP(Table2[[#This Row],[Visitor/Neutral]],pace_lookup,7,FALSE)</f>
        <v>96.6</v>
      </c>
      <c r="R279" s="9"/>
      <c r="V279" s="2">
        <f>-home-VLOOKUP(Table2[[#This Row],[Home/Neutral]],rtg_vlookup,4,FALSE)+VLOOKUP(Table2[[#This Row],[Visitor/Neutral]],rtg_vlookup,4,FALSE)</f>
        <v>5.0548815165876704</v>
      </c>
      <c r="W279" s="25"/>
      <c r="X279" s="2"/>
      <c r="Y279" s="2">
        <f>Table2[[#This Row],[Away EV]]-Table2[[#This Row],[Home EV]]</f>
        <v>10.185163631018199</v>
      </c>
      <c r="Z279" s="33"/>
      <c r="AA279" s="34"/>
      <c r="AB279" s="5" t="b">
        <f>IF(VLOOKUP(Table2[[#This Row],[Home/Neutral]],division_lookup,9,FALSE)=VLOOKUP(Table2[[#This Row],[Visitor/Neutral]],division_lookup,9,FALSE),TRUE,FALSE)</f>
        <v>0</v>
      </c>
      <c r="AC279" s="19" t="str">
        <f>VLOOKUP(Table2[[#This Row],[Home/Neutral]],division_lookup,9,FALSE)</f>
        <v>C</v>
      </c>
      <c r="AD279" s="19"/>
      <c r="AE279" s="19" t="str">
        <f>IF(Table2[[#This Row],[Total EV ®]]&lt;Table2[[#This Row],[Total (V)]],"UNDER","OVER")</f>
        <v>OVER</v>
      </c>
      <c r="AF279" s="30">
        <f>Table2[[#This Row],[(A) Spread]]-Table2[[#This Row],[Spread (V)]]</f>
        <v>0</v>
      </c>
      <c r="AG279" s="19"/>
      <c r="AH279" s="2">
        <f>Table2[[#This Row],[EV]]-Table2[[#This Row],[Spread (V)]]</f>
        <v>10.185163631018199</v>
      </c>
      <c r="AI279" s="22">
        <f>Table2[[#This Row],[(A)]]-Table2[[#This Row],[Spread]]</f>
        <v>5.0548815165876704</v>
      </c>
      <c r="AJ279" s="1">
        <f>Table2[[#This Row],[(A) Err]]^2</f>
        <v>25.551827146739665</v>
      </c>
      <c r="AK279" s="6">
        <f>Table2[[#This Row],[EV]]-Table2[[#This Row],[Spread]]</f>
        <v>10.185163631018199</v>
      </c>
      <c r="AL279" s="1">
        <f>Table2[[#This Row],[EV Err]]^2</f>
        <v>103.73755819061581</v>
      </c>
    </row>
    <row r="280" spans="1:38" x14ac:dyDescent="0.25">
      <c r="A280" t="s">
        <v>79</v>
      </c>
      <c r="B280" t="s">
        <v>10</v>
      </c>
      <c r="C280" t="s">
        <v>17</v>
      </c>
      <c r="K280" s="25">
        <f>(Table2[[#This Row],[Home Pace]]/100)*(VLOOKUP(Table2[[#This Row],[Home/Neutral]],home_lookup,8,FALSE)+VLOOKUP(Table2[[#This Row],[Home/Neutral]],OFR_lookup,2,FALSE)+VLOOKUP(Table2[[#This Row],[Visitor/Neutral]],def_diff_lookup,6,FALSE))</f>
        <v>110.48617853790562</v>
      </c>
      <c r="L280" s="25"/>
      <c r="M280" s="25">
        <f>(Table2[[#This Row],[Away Pace]]/100)*(VLOOKUP(Table2[[#This Row],[Visitor/Neutral]],OFR_lookup,2,FALSE)+VLOOKUP(Table2[[#This Row],[Home/Neutral]],def_diff_lookup,6,FALSE))</f>
        <v>111.59244466666668</v>
      </c>
      <c r="N280" s="25"/>
      <c r="O280" s="25"/>
      <c r="P280">
        <f>VLOOKUP(Table2[[#This Row],[Home/Neutral]],pace_lookup,7,FALSE)</f>
        <v>100.3</v>
      </c>
      <c r="Q280" s="5">
        <f>VLOOKUP(Table2[[#This Row],[Visitor/Neutral]],pace_lookup,7,FALSE)</f>
        <v>96.7</v>
      </c>
      <c r="R280" s="9"/>
      <c r="V280" s="2">
        <f>-home-VLOOKUP(Table2[[#This Row],[Home/Neutral]],rtg_vlookup,4,FALSE)+VLOOKUP(Table2[[#This Row],[Visitor/Neutral]],rtg_vlookup,4,FALSE)</f>
        <v>-6.965118483412331</v>
      </c>
      <c r="W280" s="25"/>
      <c r="X280" s="2"/>
      <c r="Y280" s="2">
        <f>Table2[[#This Row],[Away EV]]-Table2[[#This Row],[Home EV]]</f>
        <v>1.1062661287610638</v>
      </c>
      <c r="Z280" s="33"/>
      <c r="AA280" s="34"/>
      <c r="AB280" s="5" t="b">
        <f>IF(VLOOKUP(Table2[[#This Row],[Home/Neutral]],division_lookup,9,FALSE)=VLOOKUP(Table2[[#This Row],[Visitor/Neutral]],division_lookup,9,FALSE),TRUE,FALSE)</f>
        <v>0</v>
      </c>
      <c r="AC280" s="19" t="str">
        <f>VLOOKUP(Table2[[#This Row],[Home/Neutral]],division_lookup,9,FALSE)</f>
        <v>P</v>
      </c>
      <c r="AD280" s="19"/>
      <c r="AE280" s="19" t="str">
        <f>IF(Table2[[#This Row],[Total EV ®]]&lt;Table2[[#This Row],[Total (V)]],"UNDER","OVER")</f>
        <v>OVER</v>
      </c>
      <c r="AF280" s="30">
        <f>Table2[[#This Row],[(A) Spread]]-Table2[[#This Row],[Spread (V)]]</f>
        <v>0</v>
      </c>
      <c r="AG280" s="19"/>
      <c r="AH280" s="2">
        <f>Table2[[#This Row],[EV]]-Table2[[#This Row],[Spread (V)]]</f>
        <v>1.1062661287610638</v>
      </c>
      <c r="AI280" s="22">
        <f>Table2[[#This Row],[(A)]]-Table2[[#This Row],[Spread]]</f>
        <v>-6.965118483412331</v>
      </c>
      <c r="AJ280" s="1">
        <f>Table2[[#This Row],[(A) Err]]^2</f>
        <v>48.512875487972089</v>
      </c>
      <c r="AK280" s="6">
        <f>Table2[[#This Row],[EV]]-Table2[[#This Row],[Spread]]</f>
        <v>1.1062661287610638</v>
      </c>
      <c r="AL280" s="1">
        <f>Table2[[#This Row],[EV Err]]^2</f>
        <v>1.2238247476439905</v>
      </c>
    </row>
    <row r="281" spans="1:38" x14ac:dyDescent="0.25">
      <c r="A281" t="s">
        <v>79</v>
      </c>
      <c r="B281" t="s">
        <v>23</v>
      </c>
      <c r="C281" t="s">
        <v>38</v>
      </c>
      <c r="K281" s="25">
        <f>(Table2[[#This Row],[Home Pace]]/100)*(VLOOKUP(Table2[[#This Row],[Home/Neutral]],home_lookup,8,FALSE)+VLOOKUP(Table2[[#This Row],[Home/Neutral]],OFR_lookup,2,FALSE)+VLOOKUP(Table2[[#This Row],[Visitor/Neutral]],def_diff_lookup,6,FALSE))</f>
        <v>102.96113735871359</v>
      </c>
      <c r="L281" s="25"/>
      <c r="M281" s="25">
        <f>(Table2[[#This Row],[Away Pace]]/100)*(VLOOKUP(Table2[[#This Row],[Visitor/Neutral]],OFR_lookup,2,FALSE)+VLOOKUP(Table2[[#This Row],[Home/Neutral]],def_diff_lookup,6,FALSE))</f>
        <v>88.88774800000003</v>
      </c>
      <c r="N281" s="25"/>
      <c r="O281" s="25"/>
      <c r="P281">
        <f>VLOOKUP(Table2[[#This Row],[Home/Neutral]],pace_lookup,7,FALSE)</f>
        <v>92.5</v>
      </c>
      <c r="Q281" s="5">
        <f>VLOOKUP(Table2[[#This Row],[Visitor/Neutral]],pace_lookup,7,FALSE)</f>
        <v>94.2</v>
      </c>
      <c r="R281" s="9"/>
      <c r="V281" s="2">
        <f>-home-VLOOKUP(Table2[[#This Row],[Home/Neutral]],rtg_vlookup,4,FALSE)+VLOOKUP(Table2[[#This Row],[Visitor/Neutral]],rtg_vlookup,4,FALSE)</f>
        <v>-13.815118483412331</v>
      </c>
      <c r="W281" s="25"/>
      <c r="X281" s="2"/>
      <c r="Y281" s="2">
        <f>Table2[[#This Row],[Away EV]]-Table2[[#This Row],[Home EV]]</f>
        <v>-14.073389358713555</v>
      </c>
      <c r="Z281" s="33"/>
      <c r="AA281" s="34"/>
      <c r="AB281" s="5" t="b">
        <f>IF(VLOOKUP(Table2[[#This Row],[Home/Neutral]],division_lookup,9,FALSE)=VLOOKUP(Table2[[#This Row],[Visitor/Neutral]],division_lookup,9,FALSE),TRUE,FALSE)</f>
        <v>0</v>
      </c>
      <c r="AC281" s="19" t="str">
        <f>VLOOKUP(Table2[[#This Row],[Home/Neutral]],division_lookup,9,FALSE)</f>
        <v>SW</v>
      </c>
      <c r="AD281" s="19"/>
      <c r="AE281" s="19" t="str">
        <f>IF(Table2[[#This Row],[Total EV ®]]&lt;Table2[[#This Row],[Total (V)]],"UNDER","OVER")</f>
        <v>OVER</v>
      </c>
      <c r="AF281" s="30">
        <f>Table2[[#This Row],[(A) Spread]]-Table2[[#This Row],[Spread (V)]]</f>
        <v>0</v>
      </c>
      <c r="AG281" s="19"/>
      <c r="AH281" s="2">
        <f>Table2[[#This Row],[EV]]-Table2[[#This Row],[Spread (V)]]</f>
        <v>-14.073389358713555</v>
      </c>
      <c r="AI281" s="22">
        <f>Table2[[#This Row],[(A)]]-Table2[[#This Row],[Spread]]</f>
        <v>-13.815118483412331</v>
      </c>
      <c r="AJ281" s="1">
        <f>Table2[[#This Row],[(A) Err]]^2</f>
        <v>190.85749871072102</v>
      </c>
      <c r="AK281" s="6">
        <f>Table2[[#This Row],[EV]]-Table2[[#This Row],[Spread]]</f>
        <v>-14.073389358713555</v>
      </c>
      <c r="AL281" s="1">
        <f>Table2[[#This Row],[EV Err]]^2</f>
        <v>198.06028804195194</v>
      </c>
    </row>
    <row r="282" spans="1:38" x14ac:dyDescent="0.25">
      <c r="A282" t="s">
        <v>79</v>
      </c>
      <c r="B282" t="s">
        <v>20</v>
      </c>
      <c r="C282" t="s">
        <v>21</v>
      </c>
      <c r="K282" s="25">
        <f>(Table2[[#This Row],[Home Pace]]/100)*(VLOOKUP(Table2[[#This Row],[Home/Neutral]],home_lookup,8,FALSE)+VLOOKUP(Table2[[#This Row],[Home/Neutral]],OFR_lookup,2,FALSE)+VLOOKUP(Table2[[#This Row],[Visitor/Neutral]],def_diff_lookup,6,FALSE))</f>
        <v>100.48367528915178</v>
      </c>
      <c r="L282" s="25"/>
      <c r="M282" s="25">
        <f>(Table2[[#This Row],[Away Pace]]/100)*(VLOOKUP(Table2[[#This Row],[Visitor/Neutral]],OFR_lookup,2,FALSE)+VLOOKUP(Table2[[#This Row],[Home/Neutral]],def_diff_lookup,6,FALSE))</f>
        <v>95.14262800000003</v>
      </c>
      <c r="N282" s="25"/>
      <c r="O282" s="25"/>
      <c r="P282">
        <f>VLOOKUP(Table2[[#This Row],[Home/Neutral]],pace_lookup,7,FALSE)</f>
        <v>90.9</v>
      </c>
      <c r="Q282" s="5">
        <f>VLOOKUP(Table2[[#This Row],[Visitor/Neutral]],pace_lookup,7,FALSE)</f>
        <v>94.2</v>
      </c>
      <c r="R282" s="9"/>
      <c r="V282" s="2">
        <f>-home-VLOOKUP(Table2[[#This Row],[Home/Neutral]],rtg_vlookup,4,FALSE)+VLOOKUP(Table2[[#This Row],[Visitor/Neutral]],rtg_vlookup,4,FALSE)</f>
        <v>-4.5551184834123308</v>
      </c>
      <c r="W282" s="25"/>
      <c r="X282" s="2"/>
      <c r="Y282" s="2">
        <f>Table2[[#This Row],[Away EV]]-Table2[[#This Row],[Home EV]]</f>
        <v>-5.3410472891517458</v>
      </c>
      <c r="Z282" s="33"/>
      <c r="AA282" s="34"/>
      <c r="AB282" s="5" t="b">
        <f>IF(VLOOKUP(Table2[[#This Row],[Home/Neutral]],division_lookup,9,FALSE)=VLOOKUP(Table2[[#This Row],[Visitor/Neutral]],division_lookup,9,FALSE),TRUE,FALSE)</f>
        <v>0</v>
      </c>
      <c r="AC282" s="19" t="str">
        <f>VLOOKUP(Table2[[#This Row],[Home/Neutral]],division_lookup,9,FALSE)</f>
        <v>NW</v>
      </c>
      <c r="AD282" s="19"/>
      <c r="AE282" s="19" t="str">
        <f>IF(Table2[[#This Row],[Total EV ®]]&lt;Table2[[#This Row],[Total (V)]],"UNDER","OVER")</f>
        <v>OVER</v>
      </c>
      <c r="AF282" s="30">
        <f>Table2[[#This Row],[(A) Spread]]-Table2[[#This Row],[Spread (V)]]</f>
        <v>0</v>
      </c>
      <c r="AG282" s="19"/>
      <c r="AH282" s="2">
        <f>Table2[[#This Row],[EV]]-Table2[[#This Row],[Spread (V)]]</f>
        <v>-5.3410472891517458</v>
      </c>
      <c r="AI282" s="22">
        <f>Table2[[#This Row],[(A)]]-Table2[[#This Row],[Spread]]</f>
        <v>-4.5551184834123308</v>
      </c>
      <c r="AJ282" s="1">
        <f>Table2[[#This Row],[(A) Err]]^2</f>
        <v>20.749104397924654</v>
      </c>
      <c r="AK282" s="6">
        <f>Table2[[#This Row],[EV]]-Table2[[#This Row],[Spread]]</f>
        <v>-5.3410472891517458</v>
      </c>
      <c r="AL282" s="1">
        <f>Table2[[#This Row],[EV Err]]^2</f>
        <v>28.526786144955214</v>
      </c>
    </row>
    <row r="283" spans="1:38" x14ac:dyDescent="0.25">
      <c r="A283" t="s">
        <v>80</v>
      </c>
      <c r="B283" t="s">
        <v>11</v>
      </c>
      <c r="C283" t="s">
        <v>25</v>
      </c>
      <c r="K283" s="25">
        <f>(Table2[[#This Row],[Home Pace]]/100)*(VLOOKUP(Table2[[#This Row],[Home/Neutral]],home_lookup,8,FALSE)+VLOOKUP(Table2[[#This Row],[Home/Neutral]],OFR_lookup,2,FALSE)+VLOOKUP(Table2[[#This Row],[Visitor/Neutral]],def_diff_lookup,6,FALSE))</f>
        <v>94.831449044072826</v>
      </c>
      <c r="L283" s="25"/>
      <c r="M283" s="25">
        <f>(Table2[[#This Row],[Away Pace]]/100)*(VLOOKUP(Table2[[#This Row],[Visitor/Neutral]],OFR_lookup,2,FALSE)+VLOOKUP(Table2[[#This Row],[Home/Neutral]],def_diff_lookup,6,FALSE))</f>
        <v>89.501269333333354</v>
      </c>
      <c r="N283" s="25"/>
      <c r="O283" s="25"/>
      <c r="P283">
        <f>VLOOKUP(Table2[[#This Row],[Home/Neutral]],pace_lookup,7,FALSE)</f>
        <v>99.7</v>
      </c>
      <c r="Q283" s="5">
        <f>VLOOKUP(Table2[[#This Row],[Visitor/Neutral]],pace_lookup,7,FALSE)</f>
        <v>94.4</v>
      </c>
      <c r="R283" s="9"/>
      <c r="V283" s="2">
        <f>-home-VLOOKUP(Table2[[#This Row],[Home/Neutral]],rtg_vlookup,4,FALSE)+VLOOKUP(Table2[[#This Row],[Visitor/Neutral]],rtg_vlookup,4,FALSE)</f>
        <v>-9.0551184834123308</v>
      </c>
      <c r="W283" s="25"/>
      <c r="X283" s="2"/>
      <c r="Y283" s="2">
        <f>Table2[[#This Row],[Away EV]]-Table2[[#This Row],[Home EV]]</f>
        <v>-5.3301797107394719</v>
      </c>
      <c r="Z283" s="33"/>
      <c r="AA283" s="34"/>
      <c r="AB283" s="5" t="b">
        <f>IF(VLOOKUP(Table2[[#This Row],[Home/Neutral]],division_lookup,9,FALSE)=VLOOKUP(Table2[[#This Row],[Visitor/Neutral]],division_lookup,9,FALSE),TRUE,FALSE)</f>
        <v>0</v>
      </c>
      <c r="AC283" s="19" t="str">
        <f>VLOOKUP(Table2[[#This Row],[Home/Neutral]],division_lookup,9,FALSE)</f>
        <v>SE</v>
      </c>
      <c r="AD283" s="19"/>
      <c r="AE283" s="19" t="str">
        <f>IF(Table2[[#This Row],[Total EV ®]]&lt;Table2[[#This Row],[Total (V)]],"UNDER","OVER")</f>
        <v>OVER</v>
      </c>
      <c r="AF283" s="30">
        <f>Table2[[#This Row],[(A) Spread]]-Table2[[#This Row],[Spread (V)]]</f>
        <v>0</v>
      </c>
      <c r="AG283" s="19"/>
      <c r="AH283" s="2">
        <f>Table2[[#This Row],[EV]]-Table2[[#This Row],[Spread (V)]]</f>
        <v>-5.3301797107394719</v>
      </c>
      <c r="AI283" s="22">
        <f>Table2[[#This Row],[(A)]]-Table2[[#This Row],[Spread]]</f>
        <v>-9.0551184834123308</v>
      </c>
      <c r="AJ283" s="1">
        <f>Table2[[#This Row],[(A) Err]]^2</f>
        <v>81.99517074863563</v>
      </c>
      <c r="AK283" s="6">
        <f>Table2[[#This Row],[EV]]-Table2[[#This Row],[Spread]]</f>
        <v>-5.3301797107394719</v>
      </c>
      <c r="AL283" s="1">
        <f>Table2[[#This Row],[EV Err]]^2</f>
        <v>28.41081574877872</v>
      </c>
    </row>
    <row r="284" spans="1:38" x14ac:dyDescent="0.25">
      <c r="A284" t="s">
        <v>80</v>
      </c>
      <c r="B284" t="s">
        <v>26</v>
      </c>
      <c r="C284" t="s">
        <v>29</v>
      </c>
      <c r="K284" s="25">
        <f>(Table2[[#This Row],[Home Pace]]/100)*(VLOOKUP(Table2[[#This Row],[Home/Neutral]],home_lookup,8,FALSE)+VLOOKUP(Table2[[#This Row],[Home/Neutral]],OFR_lookup,2,FALSE)+VLOOKUP(Table2[[#This Row],[Visitor/Neutral]],def_diff_lookup,6,FALSE))</f>
        <v>110.03856358918158</v>
      </c>
      <c r="L284" s="25"/>
      <c r="M284" s="25">
        <f>(Table2[[#This Row],[Away Pace]]/100)*(VLOOKUP(Table2[[#This Row],[Visitor/Neutral]],OFR_lookup,2,FALSE)+VLOOKUP(Table2[[#This Row],[Home/Neutral]],def_diff_lookup,6,FALSE))</f>
        <v>102.33642533333334</v>
      </c>
      <c r="N284" s="25"/>
      <c r="O284" s="25"/>
      <c r="P284">
        <f>VLOOKUP(Table2[[#This Row],[Home/Neutral]],pace_lookup,7,FALSE)</f>
        <v>96</v>
      </c>
      <c r="Q284" s="5">
        <f>VLOOKUP(Table2[[#This Row],[Visitor/Neutral]],pace_lookup,7,FALSE)</f>
        <v>93.8</v>
      </c>
      <c r="R284" s="9"/>
      <c r="V284" s="2">
        <f>-home-VLOOKUP(Table2[[#This Row],[Home/Neutral]],rtg_vlookup,4,FALSE)+VLOOKUP(Table2[[#This Row],[Visitor/Neutral]],rtg_vlookup,4,FALSE)</f>
        <v>-4.795118483412331</v>
      </c>
      <c r="W284" s="25"/>
      <c r="X284" s="2"/>
      <c r="Y284" s="2">
        <f>Table2[[#This Row],[Away EV]]-Table2[[#This Row],[Home EV]]</f>
        <v>-7.7021382558482401</v>
      </c>
      <c r="Z284" s="33"/>
      <c r="AA284" s="34"/>
      <c r="AB284" s="5" t="b">
        <f>IF(VLOOKUP(Table2[[#This Row],[Home/Neutral]],division_lookup,9,FALSE)=VLOOKUP(Table2[[#This Row],[Visitor/Neutral]],division_lookup,9,FALSE),TRUE,FALSE)</f>
        <v>0</v>
      </c>
      <c r="AC284" s="19" t="str">
        <f>VLOOKUP(Table2[[#This Row],[Home/Neutral]],division_lookup,9,FALSE)</f>
        <v>A</v>
      </c>
      <c r="AD284" s="19"/>
      <c r="AE284" s="19" t="str">
        <f>IF(Table2[[#This Row],[Total EV ®]]&lt;Table2[[#This Row],[Total (V)]],"UNDER","OVER")</f>
        <v>OVER</v>
      </c>
      <c r="AF284" s="30">
        <f>Table2[[#This Row],[(A) Spread]]-Table2[[#This Row],[Spread (V)]]</f>
        <v>0</v>
      </c>
      <c r="AG284" s="19"/>
      <c r="AH284" s="2">
        <f>Table2[[#This Row],[EV]]-Table2[[#This Row],[Spread (V)]]</f>
        <v>-7.7021382558482401</v>
      </c>
      <c r="AI284" s="22">
        <f>Table2[[#This Row],[(A)]]-Table2[[#This Row],[Spread]]</f>
        <v>-4.795118483412331</v>
      </c>
      <c r="AJ284" s="1">
        <f>Table2[[#This Row],[(A) Err]]^2</f>
        <v>22.993161269962574</v>
      </c>
      <c r="AK284" s="6">
        <f>Table2[[#This Row],[EV]]-Table2[[#This Row],[Spread]]</f>
        <v>-7.7021382558482401</v>
      </c>
      <c r="AL284" s="1">
        <f>Table2[[#This Row],[EV Err]]^2</f>
        <v>59.322933712200971</v>
      </c>
    </row>
    <row r="285" spans="1:38" x14ac:dyDescent="0.25">
      <c r="A285" t="s">
        <v>80</v>
      </c>
      <c r="B285" t="s">
        <v>13</v>
      </c>
      <c r="C285" t="s">
        <v>8</v>
      </c>
      <c r="K285" s="25">
        <f>(Table2[[#This Row],[Home Pace]]/100)*(VLOOKUP(Table2[[#This Row],[Home/Neutral]],home_lookup,8,FALSE)+VLOOKUP(Table2[[#This Row],[Home/Neutral]],OFR_lookup,2,FALSE)+VLOOKUP(Table2[[#This Row],[Visitor/Neutral]],def_diff_lookup,6,FALSE))</f>
        <v>103.53049108450401</v>
      </c>
      <c r="L285" s="25"/>
      <c r="M285" s="25">
        <f>(Table2[[#This Row],[Away Pace]]/100)*(VLOOKUP(Table2[[#This Row],[Visitor/Neutral]],OFR_lookup,2,FALSE)+VLOOKUP(Table2[[#This Row],[Home/Neutral]],def_diff_lookup,6,FALSE))</f>
        <v>107.406648</v>
      </c>
      <c r="N285" s="25"/>
      <c r="O285" s="25"/>
      <c r="P285">
        <f>VLOOKUP(Table2[[#This Row],[Home/Neutral]],pace_lookup,7,FALSE)</f>
        <v>94.5</v>
      </c>
      <c r="Q285" s="5">
        <f>VLOOKUP(Table2[[#This Row],[Visitor/Neutral]],pace_lookup,7,FALSE)</f>
        <v>97.2</v>
      </c>
      <c r="R285" s="9"/>
      <c r="V285" s="2">
        <f>-home-VLOOKUP(Table2[[#This Row],[Home/Neutral]],rtg_vlookup,4,FALSE)+VLOOKUP(Table2[[#This Row],[Visitor/Neutral]],rtg_vlookup,4,FALSE)</f>
        <v>-1.505118483412331</v>
      </c>
      <c r="W285" s="25"/>
      <c r="X285" s="2"/>
      <c r="Y285" s="2">
        <f>Table2[[#This Row],[Away EV]]-Table2[[#This Row],[Home EV]]</f>
        <v>3.8761569154959972</v>
      </c>
      <c r="Z285" s="33"/>
      <c r="AA285" s="34"/>
      <c r="AB285" s="5" t="b">
        <f>IF(VLOOKUP(Table2[[#This Row],[Home/Neutral]],division_lookup,9,FALSE)=VLOOKUP(Table2[[#This Row],[Visitor/Neutral]],division_lookup,9,FALSE),TRUE,FALSE)</f>
        <v>1</v>
      </c>
      <c r="AC285" s="19" t="str">
        <f>VLOOKUP(Table2[[#This Row],[Home/Neutral]],division_lookup,9,FALSE)</f>
        <v>C</v>
      </c>
      <c r="AD285" s="19"/>
      <c r="AE285" s="19" t="str">
        <f>IF(Table2[[#This Row],[Total EV ®]]&lt;Table2[[#This Row],[Total (V)]],"UNDER","OVER")</f>
        <v>OVER</v>
      </c>
      <c r="AF285" s="30">
        <f>Table2[[#This Row],[(A) Spread]]-Table2[[#This Row],[Spread (V)]]</f>
        <v>0</v>
      </c>
      <c r="AG285" s="19"/>
      <c r="AH285" s="2">
        <f>Table2[[#This Row],[EV]]-Table2[[#This Row],[Spread (V)]]</f>
        <v>3.8761569154959972</v>
      </c>
      <c r="AI285" s="22">
        <f>Table2[[#This Row],[(A)]]-Table2[[#This Row],[Spread]]</f>
        <v>-1.505118483412331</v>
      </c>
      <c r="AJ285" s="1">
        <f>Table2[[#This Row],[(A) Err]]^2</f>
        <v>2.2653816491094352</v>
      </c>
      <c r="AK285" s="6">
        <f>Table2[[#This Row],[EV]]-Table2[[#This Row],[Spread]]</f>
        <v>3.8761569154959972</v>
      </c>
      <c r="AL285" s="1">
        <f>Table2[[#This Row],[EV Err]]^2</f>
        <v>15.024592433547443</v>
      </c>
    </row>
    <row r="286" spans="1:38" x14ac:dyDescent="0.25">
      <c r="A286" t="s">
        <v>80</v>
      </c>
      <c r="B286" t="s">
        <v>27</v>
      </c>
      <c r="C286" t="s">
        <v>17</v>
      </c>
      <c r="K286" s="25">
        <f>(Table2[[#This Row],[Home Pace]]/100)*(VLOOKUP(Table2[[#This Row],[Home/Neutral]],home_lookup,8,FALSE)+VLOOKUP(Table2[[#This Row],[Home/Neutral]],OFR_lookup,2,FALSE)+VLOOKUP(Table2[[#This Row],[Visitor/Neutral]],def_diff_lookup,6,FALSE))</f>
        <v>107.80245642647257</v>
      </c>
      <c r="L286" s="25"/>
      <c r="M286" s="25">
        <f>(Table2[[#This Row],[Away Pace]]/100)*(VLOOKUP(Table2[[#This Row],[Visitor/Neutral]],OFR_lookup,2,FALSE)+VLOOKUP(Table2[[#This Row],[Home/Neutral]],def_diff_lookup,6,FALSE))</f>
        <v>109.66811466666668</v>
      </c>
      <c r="N286" s="25"/>
      <c r="O286" s="25"/>
      <c r="P286">
        <f>VLOOKUP(Table2[[#This Row],[Home/Neutral]],pace_lookup,7,FALSE)</f>
        <v>99</v>
      </c>
      <c r="Q286" s="5">
        <f>VLOOKUP(Table2[[#This Row],[Visitor/Neutral]],pace_lookup,7,FALSE)</f>
        <v>96.7</v>
      </c>
      <c r="R286" s="9"/>
      <c r="V286" s="2">
        <f>-home-VLOOKUP(Table2[[#This Row],[Home/Neutral]],rtg_vlookup,4,FALSE)+VLOOKUP(Table2[[#This Row],[Visitor/Neutral]],rtg_vlookup,4,FALSE)</f>
        <v>2.1048815165876693</v>
      </c>
      <c r="W286" s="25"/>
      <c r="X286" s="2"/>
      <c r="Y286" s="2">
        <f>Table2[[#This Row],[Away EV]]-Table2[[#This Row],[Home EV]]</f>
        <v>1.865658240194108</v>
      </c>
      <c r="Z286" s="33"/>
      <c r="AA286" s="34"/>
      <c r="AB286" s="5" t="b">
        <f>IF(VLOOKUP(Table2[[#This Row],[Home/Neutral]],division_lookup,9,FALSE)=VLOOKUP(Table2[[#This Row],[Visitor/Neutral]],division_lookup,9,FALSE),TRUE,FALSE)</f>
        <v>0</v>
      </c>
      <c r="AC286" s="19" t="str">
        <f>VLOOKUP(Table2[[#This Row],[Home/Neutral]],division_lookup,9,FALSE)</f>
        <v>NW</v>
      </c>
      <c r="AD286" s="19"/>
      <c r="AE286" s="19" t="str">
        <f>IF(Table2[[#This Row],[Total EV ®]]&lt;Table2[[#This Row],[Total (V)]],"UNDER","OVER")</f>
        <v>OVER</v>
      </c>
      <c r="AF286" s="30">
        <f>Table2[[#This Row],[(A) Spread]]-Table2[[#This Row],[Spread (V)]]</f>
        <v>0</v>
      </c>
      <c r="AG286" s="19"/>
      <c r="AH286" s="2">
        <f>Table2[[#This Row],[EV]]-Table2[[#This Row],[Spread (V)]]</f>
        <v>1.865658240194108</v>
      </c>
      <c r="AI286" s="22">
        <f>Table2[[#This Row],[(A)]]-Table2[[#This Row],[Spread]]</f>
        <v>2.1048815165876693</v>
      </c>
      <c r="AJ286" s="1">
        <f>Table2[[#This Row],[(A) Err]]^2</f>
        <v>4.430526198872407</v>
      </c>
      <c r="AK286" s="6">
        <f>Table2[[#This Row],[EV]]-Table2[[#This Row],[Spread]]</f>
        <v>1.865658240194108</v>
      </c>
      <c r="AL286" s="1">
        <f>Table2[[#This Row],[EV Err]]^2</f>
        <v>3.4806806692041761</v>
      </c>
    </row>
    <row r="287" spans="1:38" x14ac:dyDescent="0.25">
      <c r="A287" t="s">
        <v>80</v>
      </c>
      <c r="B287" t="s">
        <v>34</v>
      </c>
      <c r="C287" t="s">
        <v>4</v>
      </c>
      <c r="K287" s="25">
        <f>(Table2[[#This Row],[Home Pace]]/100)*(VLOOKUP(Table2[[#This Row],[Home/Neutral]],home_lookup,8,FALSE)+VLOOKUP(Table2[[#This Row],[Home/Neutral]],OFR_lookup,2,FALSE)+VLOOKUP(Table2[[#This Row],[Visitor/Neutral]],def_diff_lookup,6,FALSE))</f>
        <v>98.880758645655547</v>
      </c>
      <c r="L287" s="25"/>
      <c r="M287" s="25">
        <f>(Table2[[#This Row],[Away Pace]]/100)*(VLOOKUP(Table2[[#This Row],[Visitor/Neutral]],OFR_lookup,2,FALSE)+VLOOKUP(Table2[[#This Row],[Home/Neutral]],def_diff_lookup,6,FALSE))</f>
        <v>110.704244</v>
      </c>
      <c r="N287" s="25"/>
      <c r="O287" s="25"/>
      <c r="P287">
        <f>VLOOKUP(Table2[[#This Row],[Home/Neutral]],pace_lookup,7,FALSE)</f>
        <v>98.8</v>
      </c>
      <c r="Q287" s="5">
        <f>VLOOKUP(Table2[[#This Row],[Visitor/Neutral]],pace_lookup,7,FALSE)</f>
        <v>96.6</v>
      </c>
      <c r="R287" s="9"/>
      <c r="V287" s="2">
        <f>-home-VLOOKUP(Table2[[#This Row],[Home/Neutral]],rtg_vlookup,4,FALSE)+VLOOKUP(Table2[[#This Row],[Visitor/Neutral]],rtg_vlookup,4,FALSE)</f>
        <v>16.944881516587671</v>
      </c>
      <c r="W287" s="25"/>
      <c r="X287" s="2"/>
      <c r="Y287" s="2">
        <f>Table2[[#This Row],[Away EV]]-Table2[[#This Row],[Home EV]]</f>
        <v>11.823485354344456</v>
      </c>
      <c r="Z287" s="33"/>
      <c r="AA287" s="34"/>
      <c r="AB287" s="5" t="b">
        <f>IF(VLOOKUP(Table2[[#This Row],[Home/Neutral]],division_lookup,9,FALSE)=VLOOKUP(Table2[[#This Row],[Visitor/Neutral]],division_lookup,9,FALSE),TRUE,FALSE)</f>
        <v>0</v>
      </c>
      <c r="AC287" s="19" t="str">
        <f>VLOOKUP(Table2[[#This Row],[Home/Neutral]],division_lookup,9,FALSE)</f>
        <v>SW</v>
      </c>
      <c r="AD287" s="19"/>
      <c r="AE287" s="19" t="str">
        <f>IF(Table2[[#This Row],[Total EV ®]]&lt;Table2[[#This Row],[Total (V)]],"UNDER","OVER")</f>
        <v>OVER</v>
      </c>
      <c r="AF287" s="30">
        <f>Table2[[#This Row],[(A) Spread]]-Table2[[#This Row],[Spread (V)]]</f>
        <v>0</v>
      </c>
      <c r="AG287" s="19"/>
      <c r="AH287" s="2">
        <f>Table2[[#This Row],[EV]]-Table2[[#This Row],[Spread (V)]]</f>
        <v>11.823485354344456</v>
      </c>
      <c r="AI287" s="22">
        <f>Table2[[#This Row],[(A)]]-Table2[[#This Row],[Spread]]</f>
        <v>16.944881516587671</v>
      </c>
      <c r="AJ287" s="1">
        <f>Table2[[#This Row],[(A) Err]]^2</f>
        <v>287.12900961119448</v>
      </c>
      <c r="AK287" s="6">
        <f>Table2[[#This Row],[EV]]-Table2[[#This Row],[Spread]]</f>
        <v>11.823485354344456</v>
      </c>
      <c r="AL287" s="1">
        <f>Table2[[#This Row],[EV Err]]^2</f>
        <v>139.79480592439785</v>
      </c>
    </row>
    <row r="288" spans="1:38" x14ac:dyDescent="0.25">
      <c r="A288" t="s">
        <v>80</v>
      </c>
      <c r="B288" t="s">
        <v>31</v>
      </c>
      <c r="C288" t="s">
        <v>22</v>
      </c>
      <c r="K288" s="25">
        <f>(Table2[[#This Row],[Home Pace]]/100)*(VLOOKUP(Table2[[#This Row],[Home/Neutral]],home_lookup,8,FALSE)+VLOOKUP(Table2[[#This Row],[Home/Neutral]],OFR_lookup,2,FALSE)+VLOOKUP(Table2[[#This Row],[Visitor/Neutral]],def_diff_lookup,6,FALSE))</f>
        <v>114.2205743021789</v>
      </c>
      <c r="L288" s="25"/>
      <c r="M288" s="25">
        <f>(Table2[[#This Row],[Away Pace]]/100)*(VLOOKUP(Table2[[#This Row],[Visitor/Neutral]],OFR_lookup,2,FALSE)+VLOOKUP(Table2[[#This Row],[Home/Neutral]],def_diff_lookup,6,FALSE))</f>
        <v>109.81475133333336</v>
      </c>
      <c r="N288" s="25"/>
      <c r="O288" s="25"/>
      <c r="P288">
        <f>VLOOKUP(Table2[[#This Row],[Home/Neutral]],pace_lookup,7,FALSE)</f>
        <v>96</v>
      </c>
      <c r="Q288" s="5">
        <f>VLOOKUP(Table2[[#This Row],[Visitor/Neutral]],pace_lookup,7,FALSE)</f>
        <v>94.7</v>
      </c>
      <c r="R288" s="9"/>
      <c r="V288" s="2">
        <f>-home-VLOOKUP(Table2[[#This Row],[Home/Neutral]],rtg_vlookup,4,FALSE)+VLOOKUP(Table2[[#This Row],[Visitor/Neutral]],rtg_vlookup,4,FALSE)</f>
        <v>0.42488151658766948</v>
      </c>
      <c r="W288" s="25"/>
      <c r="X288" s="2"/>
      <c r="Y288" s="2">
        <f>Table2[[#This Row],[Away EV]]-Table2[[#This Row],[Home EV]]</f>
        <v>-4.4058229688455413</v>
      </c>
      <c r="Z288" s="33"/>
      <c r="AA288" s="34"/>
      <c r="AB288" s="5" t="b">
        <f>IF(VLOOKUP(Table2[[#This Row],[Home/Neutral]],division_lookup,9,FALSE)=VLOOKUP(Table2[[#This Row],[Visitor/Neutral]],division_lookup,9,FALSE),TRUE,FALSE)</f>
        <v>0</v>
      </c>
      <c r="AC288" s="19" t="str">
        <f>VLOOKUP(Table2[[#This Row],[Home/Neutral]],division_lookup,9,FALSE)</f>
        <v>A</v>
      </c>
      <c r="AD288" s="19"/>
      <c r="AE288" s="19" t="str">
        <f>IF(Table2[[#This Row],[Total EV ®]]&lt;Table2[[#This Row],[Total (V)]],"UNDER","OVER")</f>
        <v>OVER</v>
      </c>
      <c r="AF288" s="30">
        <f>Table2[[#This Row],[(A) Spread]]-Table2[[#This Row],[Spread (V)]]</f>
        <v>0</v>
      </c>
      <c r="AG288" s="19"/>
      <c r="AH288" s="2">
        <f>Table2[[#This Row],[EV]]-Table2[[#This Row],[Spread (V)]]</f>
        <v>-4.4058229688455413</v>
      </c>
      <c r="AI288" s="22">
        <f>Table2[[#This Row],[(A)]]-Table2[[#This Row],[Spread]]</f>
        <v>0.42488151658766948</v>
      </c>
      <c r="AJ288" s="1">
        <f>Table2[[#This Row],[(A) Err]]^2</f>
        <v>0.18052430313783807</v>
      </c>
      <c r="AK288" s="6">
        <f>Table2[[#This Row],[EV]]-Table2[[#This Row],[Spread]]</f>
        <v>-4.4058229688455413</v>
      </c>
      <c r="AL288" s="1">
        <f>Table2[[#This Row],[EV Err]]^2</f>
        <v>19.411276032806938</v>
      </c>
    </row>
    <row r="289" spans="1:38" x14ac:dyDescent="0.25">
      <c r="A289" t="s">
        <v>80</v>
      </c>
      <c r="B289" t="s">
        <v>39</v>
      </c>
      <c r="C289" t="s">
        <v>38</v>
      </c>
      <c r="K289" s="25">
        <f>(Table2[[#This Row],[Home Pace]]/100)*(VLOOKUP(Table2[[#This Row],[Home/Neutral]],home_lookup,8,FALSE)+VLOOKUP(Table2[[#This Row],[Home/Neutral]],OFR_lookup,2,FALSE)+VLOOKUP(Table2[[#This Row],[Visitor/Neutral]],def_diff_lookup,6,FALSE))</f>
        <v>108.42002211468578</v>
      </c>
      <c r="L289" s="25"/>
      <c r="M289" s="25">
        <f>(Table2[[#This Row],[Away Pace]]/100)*(VLOOKUP(Table2[[#This Row],[Visitor/Neutral]],OFR_lookup,2,FALSE)+VLOOKUP(Table2[[#This Row],[Home/Neutral]],def_diff_lookup,6,FALSE))</f>
        <v>95.858548000000013</v>
      </c>
      <c r="N289" s="25"/>
      <c r="O289" s="25"/>
      <c r="P289">
        <f>VLOOKUP(Table2[[#This Row],[Home/Neutral]],pace_lookup,7,FALSE)</f>
        <v>97.5</v>
      </c>
      <c r="Q289" s="5">
        <f>VLOOKUP(Table2[[#This Row],[Visitor/Neutral]],pace_lookup,7,FALSE)</f>
        <v>94.2</v>
      </c>
      <c r="R289" s="9"/>
      <c r="V289" s="2">
        <f>-home-VLOOKUP(Table2[[#This Row],[Home/Neutral]],rtg_vlookup,4,FALSE)+VLOOKUP(Table2[[#This Row],[Visitor/Neutral]],rtg_vlookup,4,FALSE)</f>
        <v>-2.1451184834123307</v>
      </c>
      <c r="W289" s="25"/>
      <c r="X289" s="2"/>
      <c r="Y289" s="2">
        <f>Table2[[#This Row],[Away EV]]-Table2[[#This Row],[Home EV]]</f>
        <v>-12.561474114685765</v>
      </c>
      <c r="Z289" s="33"/>
      <c r="AA289" s="34"/>
      <c r="AB289" s="5" t="b">
        <f>IF(VLOOKUP(Table2[[#This Row],[Home/Neutral]],division_lookup,9,FALSE)=VLOOKUP(Table2[[#This Row],[Visitor/Neutral]],division_lookup,9,FALSE),TRUE,FALSE)</f>
        <v>0</v>
      </c>
      <c r="AC289" s="19" t="str">
        <f>VLOOKUP(Table2[[#This Row],[Home/Neutral]],division_lookup,9,FALSE)</f>
        <v>A</v>
      </c>
      <c r="AD289" s="19"/>
      <c r="AE289" s="19" t="str">
        <f>IF(Table2[[#This Row],[Total EV ®]]&lt;Table2[[#This Row],[Total (V)]],"UNDER","OVER")</f>
        <v>OVER</v>
      </c>
      <c r="AF289" s="30">
        <f>Table2[[#This Row],[(A) Spread]]-Table2[[#This Row],[Spread (V)]]</f>
        <v>0</v>
      </c>
      <c r="AG289" s="19"/>
      <c r="AH289" s="2">
        <f>Table2[[#This Row],[EV]]-Table2[[#This Row],[Spread (V)]]</f>
        <v>-12.561474114685765</v>
      </c>
      <c r="AI289" s="22">
        <f>Table2[[#This Row],[(A)]]-Table2[[#This Row],[Spread]]</f>
        <v>-2.1451184834123307</v>
      </c>
      <c r="AJ289" s="1">
        <f>Table2[[#This Row],[(A) Err]]^2</f>
        <v>4.6015333078772178</v>
      </c>
      <c r="AK289" s="6">
        <f>Table2[[#This Row],[EV]]-Table2[[#This Row],[Spread]]</f>
        <v>-12.561474114685765</v>
      </c>
      <c r="AL289" s="1">
        <f>Table2[[#This Row],[EV Err]]^2</f>
        <v>157.79063193392054</v>
      </c>
    </row>
    <row r="290" spans="1:38" x14ac:dyDescent="0.25">
      <c r="A290" t="s">
        <v>80</v>
      </c>
      <c r="B290" t="s">
        <v>6</v>
      </c>
      <c r="C290" t="s">
        <v>28</v>
      </c>
      <c r="K290" s="25">
        <f>(Table2[[#This Row],[Home Pace]]/100)*(VLOOKUP(Table2[[#This Row],[Home/Neutral]],home_lookup,8,FALSE)+VLOOKUP(Table2[[#This Row],[Home/Neutral]],OFR_lookup,2,FALSE)+VLOOKUP(Table2[[#This Row],[Visitor/Neutral]],def_diff_lookup,6,FALSE))</f>
        <v>105.80594787062245</v>
      </c>
      <c r="L290" s="25"/>
      <c r="M290" s="25">
        <f>(Table2[[#This Row],[Away Pace]]/100)*(VLOOKUP(Table2[[#This Row],[Visitor/Neutral]],OFR_lookup,2,FALSE)+VLOOKUP(Table2[[#This Row],[Home/Neutral]],def_diff_lookup,6,FALSE))</f>
        <v>101.192682</v>
      </c>
      <c r="N290" s="25"/>
      <c r="O290" s="25"/>
      <c r="P290">
        <f>VLOOKUP(Table2[[#This Row],[Home/Neutral]],pace_lookup,7,FALSE)</f>
        <v>93.1</v>
      </c>
      <c r="Q290" s="5">
        <f>VLOOKUP(Table2[[#This Row],[Visitor/Neutral]],pace_lookup,7,FALSE)</f>
        <v>96.3</v>
      </c>
      <c r="R290" s="9"/>
      <c r="V290" s="2">
        <f>-home-VLOOKUP(Table2[[#This Row],[Home/Neutral]],rtg_vlookup,4,FALSE)+VLOOKUP(Table2[[#This Row],[Visitor/Neutral]],rtg_vlookup,4,FALSE)</f>
        <v>-11.635118483412331</v>
      </c>
      <c r="W290" s="25"/>
      <c r="X290" s="2"/>
      <c r="Y290" s="2">
        <f>Table2[[#This Row],[Away EV]]-Table2[[#This Row],[Home EV]]</f>
        <v>-4.6132658706224419</v>
      </c>
      <c r="Z290" s="33"/>
      <c r="AA290" s="34"/>
      <c r="AB290" s="5" t="b">
        <f>IF(VLOOKUP(Table2[[#This Row],[Home/Neutral]],division_lookup,9,FALSE)=VLOOKUP(Table2[[#This Row],[Visitor/Neutral]],division_lookup,9,FALSE),TRUE,FALSE)</f>
        <v>0</v>
      </c>
      <c r="AC290" s="19" t="str">
        <f>VLOOKUP(Table2[[#This Row],[Home/Neutral]],division_lookup,9,FALSE)</f>
        <v>SW</v>
      </c>
      <c r="AD290" s="19"/>
      <c r="AE290" s="19" t="str">
        <f>IF(Table2[[#This Row],[Total EV ®]]&lt;Table2[[#This Row],[Total (V)]],"UNDER","OVER")</f>
        <v>OVER</v>
      </c>
      <c r="AF290" s="30">
        <f>Table2[[#This Row],[(A) Spread]]-Table2[[#This Row],[Spread (V)]]</f>
        <v>0</v>
      </c>
      <c r="AG290" s="19"/>
      <c r="AH290" s="2">
        <f>Table2[[#This Row],[EV]]-Table2[[#This Row],[Spread (V)]]</f>
        <v>-4.6132658706224419</v>
      </c>
      <c r="AI290" s="22">
        <f>Table2[[#This Row],[(A)]]-Table2[[#This Row],[Spread]]</f>
        <v>-11.635118483412331</v>
      </c>
      <c r="AJ290" s="1">
        <f>Table2[[#This Row],[(A) Err]]^2</f>
        <v>135.37598212304326</v>
      </c>
      <c r="AK290" s="6">
        <f>Table2[[#This Row],[EV]]-Table2[[#This Row],[Spread]]</f>
        <v>-4.6132658706224419</v>
      </c>
      <c r="AL290" s="1">
        <f>Table2[[#This Row],[EV Err]]^2</f>
        <v>21.282221993049838</v>
      </c>
    </row>
    <row r="291" spans="1:38" x14ac:dyDescent="0.25">
      <c r="A291" t="s">
        <v>80</v>
      </c>
      <c r="B291" t="s">
        <v>14</v>
      </c>
      <c r="C291" t="s">
        <v>24</v>
      </c>
      <c r="K291" s="25">
        <f>(Table2[[#This Row],[Home Pace]]/100)*(VLOOKUP(Table2[[#This Row],[Home/Neutral]],home_lookup,8,FALSE)+VLOOKUP(Table2[[#This Row],[Home/Neutral]],OFR_lookup,2,FALSE)+VLOOKUP(Table2[[#This Row],[Visitor/Neutral]],def_diff_lookup,6,FALSE))</f>
        <v>110.96542414241451</v>
      </c>
      <c r="L291" s="25"/>
      <c r="M291" s="25">
        <f>(Table2[[#This Row],[Away Pace]]/100)*(VLOOKUP(Table2[[#This Row],[Visitor/Neutral]],OFR_lookup,2,FALSE)+VLOOKUP(Table2[[#This Row],[Home/Neutral]],def_diff_lookup,6,FALSE))</f>
        <v>112.30824600000003</v>
      </c>
      <c r="N291" s="25"/>
      <c r="O291" s="25"/>
      <c r="P291">
        <f>VLOOKUP(Table2[[#This Row],[Home/Neutral]],pace_lookup,7,FALSE)</f>
        <v>95.9</v>
      </c>
      <c r="Q291" s="5">
        <f>VLOOKUP(Table2[[#This Row],[Visitor/Neutral]],pace_lookup,7,FALSE)</f>
        <v>99.9</v>
      </c>
      <c r="R291" s="9"/>
      <c r="V291" s="2">
        <f>-home-VLOOKUP(Table2[[#This Row],[Home/Neutral]],rtg_vlookup,4,FALSE)+VLOOKUP(Table2[[#This Row],[Visitor/Neutral]],rtg_vlookup,4,FALSE)</f>
        <v>-7.4351184834123307</v>
      </c>
      <c r="W291" s="25"/>
      <c r="X291" s="2"/>
      <c r="Y291" s="2">
        <f>Table2[[#This Row],[Away EV]]-Table2[[#This Row],[Home EV]]</f>
        <v>1.3428218575855198</v>
      </c>
      <c r="Z291" s="33"/>
      <c r="AA291" s="34"/>
      <c r="AB291" s="5" t="b">
        <f>IF(VLOOKUP(Table2[[#This Row],[Home/Neutral]],division_lookup,9,FALSE)=VLOOKUP(Table2[[#This Row],[Visitor/Neutral]],division_lookup,9,FALSE),TRUE,FALSE)</f>
        <v>0</v>
      </c>
      <c r="AC291" s="19" t="str">
        <f>VLOOKUP(Table2[[#This Row],[Home/Neutral]],division_lookup,9,FALSE)</f>
        <v>A</v>
      </c>
      <c r="AD291" s="19"/>
      <c r="AE291" s="19" t="str">
        <f>IF(Table2[[#This Row],[Total EV ®]]&lt;Table2[[#This Row],[Total (V)]],"UNDER","OVER")</f>
        <v>OVER</v>
      </c>
      <c r="AF291" s="30">
        <f>Table2[[#This Row],[(A) Spread]]-Table2[[#This Row],[Spread (V)]]</f>
        <v>0</v>
      </c>
      <c r="AG291" s="19"/>
      <c r="AH291" s="2">
        <f>Table2[[#This Row],[EV]]-Table2[[#This Row],[Spread (V)]]</f>
        <v>1.3428218575855198</v>
      </c>
      <c r="AI291" s="22">
        <f>Table2[[#This Row],[(A)]]-Table2[[#This Row],[Spread]]</f>
        <v>-7.4351184834123307</v>
      </c>
      <c r="AJ291" s="1">
        <f>Table2[[#This Row],[(A) Err]]^2</f>
        <v>55.280986862379677</v>
      </c>
      <c r="AK291" s="6">
        <f>Table2[[#This Row],[EV]]-Table2[[#This Row],[Spread]]</f>
        <v>1.3428218575855198</v>
      </c>
      <c r="AL291" s="1">
        <f>Table2[[#This Row],[EV Err]]^2</f>
        <v>1.8031705412094259</v>
      </c>
    </row>
    <row r="292" spans="1:38" x14ac:dyDescent="0.25">
      <c r="A292" t="s">
        <v>81</v>
      </c>
      <c r="B292" t="s">
        <v>16</v>
      </c>
      <c r="C292" t="s">
        <v>22</v>
      </c>
      <c r="K292" s="25">
        <f>(Table2[[#This Row],[Home Pace]]/100)*(VLOOKUP(Table2[[#This Row],[Home/Neutral]],home_lookup,8,FALSE)+VLOOKUP(Table2[[#This Row],[Home/Neutral]],OFR_lookup,2,FALSE)+VLOOKUP(Table2[[#This Row],[Visitor/Neutral]],def_diff_lookup,6,FALSE))</f>
        <v>107.64335601115951</v>
      </c>
      <c r="L292" s="25"/>
      <c r="M292" s="25">
        <f>(Table2[[#This Row],[Away Pace]]/100)*(VLOOKUP(Table2[[#This Row],[Visitor/Neutral]],OFR_lookup,2,FALSE)+VLOOKUP(Table2[[#This Row],[Home/Neutral]],def_diff_lookup,6,FALSE))</f>
        <v>103.66872133333337</v>
      </c>
      <c r="N292" s="25"/>
      <c r="O292" s="25"/>
      <c r="P292">
        <f>VLOOKUP(Table2[[#This Row],[Home/Neutral]],pace_lookup,7,FALSE)</f>
        <v>97.5</v>
      </c>
      <c r="Q292" s="5">
        <f>VLOOKUP(Table2[[#This Row],[Visitor/Neutral]],pace_lookup,7,FALSE)</f>
        <v>94.7</v>
      </c>
      <c r="R292" s="9"/>
      <c r="V292" s="2">
        <f>-home-VLOOKUP(Table2[[#This Row],[Home/Neutral]],rtg_vlookup,4,FALSE)+VLOOKUP(Table2[[#This Row],[Visitor/Neutral]],rtg_vlookup,4,FALSE)</f>
        <v>-4.4351184834123307</v>
      </c>
      <c r="W292" s="25"/>
      <c r="X292" s="2"/>
      <c r="Y292" s="2">
        <f>Table2[[#This Row],[Away EV]]-Table2[[#This Row],[Home EV]]</f>
        <v>-3.9746346778261454</v>
      </c>
      <c r="Z292" s="33"/>
      <c r="AA292" s="34"/>
      <c r="AB292" s="5" t="b">
        <f>IF(VLOOKUP(Table2[[#This Row],[Home/Neutral]],division_lookup,9,FALSE)=VLOOKUP(Table2[[#This Row],[Visitor/Neutral]],division_lookup,9,FALSE),TRUE,FALSE)</f>
        <v>0</v>
      </c>
      <c r="AC292" s="19" t="str">
        <f>VLOOKUP(Table2[[#This Row],[Home/Neutral]],division_lookup,9,FALSE)</f>
        <v>SE</v>
      </c>
      <c r="AD292" s="19"/>
      <c r="AE292" s="19" t="str">
        <f>IF(Table2[[#This Row],[Total EV ®]]&lt;Table2[[#This Row],[Total (V)]],"UNDER","OVER")</f>
        <v>OVER</v>
      </c>
      <c r="AF292" s="30">
        <f>Table2[[#This Row],[(A) Spread]]-Table2[[#This Row],[Spread (V)]]</f>
        <v>0</v>
      </c>
      <c r="AG292" s="19"/>
      <c r="AH292" s="2">
        <f>Table2[[#This Row],[EV]]-Table2[[#This Row],[Spread (V)]]</f>
        <v>-3.9746346778261454</v>
      </c>
      <c r="AI292" s="22">
        <f>Table2[[#This Row],[(A)]]-Table2[[#This Row],[Spread]]</f>
        <v>-4.4351184834123307</v>
      </c>
      <c r="AJ292" s="1">
        <f>Table2[[#This Row],[(A) Err]]^2</f>
        <v>19.670275961905691</v>
      </c>
      <c r="AK292" s="6">
        <f>Table2[[#This Row],[EV]]-Table2[[#This Row],[Spread]]</f>
        <v>-3.9746346778261454</v>
      </c>
      <c r="AL292" s="1">
        <f>Table2[[#This Row],[EV Err]]^2</f>
        <v>15.797720822178148</v>
      </c>
    </row>
    <row r="293" spans="1:38" x14ac:dyDescent="0.25">
      <c r="A293" t="s">
        <v>81</v>
      </c>
      <c r="B293" t="s">
        <v>37</v>
      </c>
      <c r="C293" t="s">
        <v>13</v>
      </c>
      <c r="K293" s="25">
        <f>(Table2[[#This Row],[Home Pace]]/100)*(VLOOKUP(Table2[[#This Row],[Home/Neutral]],home_lookup,8,FALSE)+VLOOKUP(Table2[[#This Row],[Home/Neutral]],OFR_lookup,2,FALSE)+VLOOKUP(Table2[[#This Row],[Visitor/Neutral]],def_diff_lookup,6,FALSE))</f>
        <v>101.74112809362123</v>
      </c>
      <c r="L293" s="25"/>
      <c r="M293" s="25">
        <f>(Table2[[#This Row],[Away Pace]]/100)*(VLOOKUP(Table2[[#This Row],[Visitor/Neutral]],OFR_lookup,2,FALSE)+VLOOKUP(Table2[[#This Row],[Home/Neutral]],def_diff_lookup,6,FALSE))</f>
        <v>102.24963000000001</v>
      </c>
      <c r="N293" s="25"/>
      <c r="O293" s="25"/>
      <c r="P293">
        <f>VLOOKUP(Table2[[#This Row],[Home/Neutral]],pace_lookup,7,FALSE)</f>
        <v>92.1</v>
      </c>
      <c r="Q293" s="5">
        <f>VLOOKUP(Table2[[#This Row],[Visitor/Neutral]],pace_lookup,7,FALSE)</f>
        <v>94.5</v>
      </c>
      <c r="R293" s="9"/>
      <c r="V293" s="2">
        <f>-home-VLOOKUP(Table2[[#This Row],[Home/Neutral]],rtg_vlookup,4,FALSE)+VLOOKUP(Table2[[#This Row],[Visitor/Neutral]],rtg_vlookup,4,FALSE)</f>
        <v>10.39488151658767</v>
      </c>
      <c r="W293" s="25"/>
      <c r="X293" s="2"/>
      <c r="Y293" s="2">
        <f>Table2[[#This Row],[Away EV]]-Table2[[#This Row],[Home EV]]</f>
        <v>0.50850190637878256</v>
      </c>
      <c r="Z293" s="33"/>
      <c r="AA293" s="34"/>
      <c r="AB293" s="5" t="b">
        <f>IF(VLOOKUP(Table2[[#This Row],[Home/Neutral]],division_lookup,9,FALSE)=VLOOKUP(Table2[[#This Row],[Visitor/Neutral]],division_lookup,9,FALSE),TRUE,FALSE)</f>
        <v>0</v>
      </c>
      <c r="AC293" s="19" t="str">
        <f>VLOOKUP(Table2[[#This Row],[Home/Neutral]],division_lookup,9,FALSE)</f>
        <v>SW</v>
      </c>
      <c r="AD293" s="19"/>
      <c r="AE293" s="19" t="str">
        <f>IF(Table2[[#This Row],[Total EV ®]]&lt;Table2[[#This Row],[Total (V)]],"UNDER","OVER")</f>
        <v>OVER</v>
      </c>
      <c r="AF293" s="30">
        <f>Table2[[#This Row],[(A) Spread]]-Table2[[#This Row],[Spread (V)]]</f>
        <v>0</v>
      </c>
      <c r="AG293" s="19"/>
      <c r="AH293" s="2">
        <f>Table2[[#This Row],[EV]]-Table2[[#This Row],[Spread (V)]]</f>
        <v>0.50850190637878256</v>
      </c>
      <c r="AI293" s="22">
        <f>Table2[[#This Row],[(A)]]-Table2[[#This Row],[Spread]]</f>
        <v>10.39488151658767</v>
      </c>
      <c r="AJ293" s="1">
        <f>Table2[[#This Row],[(A) Err]]^2</f>
        <v>108.05356174389598</v>
      </c>
      <c r="AK293" s="6">
        <f>Table2[[#This Row],[EV]]-Table2[[#This Row],[Spread]]</f>
        <v>0.50850190637878256</v>
      </c>
      <c r="AL293" s="1">
        <f>Table2[[#This Row],[EV Err]]^2</f>
        <v>0.25857418879085614</v>
      </c>
    </row>
    <row r="294" spans="1:38" x14ac:dyDescent="0.25">
      <c r="A294" t="s">
        <v>81</v>
      </c>
      <c r="B294" t="s">
        <v>10</v>
      </c>
      <c r="C294" t="s">
        <v>36</v>
      </c>
      <c r="K294" s="25">
        <f>(Table2[[#This Row],[Home Pace]]/100)*(VLOOKUP(Table2[[#This Row],[Home/Neutral]],home_lookup,8,FALSE)+VLOOKUP(Table2[[#This Row],[Home/Neutral]],OFR_lookup,2,FALSE)+VLOOKUP(Table2[[#This Row],[Visitor/Neutral]],def_diff_lookup,6,FALSE))</f>
        <v>110.0548885379056</v>
      </c>
      <c r="L294" s="25"/>
      <c r="M294" s="25">
        <f>(Table2[[#This Row],[Away Pace]]/100)*(VLOOKUP(Table2[[#This Row],[Visitor/Neutral]],OFR_lookup,2,FALSE)+VLOOKUP(Table2[[#This Row],[Home/Neutral]],def_diff_lookup,6,FALSE))</f>
        <v>106.83034133333335</v>
      </c>
      <c r="N294" s="25"/>
      <c r="O294" s="25"/>
      <c r="P294">
        <f>VLOOKUP(Table2[[#This Row],[Home/Neutral]],pace_lookup,7,FALSE)</f>
        <v>100.3</v>
      </c>
      <c r="Q294" s="5">
        <f>VLOOKUP(Table2[[#This Row],[Visitor/Neutral]],pace_lookup,7,FALSE)</f>
        <v>102.2</v>
      </c>
      <c r="R294" s="9"/>
      <c r="V294" s="2">
        <f>-home-VLOOKUP(Table2[[#This Row],[Home/Neutral]],rtg_vlookup,4,FALSE)+VLOOKUP(Table2[[#This Row],[Visitor/Neutral]],rtg_vlookup,4,FALSE)</f>
        <v>-17.40511848341233</v>
      </c>
      <c r="W294" s="25"/>
      <c r="X294" s="2"/>
      <c r="Y294" s="2">
        <f>Table2[[#This Row],[Away EV]]-Table2[[#This Row],[Home EV]]</f>
        <v>-3.2245472045722465</v>
      </c>
      <c r="Z294" s="33"/>
      <c r="AA294" s="34"/>
      <c r="AB294" s="5" t="b">
        <f>IF(VLOOKUP(Table2[[#This Row],[Home/Neutral]],division_lookup,9,FALSE)=VLOOKUP(Table2[[#This Row],[Visitor/Neutral]],division_lookup,9,FALSE),TRUE,FALSE)</f>
        <v>1</v>
      </c>
      <c r="AC294" s="19" t="str">
        <f>VLOOKUP(Table2[[#This Row],[Home/Neutral]],division_lookup,9,FALSE)</f>
        <v>P</v>
      </c>
      <c r="AD294" s="19"/>
      <c r="AE294" s="19" t="str">
        <f>IF(Table2[[#This Row],[Total EV ®]]&lt;Table2[[#This Row],[Total (V)]],"UNDER","OVER")</f>
        <v>OVER</v>
      </c>
      <c r="AF294" s="30">
        <f>Table2[[#This Row],[(A) Spread]]-Table2[[#This Row],[Spread (V)]]</f>
        <v>0</v>
      </c>
      <c r="AG294" s="19"/>
      <c r="AH294" s="2">
        <f>Table2[[#This Row],[EV]]-Table2[[#This Row],[Spread (V)]]</f>
        <v>-3.2245472045722465</v>
      </c>
      <c r="AI294" s="22">
        <f>Table2[[#This Row],[(A)]]-Table2[[#This Row],[Spread]]</f>
        <v>-17.40511848341233</v>
      </c>
      <c r="AJ294" s="1">
        <f>Table2[[#This Row],[(A) Err]]^2</f>
        <v>302.93814942162152</v>
      </c>
      <c r="AK294" s="6">
        <f>Table2[[#This Row],[EV]]-Table2[[#This Row],[Spread]]</f>
        <v>-3.2245472045722465</v>
      </c>
      <c r="AL294" s="1">
        <f>Table2[[#This Row],[EV Err]]^2</f>
        <v>10.39770467451469</v>
      </c>
    </row>
    <row r="295" spans="1:38" x14ac:dyDescent="0.25">
      <c r="A295" t="s">
        <v>81</v>
      </c>
      <c r="B295" t="s">
        <v>23</v>
      </c>
      <c r="C295" t="s">
        <v>24</v>
      </c>
      <c r="K295" s="25">
        <f>(Table2[[#This Row],[Home Pace]]/100)*(VLOOKUP(Table2[[#This Row],[Home/Neutral]],home_lookup,8,FALSE)+VLOOKUP(Table2[[#This Row],[Home/Neutral]],OFR_lookup,2,FALSE)+VLOOKUP(Table2[[#This Row],[Visitor/Neutral]],def_diff_lookup,6,FALSE))</f>
        <v>105.59738735871359</v>
      </c>
      <c r="L295" s="25"/>
      <c r="M295" s="25">
        <f>(Table2[[#This Row],[Away Pace]]/100)*(VLOOKUP(Table2[[#This Row],[Visitor/Neutral]],OFR_lookup,2,FALSE)+VLOOKUP(Table2[[#This Row],[Home/Neutral]],def_diff_lookup,6,FALSE))</f>
        <v>106.04451600000003</v>
      </c>
      <c r="N295" s="25"/>
      <c r="O295" s="25"/>
      <c r="P295">
        <f>VLOOKUP(Table2[[#This Row],[Home/Neutral]],pace_lookup,7,FALSE)</f>
        <v>92.5</v>
      </c>
      <c r="Q295" s="5">
        <f>VLOOKUP(Table2[[#This Row],[Visitor/Neutral]],pace_lookup,7,FALSE)</f>
        <v>99.9</v>
      </c>
      <c r="R295" s="9"/>
      <c r="V295" s="2">
        <f>-home-VLOOKUP(Table2[[#This Row],[Home/Neutral]],rtg_vlookup,4,FALSE)+VLOOKUP(Table2[[#This Row],[Visitor/Neutral]],rtg_vlookup,4,FALSE)</f>
        <v>-4.8651184834123313</v>
      </c>
      <c r="W295" s="25"/>
      <c r="X295" s="2"/>
      <c r="Y295" s="2">
        <f>Table2[[#This Row],[Away EV]]-Table2[[#This Row],[Home EV]]</f>
        <v>0.44712864128644014</v>
      </c>
      <c r="Z295" s="33"/>
      <c r="AA295" s="34"/>
      <c r="AB295" s="5" t="b">
        <f>IF(VLOOKUP(Table2[[#This Row],[Home/Neutral]],division_lookup,9,FALSE)=VLOOKUP(Table2[[#This Row],[Visitor/Neutral]],division_lookup,9,FALSE),TRUE,FALSE)</f>
        <v>0</v>
      </c>
      <c r="AC295" s="19" t="str">
        <f>VLOOKUP(Table2[[#This Row],[Home/Neutral]],division_lookup,9,FALSE)</f>
        <v>SW</v>
      </c>
      <c r="AD295" s="19"/>
      <c r="AE295" s="19" t="str">
        <f>IF(Table2[[#This Row],[Total EV ®]]&lt;Table2[[#This Row],[Total (V)]],"UNDER","OVER")</f>
        <v>OVER</v>
      </c>
      <c r="AF295" s="30">
        <f>Table2[[#This Row],[(A) Spread]]-Table2[[#This Row],[Spread (V)]]</f>
        <v>0</v>
      </c>
      <c r="AG295" s="19"/>
      <c r="AH295" s="2">
        <f>Table2[[#This Row],[EV]]-Table2[[#This Row],[Spread (V)]]</f>
        <v>0.44712864128644014</v>
      </c>
      <c r="AI295" s="22">
        <f>Table2[[#This Row],[(A)]]-Table2[[#This Row],[Spread]]</f>
        <v>-4.8651184834123313</v>
      </c>
      <c r="AJ295" s="1">
        <f>Table2[[#This Row],[(A) Err]]^2</f>
        <v>23.669377857640303</v>
      </c>
      <c r="AK295" s="6">
        <f>Table2[[#This Row],[EV]]-Table2[[#This Row],[Spread]]</f>
        <v>0.44712864128644014</v>
      </c>
      <c r="AL295" s="1">
        <f>Table2[[#This Row],[EV Err]]^2</f>
        <v>0.19992402185865807</v>
      </c>
    </row>
    <row r="296" spans="1:38" x14ac:dyDescent="0.25">
      <c r="A296" t="s">
        <v>81</v>
      </c>
      <c r="B296" t="s">
        <v>30</v>
      </c>
      <c r="C296" t="s">
        <v>35</v>
      </c>
      <c r="K296" s="25">
        <f>(Table2[[#This Row],[Home Pace]]/100)*(VLOOKUP(Table2[[#This Row],[Home/Neutral]],home_lookup,8,FALSE)+VLOOKUP(Table2[[#This Row],[Home/Neutral]],OFR_lookup,2,FALSE)+VLOOKUP(Table2[[#This Row],[Visitor/Neutral]],def_diff_lookup,6,FALSE))</f>
        <v>111.56808034993644</v>
      </c>
      <c r="L296" s="25"/>
      <c r="M296" s="25">
        <f>(Table2[[#This Row],[Away Pace]]/100)*(VLOOKUP(Table2[[#This Row],[Visitor/Neutral]],OFR_lookup,2,FALSE)+VLOOKUP(Table2[[#This Row],[Home/Neutral]],def_diff_lookup,6,FALSE))</f>
        <v>107.82168133333336</v>
      </c>
      <c r="N296" s="25"/>
      <c r="O296" s="25"/>
      <c r="P296">
        <f>VLOOKUP(Table2[[#This Row],[Home/Neutral]],pace_lookup,7,FALSE)</f>
        <v>96.8</v>
      </c>
      <c r="Q296" s="5">
        <f>VLOOKUP(Table2[[#This Row],[Visitor/Neutral]],pace_lookup,7,FALSE)</f>
        <v>102.2</v>
      </c>
      <c r="R296" s="9"/>
      <c r="V296" s="2">
        <f>-home-VLOOKUP(Table2[[#This Row],[Home/Neutral]],rtg_vlookup,4,FALSE)+VLOOKUP(Table2[[#This Row],[Visitor/Neutral]],rtg_vlookup,4,FALSE)</f>
        <v>-6.5251184834123306</v>
      </c>
      <c r="W296" s="25"/>
      <c r="X296" s="2"/>
      <c r="Y296" s="2">
        <f>Table2[[#This Row],[Away EV]]-Table2[[#This Row],[Home EV]]</f>
        <v>-3.7463990166030783</v>
      </c>
      <c r="Z296" s="33"/>
      <c r="AA296" s="34"/>
      <c r="AB296" s="5" t="b">
        <f>IF(VLOOKUP(Table2[[#This Row],[Home/Neutral]],division_lookup,9,FALSE)=VLOOKUP(Table2[[#This Row],[Visitor/Neutral]],division_lookup,9,FALSE),TRUE,FALSE)</f>
        <v>0</v>
      </c>
      <c r="AC296" s="19" t="str">
        <f>VLOOKUP(Table2[[#This Row],[Home/Neutral]],division_lookup,9,FALSE)</f>
        <v>C</v>
      </c>
      <c r="AD296" s="19"/>
      <c r="AE296" s="19" t="str">
        <f>IF(Table2[[#This Row],[Total EV ®]]&lt;Table2[[#This Row],[Total (V)]],"UNDER","OVER")</f>
        <v>OVER</v>
      </c>
      <c r="AF296" s="30">
        <f>Table2[[#This Row],[(A) Spread]]-Table2[[#This Row],[Spread (V)]]</f>
        <v>0</v>
      </c>
      <c r="AG296" s="19"/>
      <c r="AH296" s="2">
        <f>Table2[[#This Row],[EV]]-Table2[[#This Row],[Spread (V)]]</f>
        <v>-3.7463990166030783</v>
      </c>
      <c r="AI296" s="22">
        <f>Table2[[#This Row],[(A)]]-Table2[[#This Row],[Spread]]</f>
        <v>-6.5251184834123306</v>
      </c>
      <c r="AJ296" s="1">
        <f>Table2[[#This Row],[(A) Err]]^2</f>
        <v>42.577171222569234</v>
      </c>
      <c r="AK296" s="6">
        <f>Table2[[#This Row],[EV]]-Table2[[#This Row],[Spread]]</f>
        <v>-3.7463990166030783</v>
      </c>
      <c r="AL296" s="1">
        <f>Table2[[#This Row],[EV Err]]^2</f>
        <v>14.035505591604512</v>
      </c>
    </row>
    <row r="297" spans="1:38" x14ac:dyDescent="0.25">
      <c r="A297" t="s">
        <v>81</v>
      </c>
      <c r="B297" t="s">
        <v>39</v>
      </c>
      <c r="C297" t="s">
        <v>26</v>
      </c>
      <c r="K297" s="25">
        <f>(Table2[[#This Row],[Home Pace]]/100)*(VLOOKUP(Table2[[#This Row],[Home/Neutral]],home_lookup,8,FALSE)+VLOOKUP(Table2[[#This Row],[Home/Neutral]],OFR_lookup,2,FALSE)+VLOOKUP(Table2[[#This Row],[Visitor/Neutral]],def_diff_lookup,6,FALSE))</f>
        <v>109.04402211468579</v>
      </c>
      <c r="L297" s="25"/>
      <c r="M297" s="25">
        <f>(Table2[[#This Row],[Away Pace]]/100)*(VLOOKUP(Table2[[#This Row],[Visitor/Neutral]],OFR_lookup,2,FALSE)+VLOOKUP(Table2[[#This Row],[Home/Neutral]],def_diff_lookup,6,FALSE))</f>
        <v>106.42624000000001</v>
      </c>
      <c r="N297" s="25"/>
      <c r="O297" s="25"/>
      <c r="P297">
        <f>VLOOKUP(Table2[[#This Row],[Home/Neutral]],pace_lookup,7,FALSE)</f>
        <v>97.5</v>
      </c>
      <c r="Q297" s="5">
        <f>VLOOKUP(Table2[[#This Row],[Visitor/Neutral]],pace_lookup,7,FALSE)</f>
        <v>96</v>
      </c>
      <c r="R297" s="9"/>
      <c r="V297" s="2">
        <f>-home-VLOOKUP(Table2[[#This Row],[Home/Neutral]],rtg_vlookup,4,FALSE)+VLOOKUP(Table2[[#This Row],[Visitor/Neutral]],rtg_vlookup,4,FALSE)</f>
        <v>6.3248815165876691</v>
      </c>
      <c r="W297" s="25"/>
      <c r="X297" s="2"/>
      <c r="Y297" s="2">
        <f>Table2[[#This Row],[Away EV]]-Table2[[#This Row],[Home EV]]</f>
        <v>-2.6177821146857809</v>
      </c>
      <c r="Z297" s="33"/>
      <c r="AA297" s="34"/>
      <c r="AB297" s="5" t="b">
        <f>IF(VLOOKUP(Table2[[#This Row],[Home/Neutral]],division_lookup,9,FALSE)=VLOOKUP(Table2[[#This Row],[Visitor/Neutral]],division_lookup,9,FALSE),TRUE,FALSE)</f>
        <v>1</v>
      </c>
      <c r="AC297" s="19" t="str">
        <f>VLOOKUP(Table2[[#This Row],[Home/Neutral]],division_lookup,9,FALSE)</f>
        <v>A</v>
      </c>
      <c r="AD297" s="19"/>
      <c r="AE297" s="19" t="str">
        <f>IF(Table2[[#This Row],[Total EV ®]]&lt;Table2[[#This Row],[Total (V)]],"UNDER","OVER")</f>
        <v>OVER</v>
      </c>
      <c r="AF297" s="30">
        <f>Table2[[#This Row],[(A) Spread]]-Table2[[#This Row],[Spread (V)]]</f>
        <v>0</v>
      </c>
      <c r="AG297" s="19"/>
      <c r="AH297" s="2">
        <f>Table2[[#This Row],[EV]]-Table2[[#This Row],[Spread (V)]]</f>
        <v>-2.6177821146857809</v>
      </c>
      <c r="AI297" s="22">
        <f>Table2[[#This Row],[(A)]]-Table2[[#This Row],[Spread]]</f>
        <v>6.3248815165876691</v>
      </c>
      <c r="AJ297" s="1">
        <f>Table2[[#This Row],[(A) Err]]^2</f>
        <v>40.004126198872335</v>
      </c>
      <c r="AK297" s="6">
        <f>Table2[[#This Row],[EV]]-Table2[[#This Row],[Spread]]</f>
        <v>-2.6177821146857809</v>
      </c>
      <c r="AL297" s="1">
        <f>Table2[[#This Row],[EV Err]]^2</f>
        <v>6.8527831999687594</v>
      </c>
    </row>
    <row r="298" spans="1:38" x14ac:dyDescent="0.25">
      <c r="A298" t="s">
        <v>81</v>
      </c>
      <c r="B298" t="s">
        <v>32</v>
      </c>
      <c r="C298" t="s">
        <v>21</v>
      </c>
      <c r="K298" s="25">
        <f>(Table2[[#This Row],[Home Pace]]/100)*(VLOOKUP(Table2[[#This Row],[Home/Neutral]],home_lookup,8,FALSE)+VLOOKUP(Table2[[#This Row],[Home/Neutral]],OFR_lookup,2,FALSE)+VLOOKUP(Table2[[#This Row],[Visitor/Neutral]],def_diff_lookup,6,FALSE))</f>
        <v>105.5010311200184</v>
      </c>
      <c r="L298" s="25"/>
      <c r="M298" s="25">
        <f>(Table2[[#This Row],[Away Pace]]/100)*(VLOOKUP(Table2[[#This Row],[Visitor/Neutral]],OFR_lookup,2,FALSE)+VLOOKUP(Table2[[#This Row],[Home/Neutral]],def_diff_lookup,6,FALSE))</f>
        <v>101.28446800000002</v>
      </c>
      <c r="N298" s="25"/>
      <c r="O298" s="25"/>
      <c r="P298">
        <f>VLOOKUP(Table2[[#This Row],[Home/Neutral]],pace_lookup,7,FALSE)</f>
        <v>98.6</v>
      </c>
      <c r="Q298" s="5">
        <f>VLOOKUP(Table2[[#This Row],[Visitor/Neutral]],pace_lookup,7,FALSE)</f>
        <v>94.2</v>
      </c>
      <c r="R298" s="9"/>
      <c r="V298" s="2">
        <f>-home-VLOOKUP(Table2[[#This Row],[Home/Neutral]],rtg_vlookup,4,FALSE)+VLOOKUP(Table2[[#This Row],[Visitor/Neutral]],rtg_vlookup,4,FALSE)</f>
        <v>6.4881516587669108E-2</v>
      </c>
      <c r="W298" s="25"/>
      <c r="X298" s="2"/>
      <c r="Y298" s="2">
        <f>Table2[[#This Row],[Away EV]]-Table2[[#This Row],[Home EV]]</f>
        <v>-4.2165631200183782</v>
      </c>
      <c r="Z298" s="33"/>
      <c r="AA298" s="34"/>
      <c r="AB298" s="5" t="b">
        <f>IF(VLOOKUP(Table2[[#This Row],[Home/Neutral]],division_lookup,9,FALSE)=VLOOKUP(Table2[[#This Row],[Visitor/Neutral]],division_lookup,9,FALSE),TRUE,FALSE)</f>
        <v>0</v>
      </c>
      <c r="AC298" s="19" t="str">
        <f>VLOOKUP(Table2[[#This Row],[Home/Neutral]],division_lookup,9,FALSE)</f>
        <v>NW</v>
      </c>
      <c r="AD298" s="19"/>
      <c r="AE298" s="19" t="str">
        <f>IF(Table2[[#This Row],[Total EV ®]]&lt;Table2[[#This Row],[Total (V)]],"UNDER","OVER")</f>
        <v>OVER</v>
      </c>
      <c r="AF298" s="30">
        <f>Table2[[#This Row],[(A) Spread]]-Table2[[#This Row],[Spread (V)]]</f>
        <v>0</v>
      </c>
      <c r="AG298" s="19"/>
      <c r="AH298" s="2">
        <f>Table2[[#This Row],[EV]]-Table2[[#This Row],[Spread (V)]]</f>
        <v>-4.2165631200183782</v>
      </c>
      <c r="AI298" s="22">
        <f>Table2[[#This Row],[(A)]]-Table2[[#This Row],[Spread]]</f>
        <v>6.4881516587669108E-2</v>
      </c>
      <c r="AJ298" s="1">
        <f>Table2[[#This Row],[(A) Err]]^2</f>
        <v>4.2096111947159814E-3</v>
      </c>
      <c r="AK298" s="6">
        <f>Table2[[#This Row],[EV]]-Table2[[#This Row],[Spread]]</f>
        <v>-4.2165631200183782</v>
      </c>
      <c r="AL298" s="1">
        <f>Table2[[#This Row],[EV Err]]^2</f>
        <v>17.779404545099119</v>
      </c>
    </row>
    <row r="299" spans="1:38" x14ac:dyDescent="0.25">
      <c r="A299" t="s">
        <v>81</v>
      </c>
      <c r="B299" t="s">
        <v>14</v>
      </c>
      <c r="C299" t="s">
        <v>11</v>
      </c>
      <c r="K299" s="25">
        <f>(Table2[[#This Row],[Home Pace]]/100)*(VLOOKUP(Table2[[#This Row],[Home/Neutral]],home_lookup,8,FALSE)+VLOOKUP(Table2[[#This Row],[Home/Neutral]],OFR_lookup,2,FALSE)+VLOOKUP(Table2[[#This Row],[Visitor/Neutral]],def_diff_lookup,6,FALSE))</f>
        <v>99.687584142414508</v>
      </c>
      <c r="L299" s="25"/>
      <c r="M299" s="25">
        <f>(Table2[[#This Row],[Away Pace]]/100)*(VLOOKUP(Table2[[#This Row],[Visitor/Neutral]],OFR_lookup,2,FALSE)+VLOOKUP(Table2[[#This Row],[Home/Neutral]],def_diff_lookup,6,FALSE))</f>
        <v>106.40050466666668</v>
      </c>
      <c r="N299" s="25"/>
      <c r="O299" s="25"/>
      <c r="P299">
        <f>VLOOKUP(Table2[[#This Row],[Home/Neutral]],pace_lookup,7,FALSE)</f>
        <v>95.9</v>
      </c>
      <c r="Q299" s="5">
        <f>VLOOKUP(Table2[[#This Row],[Visitor/Neutral]],pace_lookup,7,FALSE)</f>
        <v>99.7</v>
      </c>
      <c r="R299" s="9"/>
      <c r="V299" s="2">
        <f>-home-VLOOKUP(Table2[[#This Row],[Home/Neutral]],rtg_vlookup,4,FALSE)+VLOOKUP(Table2[[#This Row],[Visitor/Neutral]],rtg_vlookup,4,FALSE)</f>
        <v>-1.3751184834123302</v>
      </c>
      <c r="W299" s="25"/>
      <c r="X299" s="2"/>
      <c r="Y299" s="2">
        <f>Table2[[#This Row],[Away EV]]-Table2[[#This Row],[Home EV]]</f>
        <v>6.7129205242521692</v>
      </c>
      <c r="Z299" s="33"/>
      <c r="AA299" s="34"/>
      <c r="AB299" s="5" t="b">
        <f>IF(VLOOKUP(Table2[[#This Row],[Home/Neutral]],division_lookup,9,FALSE)=VLOOKUP(Table2[[#This Row],[Visitor/Neutral]],division_lookup,9,FALSE),TRUE,FALSE)</f>
        <v>0</v>
      </c>
      <c r="AC299" s="19" t="str">
        <f>VLOOKUP(Table2[[#This Row],[Home/Neutral]],division_lookup,9,FALSE)</f>
        <v>A</v>
      </c>
      <c r="AD299" s="19"/>
      <c r="AE299" s="19" t="str">
        <f>IF(Table2[[#This Row],[Total EV ®]]&lt;Table2[[#This Row],[Total (V)]],"UNDER","OVER")</f>
        <v>OVER</v>
      </c>
      <c r="AF299" s="30">
        <f>Table2[[#This Row],[(A) Spread]]-Table2[[#This Row],[Spread (V)]]</f>
        <v>0</v>
      </c>
      <c r="AG299" s="19"/>
      <c r="AH299" s="2">
        <f>Table2[[#This Row],[EV]]-Table2[[#This Row],[Spread (V)]]</f>
        <v>6.7129205242521692</v>
      </c>
      <c r="AI299" s="22">
        <f>Table2[[#This Row],[(A)]]-Table2[[#This Row],[Spread]]</f>
        <v>-1.3751184834123302</v>
      </c>
      <c r="AJ299" s="1">
        <f>Table2[[#This Row],[(A) Err]]^2</f>
        <v>1.8909508434222271</v>
      </c>
      <c r="AK299" s="6">
        <f>Table2[[#This Row],[EV]]-Table2[[#This Row],[Spread]]</f>
        <v>6.7129205242521692</v>
      </c>
      <c r="AL299" s="1">
        <f>Table2[[#This Row],[EV Err]]^2</f>
        <v>45.063301964926019</v>
      </c>
    </row>
    <row r="300" spans="1:38" x14ac:dyDescent="0.25">
      <c r="A300" t="s">
        <v>81</v>
      </c>
      <c r="B300" t="s">
        <v>20</v>
      </c>
      <c r="C300" t="s">
        <v>27</v>
      </c>
      <c r="K300" s="25">
        <f>(Table2[[#This Row],[Home Pace]]/100)*(VLOOKUP(Table2[[#This Row],[Home/Neutral]],home_lookup,8,FALSE)+VLOOKUP(Table2[[#This Row],[Home/Neutral]],OFR_lookup,2,FALSE)+VLOOKUP(Table2[[#This Row],[Visitor/Neutral]],def_diff_lookup,6,FALSE))</f>
        <v>103.52882528915177</v>
      </c>
      <c r="L300" s="25"/>
      <c r="M300" s="25">
        <f>(Table2[[#This Row],[Away Pace]]/100)*(VLOOKUP(Table2[[#This Row],[Visitor/Neutral]],OFR_lookup,2,FALSE)+VLOOKUP(Table2[[#This Row],[Home/Neutral]],def_diff_lookup,6,FALSE))</f>
        <v>102.80226</v>
      </c>
      <c r="N300" s="25"/>
      <c r="O300" s="25"/>
      <c r="P300">
        <f>VLOOKUP(Table2[[#This Row],[Home/Neutral]],pace_lookup,7,FALSE)</f>
        <v>90.9</v>
      </c>
      <c r="Q300" s="5">
        <f>VLOOKUP(Table2[[#This Row],[Visitor/Neutral]],pace_lookup,7,FALSE)</f>
        <v>99</v>
      </c>
      <c r="R300" s="9"/>
      <c r="V300" s="2">
        <f>-home-VLOOKUP(Table2[[#This Row],[Home/Neutral]],rtg_vlookup,4,FALSE)+VLOOKUP(Table2[[#This Row],[Visitor/Neutral]],rtg_vlookup,4,FALSE)</f>
        <v>-5.0551184834123308</v>
      </c>
      <c r="W300" s="25"/>
      <c r="X300" s="2"/>
      <c r="Y300" s="2">
        <f>Table2[[#This Row],[Away EV]]-Table2[[#This Row],[Home EV]]</f>
        <v>-0.72656528915176466</v>
      </c>
      <c r="Z300" s="33"/>
      <c r="AA300" s="34"/>
      <c r="AB300" s="5" t="b">
        <f>IF(VLOOKUP(Table2[[#This Row],[Home/Neutral]],division_lookup,9,FALSE)=VLOOKUP(Table2[[#This Row],[Visitor/Neutral]],division_lookup,9,FALSE),TRUE,FALSE)</f>
        <v>1</v>
      </c>
      <c r="AC300" s="19" t="str">
        <f>VLOOKUP(Table2[[#This Row],[Home/Neutral]],division_lookup,9,FALSE)</f>
        <v>NW</v>
      </c>
      <c r="AD300" s="19"/>
      <c r="AE300" s="19" t="str">
        <f>IF(Table2[[#This Row],[Total EV ®]]&lt;Table2[[#This Row],[Total (V)]],"UNDER","OVER")</f>
        <v>OVER</v>
      </c>
      <c r="AF300" s="30">
        <f>Table2[[#This Row],[(A) Spread]]-Table2[[#This Row],[Spread (V)]]</f>
        <v>0</v>
      </c>
      <c r="AG300" s="19"/>
      <c r="AH300" s="2">
        <f>Table2[[#This Row],[EV]]-Table2[[#This Row],[Spread (V)]]</f>
        <v>-0.72656528915176466</v>
      </c>
      <c r="AI300" s="22">
        <f>Table2[[#This Row],[(A)]]-Table2[[#This Row],[Spread]]</f>
        <v>-5.0551184834123308</v>
      </c>
      <c r="AJ300" s="1">
        <f>Table2[[#This Row],[(A) Err]]^2</f>
        <v>25.554222881336983</v>
      </c>
      <c r="AK300" s="6">
        <f>Table2[[#This Row],[EV]]-Table2[[#This Row],[Spread]]</f>
        <v>-0.72656528915176466</v>
      </c>
      <c r="AL300" s="1">
        <f>Table2[[#This Row],[EV Err]]^2</f>
        <v>0.52789711940018735</v>
      </c>
    </row>
    <row r="301" spans="1:38" x14ac:dyDescent="0.25">
      <c r="A301" t="s">
        <v>82</v>
      </c>
      <c r="B301" t="s">
        <v>25</v>
      </c>
      <c r="C301" t="s">
        <v>38</v>
      </c>
      <c r="K301" s="25">
        <f>(Table2[[#This Row],[Home Pace]]/100)*(VLOOKUP(Table2[[#This Row],[Home/Neutral]],home_lookup,8,FALSE)+VLOOKUP(Table2[[#This Row],[Home/Neutral]],OFR_lookup,2,FALSE)+VLOOKUP(Table2[[#This Row],[Visitor/Neutral]],def_diff_lookup,6,FALSE))</f>
        <v>104.31998444427256</v>
      </c>
      <c r="L301" s="25"/>
      <c r="M301" s="25">
        <f>(Table2[[#This Row],[Away Pace]]/100)*(VLOOKUP(Table2[[#This Row],[Visitor/Neutral]],OFR_lookup,2,FALSE)+VLOOKUP(Table2[[#This Row],[Home/Neutral]],def_diff_lookup,6,FALSE))</f>
        <v>89.53772800000003</v>
      </c>
      <c r="N301" s="25"/>
      <c r="O301" s="25"/>
      <c r="P301">
        <f>VLOOKUP(Table2[[#This Row],[Home/Neutral]],pace_lookup,7,FALSE)</f>
        <v>94.4</v>
      </c>
      <c r="Q301" s="5">
        <f>VLOOKUP(Table2[[#This Row],[Visitor/Neutral]],pace_lookup,7,FALSE)</f>
        <v>94.2</v>
      </c>
      <c r="R301" s="9"/>
      <c r="V301" s="2">
        <f>-home-VLOOKUP(Table2[[#This Row],[Home/Neutral]],rtg_vlookup,4,FALSE)+VLOOKUP(Table2[[#This Row],[Visitor/Neutral]],rtg_vlookup,4,FALSE)</f>
        <v>-11.40511848341233</v>
      </c>
      <c r="W301" s="25"/>
      <c r="X301" s="2"/>
      <c r="Y301" s="2">
        <f>Table2[[#This Row],[Away EV]]-Table2[[#This Row],[Home EV]]</f>
        <v>-14.782256444272534</v>
      </c>
      <c r="Z301" s="33"/>
      <c r="AA301" s="34"/>
      <c r="AB301" s="5" t="b">
        <f>IF(VLOOKUP(Table2[[#This Row],[Home/Neutral]],division_lookup,9,FALSE)=VLOOKUP(Table2[[#This Row],[Visitor/Neutral]],division_lookup,9,FALSE),TRUE,FALSE)</f>
        <v>0</v>
      </c>
      <c r="AC301" s="19" t="str">
        <f>VLOOKUP(Table2[[#This Row],[Home/Neutral]],division_lookup,9,FALSE)</f>
        <v>C</v>
      </c>
      <c r="AD301" s="19"/>
      <c r="AE301" s="19" t="str">
        <f>IF(Table2[[#This Row],[Total EV ®]]&lt;Table2[[#This Row],[Total (V)]],"UNDER","OVER")</f>
        <v>OVER</v>
      </c>
      <c r="AF301" s="30">
        <f>Table2[[#This Row],[(A) Spread]]-Table2[[#This Row],[Spread (V)]]</f>
        <v>0</v>
      </c>
      <c r="AG301" s="19"/>
      <c r="AH301" s="2">
        <f>Table2[[#This Row],[EV]]-Table2[[#This Row],[Spread (V)]]</f>
        <v>-14.782256444272534</v>
      </c>
      <c r="AI301" s="22">
        <f>Table2[[#This Row],[(A)]]-Table2[[#This Row],[Spread]]</f>
        <v>-11.40511848341233</v>
      </c>
      <c r="AJ301" s="1">
        <f>Table2[[#This Row],[(A) Err]]^2</f>
        <v>130.07672762067358</v>
      </c>
      <c r="AK301" s="6">
        <f>Table2[[#This Row],[EV]]-Table2[[#This Row],[Spread]]</f>
        <v>-14.782256444272534</v>
      </c>
      <c r="AL301" s="1">
        <f>Table2[[#This Row],[EV Err]]^2</f>
        <v>218.51510558423686</v>
      </c>
    </row>
    <row r="302" spans="1:38" x14ac:dyDescent="0.25">
      <c r="A302" t="s">
        <v>82</v>
      </c>
      <c r="B302" t="s">
        <v>4</v>
      </c>
      <c r="C302" t="s">
        <v>33</v>
      </c>
      <c r="K302" s="25">
        <f>(Table2[[#This Row],[Home Pace]]/100)*(VLOOKUP(Table2[[#This Row],[Home/Neutral]],home_lookup,8,FALSE)+VLOOKUP(Table2[[#This Row],[Home/Neutral]],OFR_lookup,2,FALSE)+VLOOKUP(Table2[[#This Row],[Visitor/Neutral]],def_diff_lookup,6,FALSE))</f>
        <v>104.70642781393445</v>
      </c>
      <c r="L302" s="25"/>
      <c r="M302" s="25">
        <f>(Table2[[#This Row],[Away Pace]]/100)*(VLOOKUP(Table2[[#This Row],[Visitor/Neutral]],OFR_lookup,2,FALSE)+VLOOKUP(Table2[[#This Row],[Home/Neutral]],def_diff_lookup,6,FALSE))</f>
        <v>95.706374666666662</v>
      </c>
      <c r="N302" s="25"/>
      <c r="O302" s="25"/>
      <c r="P302">
        <f>VLOOKUP(Table2[[#This Row],[Home/Neutral]],pace_lookup,7,FALSE)</f>
        <v>96.6</v>
      </c>
      <c r="Q302" s="5">
        <f>VLOOKUP(Table2[[#This Row],[Visitor/Neutral]],pace_lookup,7,FALSE)</f>
        <v>98.2</v>
      </c>
      <c r="R302" s="9"/>
      <c r="V302" s="2">
        <f>-home-VLOOKUP(Table2[[#This Row],[Home/Neutral]],rtg_vlookup,4,FALSE)+VLOOKUP(Table2[[#This Row],[Visitor/Neutral]],rtg_vlookup,4,FALSE)</f>
        <v>-22.605118483412333</v>
      </c>
      <c r="W302" s="25"/>
      <c r="X302" s="2"/>
      <c r="Y302" s="2">
        <f>Table2[[#This Row],[Away EV]]-Table2[[#This Row],[Home EV]]</f>
        <v>-9.000053147267792</v>
      </c>
      <c r="Z302" s="33"/>
      <c r="AA302" s="34"/>
      <c r="AB302" s="5" t="b">
        <f>IF(VLOOKUP(Table2[[#This Row],[Home/Neutral]],division_lookup,9,FALSE)=VLOOKUP(Table2[[#This Row],[Visitor/Neutral]],division_lookup,9,FALSE),TRUE,FALSE)</f>
        <v>0</v>
      </c>
      <c r="AC302" s="19" t="str">
        <f>VLOOKUP(Table2[[#This Row],[Home/Neutral]],division_lookup,9,FALSE)</f>
        <v>P</v>
      </c>
      <c r="AD302" s="19"/>
      <c r="AE302" s="19" t="str">
        <f>IF(Table2[[#This Row],[Total EV ®]]&lt;Table2[[#This Row],[Total (V)]],"UNDER","OVER")</f>
        <v>OVER</v>
      </c>
      <c r="AF302" s="30">
        <f>Table2[[#This Row],[(A) Spread]]-Table2[[#This Row],[Spread (V)]]</f>
        <v>0</v>
      </c>
      <c r="AG302" s="19"/>
      <c r="AH302" s="2">
        <f>Table2[[#This Row],[EV]]-Table2[[#This Row],[Spread (V)]]</f>
        <v>-9.000053147267792</v>
      </c>
      <c r="AI302" s="22">
        <f>Table2[[#This Row],[(A)]]-Table2[[#This Row],[Spread]]</f>
        <v>-22.605118483412333</v>
      </c>
      <c r="AJ302" s="1">
        <f>Table2[[#This Row],[(A) Err]]^2</f>
        <v>510.99138164910988</v>
      </c>
      <c r="AK302" s="6">
        <f>Table2[[#This Row],[EV]]-Table2[[#This Row],[Spread]]</f>
        <v>-9.000053147267792</v>
      </c>
      <c r="AL302" s="1">
        <f>Table2[[#This Row],[EV Err]]^2</f>
        <v>81.000956653644892</v>
      </c>
    </row>
    <row r="303" spans="1:38" x14ac:dyDescent="0.25">
      <c r="A303" t="s">
        <v>82</v>
      </c>
      <c r="B303" t="s">
        <v>31</v>
      </c>
      <c r="C303" t="s">
        <v>29</v>
      </c>
      <c r="K303" s="25">
        <f>(Table2[[#This Row],[Home Pace]]/100)*(VLOOKUP(Table2[[#This Row],[Home/Neutral]],home_lookup,8,FALSE)+VLOOKUP(Table2[[#This Row],[Home/Neutral]],OFR_lookup,2,FALSE)+VLOOKUP(Table2[[#This Row],[Visitor/Neutral]],def_diff_lookup,6,FALSE))</f>
        <v>113.5389743021789</v>
      </c>
      <c r="L303" s="25"/>
      <c r="M303" s="25">
        <f>(Table2[[#This Row],[Away Pace]]/100)*(VLOOKUP(Table2[[#This Row],[Visitor/Neutral]],OFR_lookup,2,FALSE)+VLOOKUP(Table2[[#This Row],[Home/Neutral]],def_diff_lookup,6,FALSE))</f>
        <v>105.12228533333334</v>
      </c>
      <c r="N303" s="25"/>
      <c r="O303" s="25"/>
      <c r="P303">
        <f>VLOOKUP(Table2[[#This Row],[Home/Neutral]],pace_lookup,7,FALSE)</f>
        <v>96</v>
      </c>
      <c r="Q303" s="5">
        <f>VLOOKUP(Table2[[#This Row],[Visitor/Neutral]],pace_lookup,7,FALSE)</f>
        <v>93.8</v>
      </c>
      <c r="R303" s="9"/>
      <c r="V303" s="2">
        <f>-home-VLOOKUP(Table2[[#This Row],[Home/Neutral]],rtg_vlookup,4,FALSE)+VLOOKUP(Table2[[#This Row],[Visitor/Neutral]],rtg_vlookup,4,FALSE)</f>
        <v>-2.7751184834123306</v>
      </c>
      <c r="W303" s="25"/>
      <c r="X303" s="2"/>
      <c r="Y303" s="2">
        <f>Table2[[#This Row],[Away EV]]-Table2[[#This Row],[Home EV]]</f>
        <v>-8.4166889688455626</v>
      </c>
      <c r="Z303" s="33"/>
      <c r="AA303" s="34"/>
      <c r="AB303" s="5" t="b">
        <f>IF(VLOOKUP(Table2[[#This Row],[Home/Neutral]],division_lookup,9,FALSE)=VLOOKUP(Table2[[#This Row],[Visitor/Neutral]],division_lookup,9,FALSE),TRUE,FALSE)</f>
        <v>0</v>
      </c>
      <c r="AC303" s="19" t="str">
        <f>VLOOKUP(Table2[[#This Row],[Home/Neutral]],division_lookup,9,FALSE)</f>
        <v>A</v>
      </c>
      <c r="AD303" s="19"/>
      <c r="AE303" s="19" t="str">
        <f>IF(Table2[[#This Row],[Total EV ®]]&lt;Table2[[#This Row],[Total (V)]],"UNDER","OVER")</f>
        <v>OVER</v>
      </c>
      <c r="AF303" s="30">
        <f>Table2[[#This Row],[(A) Spread]]-Table2[[#This Row],[Spread (V)]]</f>
        <v>0</v>
      </c>
      <c r="AG303" s="19"/>
      <c r="AH303" s="2">
        <f>Table2[[#This Row],[EV]]-Table2[[#This Row],[Spread (V)]]</f>
        <v>-8.4166889688455626</v>
      </c>
      <c r="AI303" s="22">
        <f>Table2[[#This Row],[(A)]]-Table2[[#This Row],[Spread]]</f>
        <v>-2.7751184834123306</v>
      </c>
      <c r="AJ303" s="1">
        <f>Table2[[#This Row],[(A) Err]]^2</f>
        <v>7.7012825969767533</v>
      </c>
      <c r="AK303" s="6">
        <f>Table2[[#This Row],[EV]]-Table2[[#This Row],[Spread]]</f>
        <v>-8.4166889688455626</v>
      </c>
      <c r="AL303" s="1">
        <f>Table2[[#This Row],[EV Err]]^2</f>
        <v>70.840653198286574</v>
      </c>
    </row>
    <row r="304" spans="1:38" x14ac:dyDescent="0.25">
      <c r="A304" t="s">
        <v>82</v>
      </c>
      <c r="B304" t="s">
        <v>18</v>
      </c>
      <c r="C304" t="s">
        <v>34</v>
      </c>
      <c r="K304" s="25">
        <f>(Table2[[#This Row],[Home Pace]]/100)*(VLOOKUP(Table2[[#This Row],[Home/Neutral]],home_lookup,8,FALSE)+VLOOKUP(Table2[[#This Row],[Home/Neutral]],OFR_lookup,2,FALSE)+VLOOKUP(Table2[[#This Row],[Visitor/Neutral]],def_diff_lookup,6,FALSE))</f>
        <v>102.61655616021132</v>
      </c>
      <c r="L304" s="25"/>
      <c r="M304" s="25">
        <f>(Table2[[#This Row],[Away Pace]]/100)*(VLOOKUP(Table2[[#This Row],[Visitor/Neutral]],OFR_lookup,2,FALSE)+VLOOKUP(Table2[[#This Row],[Home/Neutral]],def_diff_lookup,6,FALSE))</f>
        <v>95.678578666666667</v>
      </c>
      <c r="N304" s="25"/>
      <c r="O304" s="25"/>
      <c r="P304">
        <f>VLOOKUP(Table2[[#This Row],[Home/Neutral]],pace_lookup,7,FALSE)</f>
        <v>99.5</v>
      </c>
      <c r="Q304" s="5">
        <f>VLOOKUP(Table2[[#This Row],[Visitor/Neutral]],pace_lookup,7,FALSE)</f>
        <v>98.8</v>
      </c>
      <c r="R304" s="9"/>
      <c r="V304" s="2">
        <f>-home-VLOOKUP(Table2[[#This Row],[Home/Neutral]],rtg_vlookup,4,FALSE)+VLOOKUP(Table2[[#This Row],[Visitor/Neutral]],rtg_vlookup,4,FALSE)</f>
        <v>-10.08511848341233</v>
      </c>
      <c r="W304" s="25"/>
      <c r="X304" s="2"/>
      <c r="Y304" s="2">
        <f>Table2[[#This Row],[Away EV]]-Table2[[#This Row],[Home EV]]</f>
        <v>-6.9379774935446505</v>
      </c>
      <c r="Z304" s="33"/>
      <c r="AA304" s="34"/>
      <c r="AB304" s="5" t="b">
        <f>IF(VLOOKUP(Table2[[#This Row],[Home/Neutral]],division_lookup,9,FALSE)=VLOOKUP(Table2[[#This Row],[Visitor/Neutral]],division_lookup,9,FALSE),TRUE,FALSE)</f>
        <v>0</v>
      </c>
      <c r="AC304" s="19" t="str">
        <f>VLOOKUP(Table2[[#This Row],[Home/Neutral]],division_lookup,9,FALSE)</f>
        <v>NW</v>
      </c>
      <c r="AD304" s="19"/>
      <c r="AE304" s="19" t="str">
        <f>IF(Table2[[#This Row],[Total EV ®]]&lt;Table2[[#This Row],[Total (V)]],"UNDER","OVER")</f>
        <v>OVER</v>
      </c>
      <c r="AF304" s="30">
        <f>Table2[[#This Row],[(A) Spread]]-Table2[[#This Row],[Spread (V)]]</f>
        <v>0</v>
      </c>
      <c r="AG304" s="19"/>
      <c r="AH304" s="2">
        <f>Table2[[#This Row],[EV]]-Table2[[#This Row],[Spread (V)]]</f>
        <v>-6.9379774935446505</v>
      </c>
      <c r="AI304" s="22">
        <f>Table2[[#This Row],[(A)]]-Table2[[#This Row],[Spread]]</f>
        <v>-10.08511848341233</v>
      </c>
      <c r="AJ304" s="1">
        <f>Table2[[#This Row],[(A) Err]]^2</f>
        <v>101.70961482446502</v>
      </c>
      <c r="AK304" s="6">
        <f>Table2[[#This Row],[EV]]-Table2[[#This Row],[Spread]]</f>
        <v>-6.9379774935446505</v>
      </c>
      <c r="AL304" s="1">
        <f>Table2[[#This Row],[EV Err]]^2</f>
        <v>48.135531700932113</v>
      </c>
    </row>
    <row r="305" spans="1:38" x14ac:dyDescent="0.25">
      <c r="A305" t="s">
        <v>83</v>
      </c>
      <c r="B305" t="s">
        <v>11</v>
      </c>
      <c r="C305" t="s">
        <v>18</v>
      </c>
      <c r="K305" s="25">
        <f>(Table2[[#This Row],[Home Pace]]/100)*(VLOOKUP(Table2[[#This Row],[Home/Neutral]],home_lookup,8,FALSE)+VLOOKUP(Table2[[#This Row],[Home/Neutral]],OFR_lookup,2,FALSE)+VLOOKUP(Table2[[#This Row],[Visitor/Neutral]],def_diff_lookup,6,FALSE))</f>
        <v>94.342919044072815</v>
      </c>
      <c r="L305" s="25"/>
      <c r="M305" s="25">
        <f>(Table2[[#This Row],[Away Pace]]/100)*(VLOOKUP(Table2[[#This Row],[Visitor/Neutral]],OFR_lookup,2,FALSE)+VLOOKUP(Table2[[#This Row],[Home/Neutral]],def_diff_lookup,6,FALSE))</f>
        <v>96.177363333333346</v>
      </c>
      <c r="N305" s="25"/>
      <c r="O305" s="25"/>
      <c r="P305">
        <f>VLOOKUP(Table2[[#This Row],[Home/Neutral]],pace_lookup,7,FALSE)</f>
        <v>99.7</v>
      </c>
      <c r="Q305" s="5">
        <f>VLOOKUP(Table2[[#This Row],[Visitor/Neutral]],pace_lookup,7,FALSE)</f>
        <v>99.5</v>
      </c>
      <c r="R305" s="9"/>
      <c r="V305" s="2">
        <f>-home-VLOOKUP(Table2[[#This Row],[Home/Neutral]],rtg_vlookup,4,FALSE)+VLOOKUP(Table2[[#This Row],[Visitor/Neutral]],rtg_vlookup,4,FALSE)</f>
        <v>-6.715118483412331</v>
      </c>
      <c r="W305" s="25"/>
      <c r="X305" s="2"/>
      <c r="Y305" s="2">
        <f>Table2[[#This Row],[Away EV]]-Table2[[#This Row],[Home EV]]</f>
        <v>1.8344442892605315</v>
      </c>
      <c r="Z305" s="33"/>
      <c r="AA305" s="34"/>
      <c r="AB305" s="5" t="b">
        <f>IF(VLOOKUP(Table2[[#This Row],[Home/Neutral]],division_lookup,9,FALSE)=VLOOKUP(Table2[[#This Row],[Visitor/Neutral]],division_lookup,9,FALSE),TRUE,FALSE)</f>
        <v>0</v>
      </c>
      <c r="AC305" s="19" t="str">
        <f>VLOOKUP(Table2[[#This Row],[Home/Neutral]],division_lookup,9,FALSE)</f>
        <v>SE</v>
      </c>
      <c r="AD305" s="19"/>
      <c r="AE305" s="19" t="str">
        <f>IF(Table2[[#This Row],[Total EV ®]]&lt;Table2[[#This Row],[Total (V)]],"UNDER","OVER")</f>
        <v>OVER</v>
      </c>
      <c r="AF305" s="30">
        <f>Table2[[#This Row],[(A) Spread]]-Table2[[#This Row],[Spread (V)]]</f>
        <v>0</v>
      </c>
      <c r="AG305" s="19"/>
      <c r="AH305" s="2">
        <f>Table2[[#This Row],[EV]]-Table2[[#This Row],[Spread (V)]]</f>
        <v>1.8344442892605315</v>
      </c>
      <c r="AI305" s="22">
        <f>Table2[[#This Row],[(A)]]-Table2[[#This Row],[Spread]]</f>
        <v>-6.715118483412331</v>
      </c>
      <c r="AJ305" s="1">
        <f>Table2[[#This Row],[(A) Err]]^2</f>
        <v>45.092816246265926</v>
      </c>
      <c r="AK305" s="6">
        <f>Table2[[#This Row],[EV]]-Table2[[#This Row],[Spread]]</f>
        <v>1.8344442892605315</v>
      </c>
      <c r="AL305" s="1">
        <f>Table2[[#This Row],[EV Err]]^2</f>
        <v>3.3651858504005765</v>
      </c>
    </row>
    <row r="306" spans="1:38" x14ac:dyDescent="0.25">
      <c r="A306" t="s">
        <v>83</v>
      </c>
      <c r="B306" t="s">
        <v>35</v>
      </c>
      <c r="C306" t="s">
        <v>28</v>
      </c>
      <c r="K306" s="25">
        <f>(Table2[[#This Row],[Home Pace]]/100)*(VLOOKUP(Table2[[#This Row],[Home/Neutral]],home_lookup,8,FALSE)+VLOOKUP(Table2[[#This Row],[Home/Neutral]],OFR_lookup,2,FALSE)+VLOOKUP(Table2[[#This Row],[Visitor/Neutral]],def_diff_lookup,6,FALSE))</f>
        <v>110.66561121209625</v>
      </c>
      <c r="L306" s="25"/>
      <c r="M306" s="25">
        <f>(Table2[[#This Row],[Away Pace]]/100)*(VLOOKUP(Table2[[#This Row],[Visitor/Neutral]],OFR_lookup,2,FALSE)+VLOOKUP(Table2[[#This Row],[Home/Neutral]],def_diff_lookup,6,FALSE))</f>
        <v>106.84549199999999</v>
      </c>
      <c r="N306" s="25"/>
      <c r="O306" s="25"/>
      <c r="P306">
        <f>VLOOKUP(Table2[[#This Row],[Home/Neutral]],pace_lookup,7,FALSE)</f>
        <v>102.2</v>
      </c>
      <c r="Q306" s="5">
        <f>VLOOKUP(Table2[[#This Row],[Visitor/Neutral]],pace_lookup,7,FALSE)</f>
        <v>96.3</v>
      </c>
      <c r="R306" s="9"/>
      <c r="V306" s="2">
        <f>-home-VLOOKUP(Table2[[#This Row],[Home/Neutral]],rtg_vlookup,4,FALSE)+VLOOKUP(Table2[[#This Row],[Visitor/Neutral]],rtg_vlookup,4,FALSE)</f>
        <v>1.6748815165876687</v>
      </c>
      <c r="W306" s="25"/>
      <c r="X306" s="2"/>
      <c r="Y306" s="2">
        <f>Table2[[#This Row],[Away EV]]-Table2[[#This Row],[Home EV]]</f>
        <v>-3.8201192120962588</v>
      </c>
      <c r="Z306" s="33"/>
      <c r="AA306" s="34"/>
      <c r="AB306" s="5" t="b">
        <f>IF(VLOOKUP(Table2[[#This Row],[Home/Neutral]],division_lookup,9,FALSE)=VLOOKUP(Table2[[#This Row],[Visitor/Neutral]],division_lookup,9,FALSE),TRUE,FALSE)</f>
        <v>0</v>
      </c>
      <c r="AC306" s="19" t="str">
        <f>VLOOKUP(Table2[[#This Row],[Home/Neutral]],division_lookup,9,FALSE)</f>
        <v>A</v>
      </c>
      <c r="AD306" s="19"/>
      <c r="AE306" s="19" t="str">
        <f>IF(Table2[[#This Row],[Total EV ®]]&lt;Table2[[#This Row],[Total (V)]],"UNDER","OVER")</f>
        <v>OVER</v>
      </c>
      <c r="AF306" s="30">
        <f>Table2[[#This Row],[(A) Spread]]-Table2[[#This Row],[Spread (V)]]</f>
        <v>0</v>
      </c>
      <c r="AG306" s="19"/>
      <c r="AH306" s="2">
        <f>Table2[[#This Row],[EV]]-Table2[[#This Row],[Spread (V)]]</f>
        <v>-3.8201192120962588</v>
      </c>
      <c r="AI306" s="22">
        <f>Table2[[#This Row],[(A)]]-Table2[[#This Row],[Spread]]</f>
        <v>1.6748815165876687</v>
      </c>
      <c r="AJ306" s="1">
        <f>Table2[[#This Row],[(A) Err]]^2</f>
        <v>2.8052280946070089</v>
      </c>
      <c r="AK306" s="6">
        <f>Table2[[#This Row],[EV]]-Table2[[#This Row],[Spread]]</f>
        <v>-3.8201192120962588</v>
      </c>
      <c r="AL306" s="1">
        <f>Table2[[#This Row],[EV Err]]^2</f>
        <v>14.593310794626941</v>
      </c>
    </row>
    <row r="307" spans="1:38" x14ac:dyDescent="0.25">
      <c r="A307" t="s">
        <v>83</v>
      </c>
      <c r="B307" t="s">
        <v>13</v>
      </c>
      <c r="C307" t="s">
        <v>32</v>
      </c>
      <c r="K307" s="25">
        <f>(Table2[[#This Row],[Home Pace]]/100)*(VLOOKUP(Table2[[#This Row],[Home/Neutral]],home_lookup,8,FALSE)+VLOOKUP(Table2[[#This Row],[Home/Neutral]],OFR_lookup,2,FALSE)+VLOOKUP(Table2[[#This Row],[Visitor/Neutral]],def_diff_lookup,6,FALSE))</f>
        <v>110.17384108450401</v>
      </c>
      <c r="L307" s="25"/>
      <c r="M307" s="25">
        <f>(Table2[[#This Row],[Away Pace]]/100)*(VLOOKUP(Table2[[#This Row],[Visitor/Neutral]],OFR_lookup,2,FALSE)+VLOOKUP(Table2[[#This Row],[Home/Neutral]],def_diff_lookup,6,FALSE))</f>
        <v>106.28159733333335</v>
      </c>
      <c r="N307" s="25"/>
      <c r="O307" s="25"/>
      <c r="P307">
        <f>VLOOKUP(Table2[[#This Row],[Home/Neutral]],pace_lookup,7,FALSE)</f>
        <v>94.5</v>
      </c>
      <c r="Q307" s="5">
        <f>VLOOKUP(Table2[[#This Row],[Visitor/Neutral]],pace_lookup,7,FALSE)</f>
        <v>98.6</v>
      </c>
      <c r="R307" s="9"/>
      <c r="V307" s="2">
        <f>-home-VLOOKUP(Table2[[#This Row],[Home/Neutral]],rtg_vlookup,4,FALSE)+VLOOKUP(Table2[[#This Row],[Visitor/Neutral]],rtg_vlookup,4,FALSE)</f>
        <v>-11.24511848341233</v>
      </c>
      <c r="W307" s="25"/>
      <c r="X307" s="2"/>
      <c r="Y307" s="2">
        <f>Table2[[#This Row],[Away EV]]-Table2[[#This Row],[Home EV]]</f>
        <v>-3.8922437511706534</v>
      </c>
      <c r="Z307" s="33"/>
      <c r="AA307" s="34"/>
      <c r="AB307" s="5" t="b">
        <f>IF(VLOOKUP(Table2[[#This Row],[Home/Neutral]],division_lookup,9,FALSE)=VLOOKUP(Table2[[#This Row],[Visitor/Neutral]],division_lookup,9,FALSE),TRUE,FALSE)</f>
        <v>0</v>
      </c>
      <c r="AC307" s="19" t="str">
        <f>VLOOKUP(Table2[[#This Row],[Home/Neutral]],division_lookup,9,FALSE)</f>
        <v>C</v>
      </c>
      <c r="AD307" s="19"/>
      <c r="AE307" s="19" t="str">
        <f>IF(Table2[[#This Row],[Total EV ®]]&lt;Table2[[#This Row],[Total (V)]],"UNDER","OVER")</f>
        <v>OVER</v>
      </c>
      <c r="AF307" s="30">
        <f>Table2[[#This Row],[(A) Spread]]-Table2[[#This Row],[Spread (V)]]</f>
        <v>0</v>
      </c>
      <c r="AG307" s="19"/>
      <c r="AH307" s="2">
        <f>Table2[[#This Row],[EV]]-Table2[[#This Row],[Spread (V)]]</f>
        <v>-3.8922437511706534</v>
      </c>
      <c r="AI307" s="22">
        <f>Table2[[#This Row],[(A)]]-Table2[[#This Row],[Spread]]</f>
        <v>-11.24511848341233</v>
      </c>
      <c r="AJ307" s="1">
        <f>Table2[[#This Row],[(A) Err]]^2</f>
        <v>126.45268970598163</v>
      </c>
      <c r="AK307" s="6">
        <f>Table2[[#This Row],[EV]]-Table2[[#This Row],[Spread]]</f>
        <v>-3.8922437511706534</v>
      </c>
      <c r="AL307" s="1">
        <f>Table2[[#This Row],[EV Err]]^2</f>
        <v>15.149561418526998</v>
      </c>
    </row>
    <row r="308" spans="1:38" x14ac:dyDescent="0.25">
      <c r="A308" t="s">
        <v>83</v>
      </c>
      <c r="B308" t="s">
        <v>37</v>
      </c>
      <c r="C308" t="s">
        <v>16</v>
      </c>
      <c r="K308" s="25">
        <f>(Table2[[#This Row],[Home Pace]]/100)*(VLOOKUP(Table2[[#This Row],[Home/Neutral]],home_lookup,8,FALSE)+VLOOKUP(Table2[[#This Row],[Home/Neutral]],OFR_lookup,2,FALSE)+VLOOKUP(Table2[[#This Row],[Visitor/Neutral]],def_diff_lookup,6,FALSE))</f>
        <v>100.74644809362123</v>
      </c>
      <c r="L308" s="25"/>
      <c r="M308" s="25">
        <f>(Table2[[#This Row],[Away Pace]]/100)*(VLOOKUP(Table2[[#This Row],[Visitor/Neutral]],OFR_lookup,2,FALSE)+VLOOKUP(Table2[[#This Row],[Home/Neutral]],def_diff_lookup,6,FALSE))</f>
        <v>101.49815</v>
      </c>
      <c r="N308" s="25"/>
      <c r="O308" s="25"/>
      <c r="P308">
        <f>VLOOKUP(Table2[[#This Row],[Home/Neutral]],pace_lookup,7,FALSE)</f>
        <v>92.1</v>
      </c>
      <c r="Q308" s="5">
        <f>VLOOKUP(Table2[[#This Row],[Visitor/Neutral]],pace_lookup,7,FALSE)</f>
        <v>97.5</v>
      </c>
      <c r="R308" s="9"/>
      <c r="V308" s="2">
        <f>-home-VLOOKUP(Table2[[#This Row],[Home/Neutral]],rtg_vlookup,4,FALSE)+VLOOKUP(Table2[[#This Row],[Visitor/Neutral]],rtg_vlookup,4,FALSE)</f>
        <v>7.3748815165876698</v>
      </c>
      <c r="W308" s="25"/>
      <c r="X308" s="2"/>
      <c r="Y308" s="2">
        <f>Table2[[#This Row],[Away EV]]-Table2[[#This Row],[Home EV]]</f>
        <v>0.75170190637876999</v>
      </c>
      <c r="Z308" s="33"/>
      <c r="AA308" s="34"/>
      <c r="AB308" s="5" t="b">
        <f>IF(VLOOKUP(Table2[[#This Row],[Home/Neutral]],division_lookup,9,FALSE)=VLOOKUP(Table2[[#This Row],[Visitor/Neutral]],division_lookup,9,FALSE),TRUE,FALSE)</f>
        <v>0</v>
      </c>
      <c r="AC308" s="19" t="str">
        <f>VLOOKUP(Table2[[#This Row],[Home/Neutral]],division_lookup,9,FALSE)</f>
        <v>SW</v>
      </c>
      <c r="AD308" s="19"/>
      <c r="AE308" s="19" t="str">
        <f>IF(Table2[[#This Row],[Total EV ®]]&lt;Table2[[#This Row],[Total (V)]],"UNDER","OVER")</f>
        <v>OVER</v>
      </c>
      <c r="AF308" s="30">
        <f>Table2[[#This Row],[(A) Spread]]-Table2[[#This Row],[Spread (V)]]</f>
        <v>0</v>
      </c>
      <c r="AG308" s="19"/>
      <c r="AH308" s="2">
        <f>Table2[[#This Row],[EV]]-Table2[[#This Row],[Spread (V)]]</f>
        <v>0.75170190637876999</v>
      </c>
      <c r="AI308" s="22">
        <f>Table2[[#This Row],[(A)]]-Table2[[#This Row],[Spread]]</f>
        <v>7.3748815165876698</v>
      </c>
      <c r="AJ308" s="1">
        <f>Table2[[#This Row],[(A) Err]]^2</f>
        <v>54.388877383706451</v>
      </c>
      <c r="AK308" s="6">
        <f>Table2[[#This Row],[EV]]-Table2[[#This Row],[Spread]]</f>
        <v>0.75170190637876999</v>
      </c>
      <c r="AL308" s="1">
        <f>Table2[[#This Row],[EV Err]]^2</f>
        <v>0.56505575605347713</v>
      </c>
    </row>
    <row r="309" spans="1:38" x14ac:dyDescent="0.25">
      <c r="A309" t="s">
        <v>83</v>
      </c>
      <c r="B309" t="s">
        <v>10</v>
      </c>
      <c r="C309" t="s">
        <v>33</v>
      </c>
      <c r="K309" s="25">
        <f>(Table2[[#This Row],[Home Pace]]/100)*(VLOOKUP(Table2[[#This Row],[Home/Neutral]],home_lookup,8,FALSE)+VLOOKUP(Table2[[#This Row],[Home/Neutral]],OFR_lookup,2,FALSE)+VLOOKUP(Table2[[#This Row],[Visitor/Neutral]],def_diff_lookup,6,FALSE))</f>
        <v>109.68377853790561</v>
      </c>
      <c r="L309" s="25"/>
      <c r="M309" s="25">
        <f>(Table2[[#This Row],[Away Pace]]/100)*(VLOOKUP(Table2[[#This Row],[Visitor/Neutral]],OFR_lookup,2,FALSE)+VLOOKUP(Table2[[#This Row],[Home/Neutral]],def_diff_lookup,6,FALSE))</f>
        <v>103.22849466666666</v>
      </c>
      <c r="N309" s="25"/>
      <c r="O309" s="25"/>
      <c r="P309">
        <f>VLOOKUP(Table2[[#This Row],[Home/Neutral]],pace_lookup,7,FALSE)</f>
        <v>100.3</v>
      </c>
      <c r="Q309" s="5">
        <f>VLOOKUP(Table2[[#This Row],[Visitor/Neutral]],pace_lookup,7,FALSE)</f>
        <v>98.2</v>
      </c>
      <c r="R309" s="9"/>
      <c r="V309" s="2">
        <f>-home-VLOOKUP(Table2[[#This Row],[Home/Neutral]],rtg_vlookup,4,FALSE)+VLOOKUP(Table2[[#This Row],[Visitor/Neutral]],rtg_vlookup,4,FALSE)</f>
        <v>-16.44511848341233</v>
      </c>
      <c r="W309" s="25"/>
      <c r="X309" s="2"/>
      <c r="Y309" s="2">
        <f>Table2[[#This Row],[Away EV]]-Table2[[#This Row],[Home EV]]</f>
        <v>-6.4552838712389473</v>
      </c>
      <c r="Z309" s="33"/>
      <c r="AA309" s="34"/>
      <c r="AB309" s="5" t="b">
        <f>IF(VLOOKUP(Table2[[#This Row],[Home/Neutral]],division_lookup,9,FALSE)=VLOOKUP(Table2[[#This Row],[Visitor/Neutral]],division_lookup,9,FALSE),TRUE,FALSE)</f>
        <v>0</v>
      </c>
      <c r="AC309" s="19" t="str">
        <f>VLOOKUP(Table2[[#This Row],[Home/Neutral]],division_lookup,9,FALSE)</f>
        <v>P</v>
      </c>
      <c r="AD309" s="19"/>
      <c r="AE309" s="19" t="str">
        <f>IF(Table2[[#This Row],[Total EV ®]]&lt;Table2[[#This Row],[Total (V)]],"UNDER","OVER")</f>
        <v>OVER</v>
      </c>
      <c r="AF309" s="30">
        <f>Table2[[#This Row],[(A) Spread]]-Table2[[#This Row],[Spread (V)]]</f>
        <v>0</v>
      </c>
      <c r="AG309" s="19"/>
      <c r="AH309" s="2">
        <f>Table2[[#This Row],[EV]]-Table2[[#This Row],[Spread (V)]]</f>
        <v>-6.4552838712389473</v>
      </c>
      <c r="AI309" s="22">
        <f>Table2[[#This Row],[(A)]]-Table2[[#This Row],[Spread]]</f>
        <v>-16.44511848341233</v>
      </c>
      <c r="AJ309" s="1">
        <f>Table2[[#This Row],[(A) Err]]^2</f>
        <v>270.44192193346981</v>
      </c>
      <c r="AK309" s="6">
        <f>Table2[[#This Row],[EV]]-Table2[[#This Row],[Spread]]</f>
        <v>-6.4552838712389473</v>
      </c>
      <c r="AL309" s="1">
        <f>Table2[[#This Row],[EV Err]]^2</f>
        <v>41.67068985827769</v>
      </c>
    </row>
    <row r="310" spans="1:38" x14ac:dyDescent="0.25">
      <c r="A310" t="s">
        <v>83</v>
      </c>
      <c r="B310" t="s">
        <v>17</v>
      </c>
      <c r="C310" t="s">
        <v>26</v>
      </c>
      <c r="K310" s="25">
        <f>(Table2[[#This Row],[Home Pace]]/100)*(VLOOKUP(Table2[[#This Row],[Home/Neutral]],home_lookup,8,FALSE)+VLOOKUP(Table2[[#This Row],[Home/Neutral]],OFR_lookup,2,FALSE)+VLOOKUP(Table2[[#This Row],[Visitor/Neutral]],def_diff_lookup,6,FALSE))</f>
        <v>110.98977692873545</v>
      </c>
      <c r="L310" s="25"/>
      <c r="M310" s="25">
        <f>(Table2[[#This Row],[Away Pace]]/100)*(VLOOKUP(Table2[[#This Row],[Visitor/Neutral]],OFR_lookup,2,FALSE)+VLOOKUP(Table2[[#This Row],[Home/Neutral]],def_diff_lookup,6,FALSE))</f>
        <v>106.67584000000001</v>
      </c>
      <c r="N310" s="25"/>
      <c r="O310" s="25"/>
      <c r="P310">
        <f>VLOOKUP(Table2[[#This Row],[Home/Neutral]],pace_lookup,7,FALSE)</f>
        <v>96.7</v>
      </c>
      <c r="Q310" s="5">
        <f>VLOOKUP(Table2[[#This Row],[Visitor/Neutral]],pace_lookup,7,FALSE)</f>
        <v>96</v>
      </c>
      <c r="R310" s="9"/>
      <c r="V310" s="2">
        <f>-home-VLOOKUP(Table2[[#This Row],[Home/Neutral]],rtg_vlookup,4,FALSE)+VLOOKUP(Table2[[#This Row],[Visitor/Neutral]],rtg_vlookup,4,FALSE)</f>
        <v>-7.1851184834123307</v>
      </c>
      <c r="W310" s="25"/>
      <c r="X310" s="2"/>
      <c r="Y310" s="2">
        <f>Table2[[#This Row],[Away EV]]-Table2[[#This Row],[Home EV]]</f>
        <v>-4.3139369287354441</v>
      </c>
      <c r="Z310" s="33"/>
      <c r="AA310" s="34"/>
      <c r="AB310" s="5" t="b">
        <f>IF(VLOOKUP(Table2[[#This Row],[Home/Neutral]],division_lookup,9,FALSE)=VLOOKUP(Table2[[#This Row],[Visitor/Neutral]],division_lookup,9,FALSE),TRUE,FALSE)</f>
        <v>0</v>
      </c>
      <c r="AC310" s="19" t="str">
        <f>VLOOKUP(Table2[[#This Row],[Home/Neutral]],division_lookup,9,FALSE)</f>
        <v>SW</v>
      </c>
      <c r="AD310" s="19"/>
      <c r="AE310" s="19" t="str">
        <f>IF(Table2[[#This Row],[Total EV ®]]&lt;Table2[[#This Row],[Total (V)]],"UNDER","OVER")</f>
        <v>OVER</v>
      </c>
      <c r="AF310" s="30">
        <f>Table2[[#This Row],[(A) Spread]]-Table2[[#This Row],[Spread (V)]]</f>
        <v>0</v>
      </c>
      <c r="AG310" s="19"/>
      <c r="AH310" s="2">
        <f>Table2[[#This Row],[EV]]-Table2[[#This Row],[Spread (V)]]</f>
        <v>-4.3139369287354441</v>
      </c>
      <c r="AI310" s="22">
        <f>Table2[[#This Row],[(A)]]-Table2[[#This Row],[Spread]]</f>
        <v>-7.1851184834123307</v>
      </c>
      <c r="AJ310" s="1">
        <f>Table2[[#This Row],[(A) Err]]^2</f>
        <v>51.625927620673508</v>
      </c>
      <c r="AK310" s="6">
        <f>Table2[[#This Row],[EV]]-Table2[[#This Row],[Spread]]</f>
        <v>-4.3139369287354441</v>
      </c>
      <c r="AL310" s="1">
        <f>Table2[[#This Row],[EV Err]]^2</f>
        <v>18.610051825107398</v>
      </c>
    </row>
    <row r="311" spans="1:38" x14ac:dyDescent="0.25">
      <c r="A311" t="s">
        <v>83</v>
      </c>
      <c r="B311" t="s">
        <v>24</v>
      </c>
      <c r="C311" t="s">
        <v>20</v>
      </c>
      <c r="K311" s="25">
        <f>(Table2[[#This Row],[Home Pace]]/100)*(VLOOKUP(Table2[[#This Row],[Home/Neutral]],home_lookup,8,FALSE)+VLOOKUP(Table2[[#This Row],[Home/Neutral]],OFR_lookup,2,FALSE)+VLOOKUP(Table2[[#This Row],[Visitor/Neutral]],def_diff_lookup,6,FALSE))</f>
        <v>107.72796432830941</v>
      </c>
      <c r="L311" s="25"/>
      <c r="M311" s="25">
        <f>(Table2[[#This Row],[Away Pace]]/100)*(VLOOKUP(Table2[[#This Row],[Visitor/Neutral]],OFR_lookup,2,FALSE)+VLOOKUP(Table2[[#This Row],[Home/Neutral]],def_diff_lookup,6,FALSE))</f>
        <v>100.49964600000001</v>
      </c>
      <c r="N311" s="25"/>
      <c r="O311" s="25"/>
      <c r="P311">
        <f>VLOOKUP(Table2[[#This Row],[Home/Neutral]],pace_lookup,7,FALSE)</f>
        <v>99.9</v>
      </c>
      <c r="Q311" s="5">
        <f>VLOOKUP(Table2[[#This Row],[Visitor/Neutral]],pace_lookup,7,FALSE)</f>
        <v>90.9</v>
      </c>
      <c r="R311" s="9"/>
      <c r="V311" s="2">
        <f>-home-VLOOKUP(Table2[[#This Row],[Home/Neutral]],rtg_vlookup,4,FALSE)+VLOOKUP(Table2[[#This Row],[Visitor/Neutral]],rtg_vlookup,4,FALSE)</f>
        <v>-1.2451184834123306</v>
      </c>
      <c r="W311" s="25"/>
      <c r="X311" s="2"/>
      <c r="Y311" s="2">
        <f>Table2[[#This Row],[Away EV]]-Table2[[#This Row],[Home EV]]</f>
        <v>-7.228318328309399</v>
      </c>
      <c r="Z311" s="33"/>
      <c r="AA311" s="34"/>
      <c r="AB311" s="5" t="b">
        <f>IF(VLOOKUP(Table2[[#This Row],[Home/Neutral]],division_lookup,9,FALSE)=VLOOKUP(Table2[[#This Row],[Visitor/Neutral]],division_lookup,9,FALSE),TRUE,FALSE)</f>
        <v>0</v>
      </c>
      <c r="AC311" s="19" t="str">
        <f>VLOOKUP(Table2[[#This Row],[Home/Neutral]],division_lookup,9,FALSE)</f>
        <v>P</v>
      </c>
      <c r="AD311" s="19"/>
      <c r="AE311" s="19" t="str">
        <f>IF(Table2[[#This Row],[Total EV ®]]&lt;Table2[[#This Row],[Total (V)]],"UNDER","OVER")</f>
        <v>OVER</v>
      </c>
      <c r="AF311" s="30">
        <f>Table2[[#This Row],[(A) Spread]]-Table2[[#This Row],[Spread (V)]]</f>
        <v>0</v>
      </c>
      <c r="AG311" s="19"/>
      <c r="AH311" s="2">
        <f>Table2[[#This Row],[EV]]-Table2[[#This Row],[Spread (V)]]</f>
        <v>-7.228318328309399</v>
      </c>
      <c r="AI311" s="22">
        <f>Table2[[#This Row],[(A)]]-Table2[[#This Row],[Spread]]</f>
        <v>-1.2451184834123306</v>
      </c>
      <c r="AJ311" s="1">
        <f>Table2[[#This Row],[(A) Err]]^2</f>
        <v>1.5503200377350221</v>
      </c>
      <c r="AK311" s="6">
        <f>Table2[[#This Row],[EV]]-Table2[[#This Row],[Spread]]</f>
        <v>-7.228318328309399</v>
      </c>
      <c r="AL311" s="1">
        <f>Table2[[#This Row],[EV Err]]^2</f>
        <v>52.248585855373584</v>
      </c>
    </row>
    <row r="312" spans="1:38" x14ac:dyDescent="0.25">
      <c r="A312" t="s">
        <v>83</v>
      </c>
      <c r="B312" t="s">
        <v>30</v>
      </c>
      <c r="C312" t="s">
        <v>6</v>
      </c>
      <c r="K312" s="25">
        <f>(Table2[[#This Row],[Home Pace]]/100)*(VLOOKUP(Table2[[#This Row],[Home/Neutral]],home_lookup,8,FALSE)+VLOOKUP(Table2[[#This Row],[Home/Neutral]],OFR_lookup,2,FALSE)+VLOOKUP(Table2[[#This Row],[Visitor/Neutral]],def_diff_lookup,6,FALSE))</f>
        <v>105.88592034993646</v>
      </c>
      <c r="L312" s="25"/>
      <c r="M312" s="25">
        <f>(Table2[[#This Row],[Away Pace]]/100)*(VLOOKUP(Table2[[#This Row],[Visitor/Neutral]],OFR_lookup,2,FALSE)+VLOOKUP(Table2[[#This Row],[Home/Neutral]],def_diff_lookup,6,FALSE))</f>
        <v>105.14776066666668</v>
      </c>
      <c r="N312" s="25"/>
      <c r="O312" s="25"/>
      <c r="P312">
        <f>VLOOKUP(Table2[[#This Row],[Home/Neutral]],pace_lookup,7,FALSE)</f>
        <v>96.8</v>
      </c>
      <c r="Q312" s="5">
        <f>VLOOKUP(Table2[[#This Row],[Visitor/Neutral]],pace_lookup,7,FALSE)</f>
        <v>93.1</v>
      </c>
      <c r="R312" s="9"/>
      <c r="V312" s="2">
        <f>-home-VLOOKUP(Table2[[#This Row],[Home/Neutral]],rtg_vlookup,4,FALSE)+VLOOKUP(Table2[[#This Row],[Visitor/Neutral]],rtg_vlookup,4,FALSE)</f>
        <v>6.784881516587669</v>
      </c>
      <c r="W312" s="25"/>
      <c r="X312" s="2"/>
      <c r="Y312" s="2">
        <f>Table2[[#This Row],[Away EV]]-Table2[[#This Row],[Home EV]]</f>
        <v>-0.73815968326977099</v>
      </c>
      <c r="Z312" s="33"/>
      <c r="AA312" s="34"/>
      <c r="AB312" s="5" t="b">
        <f>IF(VLOOKUP(Table2[[#This Row],[Home/Neutral]],division_lookup,9,FALSE)=VLOOKUP(Table2[[#This Row],[Visitor/Neutral]],division_lookup,9,FALSE),TRUE,FALSE)</f>
        <v>0</v>
      </c>
      <c r="AC312" s="19" t="str">
        <f>VLOOKUP(Table2[[#This Row],[Home/Neutral]],division_lookup,9,FALSE)</f>
        <v>C</v>
      </c>
      <c r="AD312" s="19"/>
      <c r="AE312" s="19" t="str">
        <f>IF(Table2[[#This Row],[Total EV ®]]&lt;Table2[[#This Row],[Total (V)]],"UNDER","OVER")</f>
        <v>OVER</v>
      </c>
      <c r="AF312" s="30">
        <f>Table2[[#This Row],[(A) Spread]]-Table2[[#This Row],[Spread (V)]]</f>
        <v>0</v>
      </c>
      <c r="AG312" s="19"/>
      <c r="AH312" s="2">
        <f>Table2[[#This Row],[EV]]-Table2[[#This Row],[Spread (V)]]</f>
        <v>-0.73815968326977099</v>
      </c>
      <c r="AI312" s="22">
        <f>Table2[[#This Row],[(A)]]-Table2[[#This Row],[Spread]]</f>
        <v>6.784881516587669</v>
      </c>
      <c r="AJ312" s="1">
        <f>Table2[[#This Row],[(A) Err]]^2</f>
        <v>46.034617194132984</v>
      </c>
      <c r="AK312" s="6">
        <f>Table2[[#This Row],[EV]]-Table2[[#This Row],[Spread]]</f>
        <v>-0.73815968326977099</v>
      </c>
      <c r="AL312" s="1">
        <f>Table2[[#This Row],[EV Err]]^2</f>
        <v>0.54487971800492863</v>
      </c>
    </row>
    <row r="313" spans="1:38" x14ac:dyDescent="0.25">
      <c r="A313" t="s">
        <v>83</v>
      </c>
      <c r="B313" t="s">
        <v>34</v>
      </c>
      <c r="C313" t="s">
        <v>23</v>
      </c>
      <c r="K313" s="25">
        <f>(Table2[[#This Row],[Home Pace]]/100)*(VLOOKUP(Table2[[#This Row],[Home/Neutral]],home_lookup,8,FALSE)+VLOOKUP(Table2[[#This Row],[Home/Neutral]],OFR_lookup,2,FALSE)+VLOOKUP(Table2[[#This Row],[Visitor/Neutral]],def_diff_lookup,6,FALSE))</f>
        <v>100.57023864565556</v>
      </c>
      <c r="L313" s="25"/>
      <c r="M313" s="25">
        <f>(Table2[[#This Row],[Away Pace]]/100)*(VLOOKUP(Table2[[#This Row],[Visitor/Neutral]],OFR_lookup,2,FALSE)+VLOOKUP(Table2[[#This Row],[Home/Neutral]],def_diff_lookup,6,FALSE))</f>
        <v>96.256116666666685</v>
      </c>
      <c r="N313" s="25"/>
      <c r="O313" s="25"/>
      <c r="P313">
        <f>VLOOKUP(Table2[[#This Row],[Home/Neutral]],pace_lookup,7,FALSE)</f>
        <v>98.8</v>
      </c>
      <c r="Q313" s="5">
        <f>VLOOKUP(Table2[[#This Row],[Visitor/Neutral]],pace_lookup,7,FALSE)</f>
        <v>92.5</v>
      </c>
      <c r="R313" s="9"/>
      <c r="V313" s="2">
        <f>-home-VLOOKUP(Table2[[#This Row],[Home/Neutral]],rtg_vlookup,4,FALSE)+VLOOKUP(Table2[[#This Row],[Visitor/Neutral]],rtg_vlookup,4,FALSE)</f>
        <v>4.704881516587669</v>
      </c>
      <c r="W313" s="25"/>
      <c r="X313" s="2"/>
      <c r="Y313" s="2">
        <f>Table2[[#This Row],[Away EV]]-Table2[[#This Row],[Home EV]]</f>
        <v>-4.3141219789888794</v>
      </c>
      <c r="Z313" s="33"/>
      <c r="AA313" s="34"/>
      <c r="AB313" s="5" t="b">
        <f>IF(VLOOKUP(Table2[[#This Row],[Home/Neutral]],division_lookup,9,FALSE)=VLOOKUP(Table2[[#This Row],[Visitor/Neutral]],division_lookup,9,FALSE),TRUE,FALSE)</f>
        <v>1</v>
      </c>
      <c r="AC313" s="19" t="str">
        <f>VLOOKUP(Table2[[#This Row],[Home/Neutral]],division_lookup,9,FALSE)</f>
        <v>SW</v>
      </c>
      <c r="AD313" s="19"/>
      <c r="AE313" s="19" t="str">
        <f>IF(Table2[[#This Row],[Total EV ®]]&lt;Table2[[#This Row],[Total (V)]],"UNDER","OVER")</f>
        <v>OVER</v>
      </c>
      <c r="AF313" s="30">
        <f>Table2[[#This Row],[(A) Spread]]-Table2[[#This Row],[Spread (V)]]</f>
        <v>0</v>
      </c>
      <c r="AG313" s="19"/>
      <c r="AH313" s="2">
        <f>Table2[[#This Row],[EV]]-Table2[[#This Row],[Spread (V)]]</f>
        <v>-4.3141219789888794</v>
      </c>
      <c r="AI313" s="22">
        <f>Table2[[#This Row],[(A)]]-Table2[[#This Row],[Spread]]</f>
        <v>4.704881516587669</v>
      </c>
      <c r="AJ313" s="1">
        <f>Table2[[#This Row],[(A) Err]]^2</f>
        <v>22.135910085128284</v>
      </c>
      <c r="AK313" s="6">
        <f>Table2[[#This Row],[EV]]-Table2[[#This Row],[Spread]]</f>
        <v>-4.3141219789888794</v>
      </c>
      <c r="AL313" s="1">
        <f>Table2[[#This Row],[EV Err]]^2</f>
        <v>18.611648449594924</v>
      </c>
    </row>
    <row r="314" spans="1:38" x14ac:dyDescent="0.25">
      <c r="A314" t="s">
        <v>83</v>
      </c>
      <c r="B314" t="s">
        <v>39</v>
      </c>
      <c r="C314" t="s">
        <v>27</v>
      </c>
      <c r="K314" s="25">
        <f>(Table2[[#This Row],[Home Pace]]/100)*(VLOOKUP(Table2[[#This Row],[Home/Neutral]],home_lookup,8,FALSE)+VLOOKUP(Table2[[#This Row],[Home/Neutral]],OFR_lookup,2,FALSE)+VLOOKUP(Table2[[#This Row],[Visitor/Neutral]],def_diff_lookup,6,FALSE))</f>
        <v>106.92827211468578</v>
      </c>
      <c r="L314" s="25"/>
      <c r="M314" s="25">
        <f>(Table2[[#This Row],[Away Pace]]/100)*(VLOOKUP(Table2[[#This Row],[Visitor/Neutral]],OFR_lookup,2,FALSE)+VLOOKUP(Table2[[#This Row],[Home/Neutral]],def_diff_lookup,6,FALSE))</f>
        <v>107.23746</v>
      </c>
      <c r="N314" s="25"/>
      <c r="O314" s="25"/>
      <c r="P314">
        <f>VLOOKUP(Table2[[#This Row],[Home/Neutral]],pace_lookup,7,FALSE)</f>
        <v>97.5</v>
      </c>
      <c r="Q314" s="5">
        <f>VLOOKUP(Table2[[#This Row],[Visitor/Neutral]],pace_lookup,7,FALSE)</f>
        <v>99</v>
      </c>
      <c r="R314" s="9"/>
      <c r="V314" s="2">
        <f>-home-VLOOKUP(Table2[[#This Row],[Home/Neutral]],rtg_vlookup,4,FALSE)+VLOOKUP(Table2[[#This Row],[Visitor/Neutral]],rtg_vlookup,4,FALSE)</f>
        <v>5.954881516587669</v>
      </c>
      <c r="W314" s="25"/>
      <c r="X314" s="2"/>
      <c r="Y314" s="2">
        <f>Table2[[#This Row],[Away EV]]-Table2[[#This Row],[Home EV]]</f>
        <v>0.30918788531421626</v>
      </c>
      <c r="Z314" s="33"/>
      <c r="AA314" s="34"/>
      <c r="AB314" s="5" t="b">
        <f>IF(VLOOKUP(Table2[[#This Row],[Home/Neutral]],division_lookup,9,FALSE)=VLOOKUP(Table2[[#This Row],[Visitor/Neutral]],division_lookup,9,FALSE),TRUE,FALSE)</f>
        <v>0</v>
      </c>
      <c r="AC314" s="19" t="str">
        <f>VLOOKUP(Table2[[#This Row],[Home/Neutral]],division_lookup,9,FALSE)</f>
        <v>A</v>
      </c>
      <c r="AD314" s="19"/>
      <c r="AE314" s="19" t="str">
        <f>IF(Table2[[#This Row],[Total EV ®]]&lt;Table2[[#This Row],[Total (V)]],"UNDER","OVER")</f>
        <v>OVER</v>
      </c>
      <c r="AF314" s="30">
        <f>Table2[[#This Row],[(A) Spread]]-Table2[[#This Row],[Spread (V)]]</f>
        <v>0</v>
      </c>
      <c r="AG314" s="19"/>
      <c r="AH314" s="2">
        <f>Table2[[#This Row],[EV]]-Table2[[#This Row],[Spread (V)]]</f>
        <v>0.30918788531421626</v>
      </c>
      <c r="AI314" s="22">
        <f>Table2[[#This Row],[(A)]]-Table2[[#This Row],[Spread]]</f>
        <v>5.954881516587669</v>
      </c>
      <c r="AJ314" s="1">
        <f>Table2[[#This Row],[(A) Err]]^2</f>
        <v>35.460613876597456</v>
      </c>
      <c r="AK314" s="6">
        <f>Table2[[#This Row],[EV]]-Table2[[#This Row],[Spread]]</f>
        <v>0.30918788531421626</v>
      </c>
      <c r="AL314" s="1">
        <f>Table2[[#This Row],[EV Err]]^2</f>
        <v>9.5597148425076953E-2</v>
      </c>
    </row>
    <row r="315" spans="1:38" x14ac:dyDescent="0.25">
      <c r="A315" t="s">
        <v>83</v>
      </c>
      <c r="B315" t="s">
        <v>14</v>
      </c>
      <c r="C315" t="s">
        <v>8</v>
      </c>
      <c r="K315" s="25">
        <f>(Table2[[#This Row],[Home Pace]]/100)*(VLOOKUP(Table2[[#This Row],[Home/Neutral]],home_lookup,8,FALSE)+VLOOKUP(Table2[[#This Row],[Home/Neutral]],OFR_lookup,2,FALSE)+VLOOKUP(Table2[[#This Row],[Visitor/Neutral]],def_diff_lookup,6,FALSE))</f>
        <v>105.27855414241451</v>
      </c>
      <c r="L315" s="25"/>
      <c r="M315" s="25">
        <f>(Table2[[#This Row],[Away Pace]]/100)*(VLOOKUP(Table2[[#This Row],[Visitor/Neutral]],OFR_lookup,2,FALSE)+VLOOKUP(Table2[[#This Row],[Home/Neutral]],def_diff_lookup,6,FALSE))</f>
        <v>109.91440800000001</v>
      </c>
      <c r="N315" s="25"/>
      <c r="O315" s="25"/>
      <c r="P315">
        <f>VLOOKUP(Table2[[#This Row],[Home/Neutral]],pace_lookup,7,FALSE)</f>
        <v>95.9</v>
      </c>
      <c r="Q315" s="5">
        <f>VLOOKUP(Table2[[#This Row],[Visitor/Neutral]],pace_lookup,7,FALSE)</f>
        <v>97.2</v>
      </c>
      <c r="R315" s="9"/>
      <c r="V315" s="2">
        <f>-home-VLOOKUP(Table2[[#This Row],[Home/Neutral]],rtg_vlookup,4,FALSE)+VLOOKUP(Table2[[#This Row],[Visitor/Neutral]],rtg_vlookup,4,FALSE)</f>
        <v>-0.83511848341233019</v>
      </c>
      <c r="W315" s="25"/>
      <c r="X315" s="2"/>
      <c r="Y315" s="2">
        <f>Table2[[#This Row],[Away EV]]-Table2[[#This Row],[Home EV]]</f>
        <v>4.6358538575855022</v>
      </c>
      <c r="Z315" s="33"/>
      <c r="AA315" s="34"/>
      <c r="AB315" s="5" t="b">
        <f>IF(VLOOKUP(Table2[[#This Row],[Home/Neutral]],division_lookup,9,FALSE)=VLOOKUP(Table2[[#This Row],[Visitor/Neutral]],division_lookup,9,FALSE),TRUE,FALSE)</f>
        <v>0</v>
      </c>
      <c r="AC315" s="19" t="str">
        <f>VLOOKUP(Table2[[#This Row],[Home/Neutral]],division_lookup,9,FALSE)</f>
        <v>A</v>
      </c>
      <c r="AD315" s="19"/>
      <c r="AE315" s="19" t="str">
        <f>IF(Table2[[#This Row],[Total EV ®]]&lt;Table2[[#This Row],[Total (V)]],"UNDER","OVER")</f>
        <v>OVER</v>
      </c>
      <c r="AF315" s="30">
        <f>Table2[[#This Row],[(A) Spread]]-Table2[[#This Row],[Spread (V)]]</f>
        <v>0</v>
      </c>
      <c r="AG315" s="19"/>
      <c r="AH315" s="2">
        <f>Table2[[#This Row],[EV]]-Table2[[#This Row],[Spread (V)]]</f>
        <v>4.6358538575855022</v>
      </c>
      <c r="AI315" s="22">
        <f>Table2[[#This Row],[(A)]]-Table2[[#This Row],[Spread]]</f>
        <v>-0.83511848341233019</v>
      </c>
      <c r="AJ315" s="1">
        <f>Table2[[#This Row],[(A) Err]]^2</f>
        <v>0.69742288133691044</v>
      </c>
      <c r="AK315" s="6">
        <f>Table2[[#This Row],[EV]]-Table2[[#This Row],[Spread]]</f>
        <v>4.6358538575855022</v>
      </c>
      <c r="AL315" s="1">
        <f>Table2[[#This Row],[EV Err]]^2</f>
        <v>21.491140988890383</v>
      </c>
    </row>
    <row r="316" spans="1:38" x14ac:dyDescent="0.25">
      <c r="A316" t="s">
        <v>84</v>
      </c>
      <c r="B316" t="s">
        <v>25</v>
      </c>
      <c r="C316" t="s">
        <v>13</v>
      </c>
      <c r="K316" s="25">
        <f>(Table2[[#This Row],[Home Pace]]/100)*(VLOOKUP(Table2[[#This Row],[Home/Neutral]],home_lookup,8,FALSE)+VLOOKUP(Table2[[#This Row],[Home/Neutral]],OFR_lookup,2,FALSE)+VLOOKUP(Table2[[#This Row],[Visitor/Neutral]],def_diff_lookup,6,FALSE))</f>
        <v>102.62078444427257</v>
      </c>
      <c r="L316" s="25"/>
      <c r="M316" s="25">
        <f>(Table2[[#This Row],[Away Pace]]/100)*(VLOOKUP(Table2[[#This Row],[Visitor/Neutral]],OFR_lookup,2,FALSE)+VLOOKUP(Table2[[#This Row],[Home/Neutral]],def_diff_lookup,6,FALSE))</f>
        <v>101.65428000000001</v>
      </c>
      <c r="N316" s="25"/>
      <c r="O316" s="25"/>
      <c r="P316">
        <f>VLOOKUP(Table2[[#This Row],[Home/Neutral]],pace_lookup,7,FALSE)</f>
        <v>94.4</v>
      </c>
      <c r="Q316" s="5">
        <f>VLOOKUP(Table2[[#This Row],[Visitor/Neutral]],pace_lookup,7,FALSE)</f>
        <v>94.5</v>
      </c>
      <c r="R316" s="9"/>
      <c r="V316" s="2">
        <f>-home-VLOOKUP(Table2[[#This Row],[Home/Neutral]],rtg_vlookup,4,FALSE)+VLOOKUP(Table2[[#This Row],[Visitor/Neutral]],rtg_vlookup,4,FALSE)</f>
        <v>2.9248815165876687</v>
      </c>
      <c r="W316" s="25"/>
      <c r="X316" s="2"/>
      <c r="Y316" s="2">
        <f>Table2[[#This Row],[Away EV]]-Table2[[#This Row],[Home EV]]</f>
        <v>-0.96650444427255877</v>
      </c>
      <c r="Z316" s="33"/>
      <c r="AA316" s="34"/>
      <c r="AB316" s="5" t="b">
        <f>IF(VLOOKUP(Table2[[#This Row],[Home/Neutral]],division_lookup,9,FALSE)=VLOOKUP(Table2[[#This Row],[Visitor/Neutral]],division_lookup,9,FALSE),TRUE,FALSE)</f>
        <v>1</v>
      </c>
      <c r="AC316" s="19" t="str">
        <f>VLOOKUP(Table2[[#This Row],[Home/Neutral]],division_lookup,9,FALSE)</f>
        <v>C</v>
      </c>
      <c r="AD316" s="19"/>
      <c r="AE316" s="19" t="str">
        <f>IF(Table2[[#This Row],[Total EV ®]]&lt;Table2[[#This Row],[Total (V)]],"UNDER","OVER")</f>
        <v>OVER</v>
      </c>
      <c r="AF316" s="30">
        <f>Table2[[#This Row],[(A) Spread]]-Table2[[#This Row],[Spread (V)]]</f>
        <v>0</v>
      </c>
      <c r="AG316" s="19"/>
      <c r="AH316" s="2">
        <f>Table2[[#This Row],[EV]]-Table2[[#This Row],[Spread (V)]]</f>
        <v>-0.96650444427255877</v>
      </c>
      <c r="AI316" s="22">
        <f>Table2[[#This Row],[(A)]]-Table2[[#This Row],[Spread]]</f>
        <v>2.9248815165876687</v>
      </c>
      <c r="AJ316" s="1">
        <f>Table2[[#This Row],[(A) Err]]^2</f>
        <v>8.5549318860761812</v>
      </c>
      <c r="AK316" s="6">
        <f>Table2[[#This Row],[EV]]-Table2[[#This Row],[Spread]]</f>
        <v>-0.96650444427255877</v>
      </c>
      <c r="AL316" s="1">
        <f>Table2[[#This Row],[EV Err]]^2</f>
        <v>0.93413084079860764</v>
      </c>
    </row>
    <row r="317" spans="1:38" x14ac:dyDescent="0.25">
      <c r="A317" t="s">
        <v>84</v>
      </c>
      <c r="B317" t="s">
        <v>23</v>
      </c>
      <c r="C317" t="s">
        <v>39</v>
      </c>
      <c r="K317" s="25">
        <f>(Table2[[#This Row],[Home Pace]]/100)*(VLOOKUP(Table2[[#This Row],[Home/Neutral]],home_lookup,8,FALSE)+VLOOKUP(Table2[[#This Row],[Home/Neutral]],OFR_lookup,2,FALSE)+VLOOKUP(Table2[[#This Row],[Visitor/Neutral]],def_diff_lookup,6,FALSE))</f>
        <v>104.72788735871359</v>
      </c>
      <c r="L317" s="25"/>
      <c r="M317" s="25">
        <f>(Table2[[#This Row],[Away Pace]]/100)*(VLOOKUP(Table2[[#This Row],[Visitor/Neutral]],OFR_lookup,2,FALSE)+VLOOKUP(Table2[[#This Row],[Home/Neutral]],def_diff_lookup,6,FALSE))</f>
        <v>93.288650000000018</v>
      </c>
      <c r="N317" s="25"/>
      <c r="O317" s="25"/>
      <c r="P317">
        <f>VLOOKUP(Table2[[#This Row],[Home/Neutral]],pace_lookup,7,FALSE)</f>
        <v>92.5</v>
      </c>
      <c r="Q317" s="5">
        <f>VLOOKUP(Table2[[#This Row],[Visitor/Neutral]],pace_lookup,7,FALSE)</f>
        <v>97.5</v>
      </c>
      <c r="R317" s="9"/>
      <c r="V317" s="2">
        <f>-home-VLOOKUP(Table2[[#This Row],[Home/Neutral]],rtg_vlookup,4,FALSE)+VLOOKUP(Table2[[#This Row],[Visitor/Neutral]],rtg_vlookup,4,FALSE)</f>
        <v>-14.395118483412331</v>
      </c>
      <c r="W317" s="25"/>
      <c r="X317" s="2"/>
      <c r="Y317" s="2">
        <f>Table2[[#This Row],[Away EV]]-Table2[[#This Row],[Home EV]]</f>
        <v>-11.439237358713569</v>
      </c>
      <c r="Z317" s="33"/>
      <c r="AA317" s="34"/>
      <c r="AB317" s="5" t="b">
        <f>IF(VLOOKUP(Table2[[#This Row],[Home/Neutral]],division_lookup,9,FALSE)=VLOOKUP(Table2[[#This Row],[Visitor/Neutral]],division_lookup,9,FALSE),TRUE,FALSE)</f>
        <v>0</v>
      </c>
      <c r="AC317" s="19" t="str">
        <f>VLOOKUP(Table2[[#This Row],[Home/Neutral]],division_lookup,9,FALSE)</f>
        <v>SW</v>
      </c>
      <c r="AD317" s="19"/>
      <c r="AE317" s="19" t="str">
        <f>IF(Table2[[#This Row],[Total EV ®]]&lt;Table2[[#This Row],[Total (V)]],"UNDER","OVER")</f>
        <v>OVER</v>
      </c>
      <c r="AF317" s="30">
        <f>Table2[[#This Row],[(A) Spread]]-Table2[[#This Row],[Spread (V)]]</f>
        <v>0</v>
      </c>
      <c r="AG317" s="19"/>
      <c r="AH317" s="2">
        <f>Table2[[#This Row],[EV]]-Table2[[#This Row],[Spread (V)]]</f>
        <v>-11.439237358713569</v>
      </c>
      <c r="AI317" s="22">
        <f>Table2[[#This Row],[(A)]]-Table2[[#This Row],[Spread]]</f>
        <v>-14.395118483412331</v>
      </c>
      <c r="AJ317" s="1">
        <f>Table2[[#This Row],[(A) Err]]^2</f>
        <v>207.21943615147933</v>
      </c>
      <c r="AK317" s="6">
        <f>Table2[[#This Row],[EV]]-Table2[[#This Row],[Spread]]</f>
        <v>-11.439237358713569</v>
      </c>
      <c r="AL317" s="1">
        <f>Table2[[#This Row],[EV Err]]^2</f>
        <v>130.85615134898819</v>
      </c>
    </row>
    <row r="318" spans="1:38" x14ac:dyDescent="0.25">
      <c r="A318" t="s">
        <v>84</v>
      </c>
      <c r="B318" t="s">
        <v>21</v>
      </c>
      <c r="C318" t="s">
        <v>31</v>
      </c>
      <c r="K318" s="25">
        <f>(Table2[[#This Row],[Home Pace]]/100)*(VLOOKUP(Table2[[#This Row],[Home/Neutral]],home_lookup,8,FALSE)+VLOOKUP(Table2[[#This Row],[Home/Neutral]],OFR_lookup,2,FALSE)+VLOOKUP(Table2[[#This Row],[Visitor/Neutral]],def_diff_lookup,6,FALSE))</f>
        <v>105.9248511752439</v>
      </c>
      <c r="L318" s="25"/>
      <c r="M318" s="25">
        <f>(Table2[[#This Row],[Away Pace]]/100)*(VLOOKUP(Table2[[#This Row],[Visitor/Neutral]],OFR_lookup,2,FALSE)+VLOOKUP(Table2[[#This Row],[Home/Neutral]],def_diff_lookup,6,FALSE))</f>
        <v>100.81024000000001</v>
      </c>
      <c r="N318" s="25"/>
      <c r="O318" s="25"/>
      <c r="P318">
        <f>VLOOKUP(Table2[[#This Row],[Home/Neutral]],pace_lookup,7,FALSE)</f>
        <v>94.2</v>
      </c>
      <c r="Q318" s="5">
        <f>VLOOKUP(Table2[[#This Row],[Visitor/Neutral]],pace_lookup,7,FALSE)</f>
        <v>96</v>
      </c>
      <c r="R318" s="9"/>
      <c r="V318" s="2">
        <f>-home-VLOOKUP(Table2[[#This Row],[Home/Neutral]],rtg_vlookup,4,FALSE)+VLOOKUP(Table2[[#This Row],[Visitor/Neutral]],rtg_vlookup,4,FALSE)</f>
        <v>-4.8751184834123311</v>
      </c>
      <c r="W318" s="25"/>
      <c r="X318" s="2"/>
      <c r="Y318" s="2">
        <f>Table2[[#This Row],[Away EV]]-Table2[[#This Row],[Home EV]]</f>
        <v>-5.1146111752438941</v>
      </c>
      <c r="Z318" s="33"/>
      <c r="AA318" s="34"/>
      <c r="AB318" s="5" t="b">
        <f>IF(VLOOKUP(Table2[[#This Row],[Home/Neutral]],division_lookup,9,FALSE)=VLOOKUP(Table2[[#This Row],[Visitor/Neutral]],division_lookup,9,FALSE),TRUE,FALSE)</f>
        <v>0</v>
      </c>
      <c r="AC318" s="19" t="str">
        <f>VLOOKUP(Table2[[#This Row],[Home/Neutral]],division_lookup,9,FALSE)</f>
        <v>SE</v>
      </c>
      <c r="AD318" s="19"/>
      <c r="AE318" s="19" t="str">
        <f>IF(Table2[[#This Row],[Total EV ®]]&lt;Table2[[#This Row],[Total (V)]],"UNDER","OVER")</f>
        <v>OVER</v>
      </c>
      <c r="AF318" s="30">
        <f>Table2[[#This Row],[(A) Spread]]-Table2[[#This Row],[Spread (V)]]</f>
        <v>0</v>
      </c>
      <c r="AG318" s="19"/>
      <c r="AH318" s="2">
        <f>Table2[[#This Row],[EV]]-Table2[[#This Row],[Spread (V)]]</f>
        <v>-5.1146111752438941</v>
      </c>
      <c r="AI318" s="22">
        <f>Table2[[#This Row],[(A)]]-Table2[[#This Row],[Spread]]</f>
        <v>-4.8751184834123311</v>
      </c>
      <c r="AJ318" s="1">
        <f>Table2[[#This Row],[(A) Err]]^2</f>
        <v>23.766780227308548</v>
      </c>
      <c r="AK318" s="6">
        <f>Table2[[#This Row],[EV]]-Table2[[#This Row],[Spread]]</f>
        <v>-5.1146111752438941</v>
      </c>
      <c r="AL318" s="1">
        <f>Table2[[#This Row],[EV Err]]^2</f>
        <v>26.159247473929728</v>
      </c>
    </row>
    <row r="319" spans="1:38" x14ac:dyDescent="0.25">
      <c r="A319" t="s">
        <v>84</v>
      </c>
      <c r="B319" t="s">
        <v>22</v>
      </c>
      <c r="C319" t="s">
        <v>6</v>
      </c>
      <c r="K319" s="25">
        <f>(Table2[[#This Row],[Home Pace]]/100)*(VLOOKUP(Table2[[#This Row],[Home/Neutral]],home_lookup,8,FALSE)+VLOOKUP(Table2[[#This Row],[Home/Neutral]],OFR_lookup,2,FALSE)+VLOOKUP(Table2[[#This Row],[Visitor/Neutral]],def_diff_lookup,6,FALSE))</f>
        <v>108.74730922968976</v>
      </c>
      <c r="L319" s="25"/>
      <c r="M319" s="25">
        <f>(Table2[[#This Row],[Away Pace]]/100)*(VLOOKUP(Table2[[#This Row],[Visitor/Neutral]],OFR_lookup,2,FALSE)+VLOOKUP(Table2[[#This Row],[Home/Neutral]],def_diff_lookup,6,FALSE))</f>
        <v>107.10286066666667</v>
      </c>
      <c r="N319" s="25"/>
      <c r="O319" s="25"/>
      <c r="P319">
        <f>VLOOKUP(Table2[[#This Row],[Home/Neutral]],pace_lookup,7,FALSE)</f>
        <v>94.7</v>
      </c>
      <c r="Q319" s="5">
        <f>VLOOKUP(Table2[[#This Row],[Visitor/Neutral]],pace_lookup,7,FALSE)</f>
        <v>93.1</v>
      </c>
      <c r="R319" s="9"/>
      <c r="V319" s="2">
        <f>-home-VLOOKUP(Table2[[#This Row],[Home/Neutral]],rtg_vlookup,4,FALSE)+VLOOKUP(Table2[[#This Row],[Visitor/Neutral]],rtg_vlookup,4,FALSE)</f>
        <v>3.3648815165876691</v>
      </c>
      <c r="W319" s="25"/>
      <c r="X319" s="2"/>
      <c r="Y319" s="2">
        <f>Table2[[#This Row],[Away EV]]-Table2[[#This Row],[Home EV]]</f>
        <v>-1.6444485630230901</v>
      </c>
      <c r="Z319" s="33"/>
      <c r="AA319" s="34"/>
      <c r="AB319" s="5" t="b">
        <f>IF(VLOOKUP(Table2[[#This Row],[Home/Neutral]],division_lookup,9,FALSE)=VLOOKUP(Table2[[#This Row],[Visitor/Neutral]],division_lookup,9,FALSE),TRUE,FALSE)</f>
        <v>0</v>
      </c>
      <c r="AC319" s="19" t="str">
        <f>VLOOKUP(Table2[[#This Row],[Home/Neutral]],division_lookup,9,FALSE)</f>
        <v>NW</v>
      </c>
      <c r="AD319" s="19"/>
      <c r="AE319" s="19" t="str">
        <f>IF(Table2[[#This Row],[Total EV ®]]&lt;Table2[[#This Row],[Total (V)]],"UNDER","OVER")</f>
        <v>OVER</v>
      </c>
      <c r="AF319" s="30">
        <f>Table2[[#This Row],[(A) Spread]]-Table2[[#This Row],[Spread (V)]]</f>
        <v>0</v>
      </c>
      <c r="AG319" s="19"/>
      <c r="AH319" s="2">
        <f>Table2[[#This Row],[EV]]-Table2[[#This Row],[Spread (V)]]</f>
        <v>-1.6444485630230901</v>
      </c>
      <c r="AI319" s="22">
        <f>Table2[[#This Row],[(A)]]-Table2[[#This Row],[Spread]]</f>
        <v>3.3648815165876691</v>
      </c>
      <c r="AJ319" s="1">
        <f>Table2[[#This Row],[(A) Err]]^2</f>
        <v>11.322427620673333</v>
      </c>
      <c r="AK319" s="6">
        <f>Table2[[#This Row],[EV]]-Table2[[#This Row],[Spread]]</f>
        <v>-1.6444485630230901</v>
      </c>
      <c r="AL319" s="1">
        <f>Table2[[#This Row],[EV Err]]^2</f>
        <v>2.704211076428706</v>
      </c>
    </row>
    <row r="320" spans="1:38" x14ac:dyDescent="0.25">
      <c r="A320" t="s">
        <v>84</v>
      </c>
      <c r="B320" t="s">
        <v>20</v>
      </c>
      <c r="C320" t="s">
        <v>36</v>
      </c>
      <c r="K320" s="25">
        <f>(Table2[[#This Row],[Home Pace]]/100)*(VLOOKUP(Table2[[#This Row],[Home/Neutral]],home_lookup,8,FALSE)+VLOOKUP(Table2[[#This Row],[Home/Neutral]],OFR_lookup,2,FALSE)+VLOOKUP(Table2[[#This Row],[Visitor/Neutral]],def_diff_lookup,6,FALSE))</f>
        <v>106.50125528915177</v>
      </c>
      <c r="L320" s="25"/>
      <c r="M320" s="25">
        <f>(Table2[[#This Row],[Away Pace]]/100)*(VLOOKUP(Table2[[#This Row],[Visitor/Neutral]],OFR_lookup,2,FALSE)+VLOOKUP(Table2[[#This Row],[Home/Neutral]],def_diff_lookup,6,FALSE))</f>
        <v>103.73368133333335</v>
      </c>
      <c r="N320" s="25"/>
      <c r="O320" s="25"/>
      <c r="P320">
        <f>VLOOKUP(Table2[[#This Row],[Home/Neutral]],pace_lookup,7,FALSE)</f>
        <v>90.9</v>
      </c>
      <c r="Q320" s="5">
        <f>VLOOKUP(Table2[[#This Row],[Visitor/Neutral]],pace_lookup,7,FALSE)</f>
        <v>102.2</v>
      </c>
      <c r="R320" s="9"/>
      <c r="V320" s="2">
        <f>-home-VLOOKUP(Table2[[#This Row],[Home/Neutral]],rtg_vlookup,4,FALSE)+VLOOKUP(Table2[[#This Row],[Visitor/Neutral]],rtg_vlookup,4,FALSE)</f>
        <v>-10.665118483412332</v>
      </c>
      <c r="W320" s="25"/>
      <c r="X320" s="2"/>
      <c r="Y320" s="2">
        <f>Table2[[#This Row],[Away EV]]-Table2[[#This Row],[Home EV]]</f>
        <v>-2.7675739558184205</v>
      </c>
      <c r="Z320" s="33"/>
      <c r="AA320" s="34"/>
      <c r="AB320" s="5" t="b">
        <f>IF(VLOOKUP(Table2[[#This Row],[Home/Neutral]],division_lookup,9,FALSE)=VLOOKUP(Table2[[#This Row],[Visitor/Neutral]],division_lookup,9,FALSE),TRUE,FALSE)</f>
        <v>0</v>
      </c>
      <c r="AC320" s="19" t="str">
        <f>VLOOKUP(Table2[[#This Row],[Home/Neutral]],division_lookup,9,FALSE)</f>
        <v>NW</v>
      </c>
      <c r="AD320" s="19"/>
      <c r="AE320" s="19" t="str">
        <f>IF(Table2[[#This Row],[Total EV ®]]&lt;Table2[[#This Row],[Total (V)]],"UNDER","OVER")</f>
        <v>OVER</v>
      </c>
      <c r="AF320" s="30">
        <f>Table2[[#This Row],[(A) Spread]]-Table2[[#This Row],[Spread (V)]]</f>
        <v>0</v>
      </c>
      <c r="AG320" s="19"/>
      <c r="AH320" s="2">
        <f>Table2[[#This Row],[EV]]-Table2[[#This Row],[Spread (V)]]</f>
        <v>-2.7675739558184205</v>
      </c>
      <c r="AI320" s="22">
        <f>Table2[[#This Row],[(A)]]-Table2[[#This Row],[Spread]]</f>
        <v>-10.665118483412332</v>
      </c>
      <c r="AJ320" s="1">
        <f>Table2[[#This Row],[(A) Err]]^2</f>
        <v>113.74475226522335</v>
      </c>
      <c r="AK320" s="6">
        <f>Table2[[#This Row],[EV]]-Table2[[#This Row],[Spread]]</f>
        <v>-2.7675739558184205</v>
      </c>
      <c r="AL320" s="1">
        <f>Table2[[#This Row],[EV Err]]^2</f>
        <v>7.6594656009244204</v>
      </c>
    </row>
    <row r="321" spans="1:38" x14ac:dyDescent="0.25">
      <c r="A321" t="s">
        <v>84</v>
      </c>
      <c r="B321" t="s">
        <v>28</v>
      </c>
      <c r="C321" t="s">
        <v>38</v>
      </c>
      <c r="K321" s="25">
        <f>(Table2[[#This Row],[Home Pace]]/100)*(VLOOKUP(Table2[[#This Row],[Home/Neutral]],home_lookup,8,FALSE)+VLOOKUP(Table2[[#This Row],[Home/Neutral]],OFR_lookup,2,FALSE)+VLOOKUP(Table2[[#This Row],[Visitor/Neutral]],def_diff_lookup,6,FALSE))</f>
        <v>109.39397553204273</v>
      </c>
      <c r="L321" s="25"/>
      <c r="M321" s="25">
        <f>(Table2[[#This Row],[Away Pace]]/100)*(VLOOKUP(Table2[[#This Row],[Visitor/Neutral]],OFR_lookup,2,FALSE)+VLOOKUP(Table2[[#This Row],[Home/Neutral]],def_diff_lookup,6,FALSE))</f>
        <v>95.820868000000033</v>
      </c>
      <c r="N321" s="25"/>
      <c r="O321" s="25"/>
      <c r="P321">
        <f>VLOOKUP(Table2[[#This Row],[Home/Neutral]],pace_lookup,7,FALSE)</f>
        <v>96.3</v>
      </c>
      <c r="Q321" s="5">
        <f>VLOOKUP(Table2[[#This Row],[Visitor/Neutral]],pace_lookup,7,FALSE)</f>
        <v>94.2</v>
      </c>
      <c r="R321" s="9"/>
      <c r="V321" s="2">
        <f>-home-VLOOKUP(Table2[[#This Row],[Home/Neutral]],rtg_vlookup,4,FALSE)+VLOOKUP(Table2[[#This Row],[Visitor/Neutral]],rtg_vlookup,4,FALSE)</f>
        <v>-9.5051184834123301</v>
      </c>
      <c r="W321" s="25"/>
      <c r="X321" s="2"/>
      <c r="Y321" s="2">
        <f>Table2[[#This Row],[Away EV]]-Table2[[#This Row],[Home EV]]</f>
        <v>-13.573107532042698</v>
      </c>
      <c r="Z321" s="33"/>
      <c r="AA321" s="34"/>
      <c r="AB321" s="5" t="b">
        <f>IF(VLOOKUP(Table2[[#This Row],[Home/Neutral]],division_lookup,9,FALSE)=VLOOKUP(Table2[[#This Row],[Visitor/Neutral]],division_lookup,9,FALSE),TRUE,FALSE)</f>
        <v>1</v>
      </c>
      <c r="AC321" s="19" t="str">
        <f>VLOOKUP(Table2[[#This Row],[Home/Neutral]],division_lookup,9,FALSE)</f>
        <v>SE</v>
      </c>
      <c r="AD321" s="19"/>
      <c r="AE321" s="19" t="str">
        <f>IF(Table2[[#This Row],[Total EV ®]]&lt;Table2[[#This Row],[Total (V)]],"UNDER","OVER")</f>
        <v>OVER</v>
      </c>
      <c r="AF321" s="30">
        <f>Table2[[#This Row],[(A) Spread]]-Table2[[#This Row],[Spread (V)]]</f>
        <v>0</v>
      </c>
      <c r="AG321" s="19"/>
      <c r="AH321" s="2">
        <f>Table2[[#This Row],[EV]]-Table2[[#This Row],[Spread (V)]]</f>
        <v>-13.573107532042698</v>
      </c>
      <c r="AI321" s="22">
        <f>Table2[[#This Row],[(A)]]-Table2[[#This Row],[Spread]]</f>
        <v>-9.5051184834123301</v>
      </c>
      <c r="AJ321" s="1">
        <f>Table2[[#This Row],[(A) Err]]^2</f>
        <v>90.347277383706711</v>
      </c>
      <c r="AK321" s="6">
        <f>Table2[[#This Row],[EV]]-Table2[[#This Row],[Spread]]</f>
        <v>-13.573107532042698</v>
      </c>
      <c r="AL321" s="1">
        <f>Table2[[#This Row],[EV Err]]^2</f>
        <v>184.22924807639421</v>
      </c>
    </row>
    <row r="322" spans="1:38" x14ac:dyDescent="0.25">
      <c r="A322" t="s">
        <v>85</v>
      </c>
      <c r="B322" t="s">
        <v>11</v>
      </c>
      <c r="C322" t="s">
        <v>21</v>
      </c>
      <c r="K322" s="25">
        <f>(Table2[[#This Row],[Home Pace]]/100)*(VLOOKUP(Table2[[#This Row],[Home/Neutral]],home_lookup,8,FALSE)+VLOOKUP(Table2[[#This Row],[Home/Neutral]],OFR_lookup,2,FALSE)+VLOOKUP(Table2[[#This Row],[Visitor/Neutral]],def_diff_lookup,6,FALSE))</f>
        <v>94.751689044072819</v>
      </c>
      <c r="L322" s="25"/>
      <c r="M322" s="25">
        <f>(Table2[[#This Row],[Away Pace]]/100)*(VLOOKUP(Table2[[#This Row],[Visitor/Neutral]],OFR_lookup,2,FALSE)+VLOOKUP(Table2[[#This Row],[Home/Neutral]],def_diff_lookup,6,FALSE))</f>
        <v>89.170348000000018</v>
      </c>
      <c r="N322" s="25"/>
      <c r="O322" s="25"/>
      <c r="P322">
        <f>VLOOKUP(Table2[[#This Row],[Home/Neutral]],pace_lookup,7,FALSE)</f>
        <v>99.7</v>
      </c>
      <c r="Q322" s="5">
        <f>VLOOKUP(Table2[[#This Row],[Visitor/Neutral]],pace_lookup,7,FALSE)</f>
        <v>94.2</v>
      </c>
      <c r="R322" s="9"/>
      <c r="V322" s="2">
        <f>-home-VLOOKUP(Table2[[#This Row],[Home/Neutral]],rtg_vlookup,4,FALSE)+VLOOKUP(Table2[[#This Row],[Visitor/Neutral]],rtg_vlookup,4,FALSE)</f>
        <v>-9.1351184834123309</v>
      </c>
      <c r="W322" s="25"/>
      <c r="X322" s="2"/>
      <c r="Y322" s="2">
        <f>Table2[[#This Row],[Away EV]]-Table2[[#This Row],[Home EV]]</f>
        <v>-5.5813410440728006</v>
      </c>
      <c r="Z322" s="33"/>
      <c r="AA322" s="34"/>
      <c r="AB322" s="5" t="b">
        <f>IF(VLOOKUP(Table2[[#This Row],[Home/Neutral]],division_lookup,9,FALSE)=VLOOKUP(Table2[[#This Row],[Visitor/Neutral]],division_lookup,9,FALSE),TRUE,FALSE)</f>
        <v>1</v>
      </c>
      <c r="AC322" s="19" t="str">
        <f>VLOOKUP(Table2[[#This Row],[Home/Neutral]],division_lookup,9,FALSE)</f>
        <v>SE</v>
      </c>
      <c r="AD322" s="19"/>
      <c r="AE322" s="19" t="str">
        <f>IF(Table2[[#This Row],[Total EV ®]]&lt;Table2[[#This Row],[Total (V)]],"UNDER","OVER")</f>
        <v>OVER</v>
      </c>
      <c r="AF322" s="30">
        <f>Table2[[#This Row],[(A) Spread]]-Table2[[#This Row],[Spread (V)]]</f>
        <v>0</v>
      </c>
      <c r="AG322" s="19"/>
      <c r="AH322" s="2">
        <f>Table2[[#This Row],[EV]]-Table2[[#This Row],[Spread (V)]]</f>
        <v>-5.5813410440728006</v>
      </c>
      <c r="AI322" s="22">
        <f>Table2[[#This Row],[(A)]]-Table2[[#This Row],[Spread]]</f>
        <v>-9.1351184834123309</v>
      </c>
      <c r="AJ322" s="1">
        <f>Table2[[#This Row],[(A) Err]]^2</f>
        <v>83.450389705981607</v>
      </c>
      <c r="AK322" s="6">
        <f>Table2[[#This Row],[EV]]-Table2[[#This Row],[Spread]]</f>
        <v>-5.5813410440728006</v>
      </c>
      <c r="AL322" s="1">
        <f>Table2[[#This Row],[EV Err]]^2</f>
        <v>31.15136785025166</v>
      </c>
    </row>
    <row r="323" spans="1:38" x14ac:dyDescent="0.25">
      <c r="A323" t="s">
        <v>85</v>
      </c>
      <c r="B323" t="s">
        <v>35</v>
      </c>
      <c r="C323" t="s">
        <v>27</v>
      </c>
      <c r="K323" s="25">
        <f>(Table2[[#This Row],[Home Pace]]/100)*(VLOOKUP(Table2[[#This Row],[Home/Neutral]],home_lookup,8,FALSE)+VLOOKUP(Table2[[#This Row],[Home/Neutral]],OFR_lookup,2,FALSE)+VLOOKUP(Table2[[#This Row],[Visitor/Neutral]],def_diff_lookup,6,FALSE))</f>
        <v>107.19081121209625</v>
      </c>
      <c r="L323" s="25"/>
      <c r="M323" s="25">
        <f>(Table2[[#This Row],[Away Pace]]/100)*(VLOOKUP(Table2[[#This Row],[Visitor/Neutral]],OFR_lookup,2,FALSE)+VLOOKUP(Table2[[#This Row],[Home/Neutral]],def_diff_lookup,6,FALSE))</f>
        <v>107.78196</v>
      </c>
      <c r="N323" s="25"/>
      <c r="O323" s="25"/>
      <c r="P323">
        <f>VLOOKUP(Table2[[#This Row],[Home/Neutral]],pace_lookup,7,FALSE)</f>
        <v>102.2</v>
      </c>
      <c r="Q323" s="5">
        <f>VLOOKUP(Table2[[#This Row],[Visitor/Neutral]],pace_lookup,7,FALSE)</f>
        <v>99</v>
      </c>
      <c r="R323" s="9"/>
      <c r="V323" s="2">
        <f>-home-VLOOKUP(Table2[[#This Row],[Home/Neutral]],rtg_vlookup,4,FALSE)+VLOOKUP(Table2[[#This Row],[Visitor/Neutral]],rtg_vlookup,4,FALSE)</f>
        <v>2.994881516587669</v>
      </c>
      <c r="W323" s="25"/>
      <c r="X323" s="2"/>
      <c r="Y323" s="2">
        <f>Table2[[#This Row],[Away EV]]-Table2[[#This Row],[Home EV]]</f>
        <v>0.59114878790374803</v>
      </c>
      <c r="Z323" s="33"/>
      <c r="AA323" s="34"/>
      <c r="AB323" s="5" t="b">
        <f>IF(VLOOKUP(Table2[[#This Row],[Home/Neutral]],division_lookup,9,FALSE)=VLOOKUP(Table2[[#This Row],[Visitor/Neutral]],division_lookup,9,FALSE),TRUE,FALSE)</f>
        <v>0</v>
      </c>
      <c r="AC323" s="19" t="str">
        <f>VLOOKUP(Table2[[#This Row],[Home/Neutral]],division_lookup,9,FALSE)</f>
        <v>A</v>
      </c>
      <c r="AD323" s="19"/>
      <c r="AE323" s="19" t="str">
        <f>IF(Table2[[#This Row],[Total EV ®]]&lt;Table2[[#This Row],[Total (V)]],"UNDER","OVER")</f>
        <v>OVER</v>
      </c>
      <c r="AF323" s="30">
        <f>Table2[[#This Row],[(A) Spread]]-Table2[[#This Row],[Spread (V)]]</f>
        <v>0</v>
      </c>
      <c r="AG323" s="19"/>
      <c r="AH323" s="2">
        <f>Table2[[#This Row],[EV]]-Table2[[#This Row],[Spread (V)]]</f>
        <v>0.59114878790374803</v>
      </c>
      <c r="AI323" s="22">
        <f>Table2[[#This Row],[(A)]]-Table2[[#This Row],[Spread]]</f>
        <v>2.994881516587669</v>
      </c>
      <c r="AJ323" s="1">
        <f>Table2[[#This Row],[(A) Err]]^2</f>
        <v>8.9693152983984561</v>
      </c>
      <c r="AK323" s="6">
        <f>Table2[[#This Row],[EV]]-Table2[[#This Row],[Spread]]</f>
        <v>0.59114878790374803</v>
      </c>
      <c r="AL323" s="1">
        <f>Table2[[#This Row],[EV Err]]^2</f>
        <v>0.34945688944007047</v>
      </c>
    </row>
    <row r="324" spans="1:38" x14ac:dyDescent="0.25">
      <c r="A324" t="s">
        <v>85</v>
      </c>
      <c r="B324" t="s">
        <v>16</v>
      </c>
      <c r="C324" t="s">
        <v>25</v>
      </c>
      <c r="K324" s="25">
        <f>(Table2[[#This Row],[Home Pace]]/100)*(VLOOKUP(Table2[[#This Row],[Home/Neutral]],home_lookup,8,FALSE)+VLOOKUP(Table2[[#This Row],[Home/Neutral]],OFR_lookup,2,FALSE)+VLOOKUP(Table2[[#This Row],[Visitor/Neutral]],def_diff_lookup,6,FALSE))</f>
        <v>100.11635601115951</v>
      </c>
      <c r="L324" s="25"/>
      <c r="M324" s="25">
        <f>(Table2[[#This Row],[Away Pace]]/100)*(VLOOKUP(Table2[[#This Row],[Visitor/Neutral]],OFR_lookup,2,FALSE)+VLOOKUP(Table2[[#This Row],[Home/Neutral]],def_diff_lookup,6,FALSE))</f>
        <v>95.19358933333335</v>
      </c>
      <c r="N324" s="25"/>
      <c r="O324" s="25"/>
      <c r="P324">
        <f>VLOOKUP(Table2[[#This Row],[Home/Neutral]],pace_lookup,7,FALSE)</f>
        <v>97.5</v>
      </c>
      <c r="Q324" s="5">
        <f>VLOOKUP(Table2[[#This Row],[Visitor/Neutral]],pace_lookup,7,FALSE)</f>
        <v>94.4</v>
      </c>
      <c r="R324" s="9"/>
      <c r="V324" s="2">
        <f>-home-VLOOKUP(Table2[[#This Row],[Home/Neutral]],rtg_vlookup,4,FALSE)+VLOOKUP(Table2[[#This Row],[Visitor/Neutral]],rtg_vlookup,4,FALSE)</f>
        <v>-5.3551184834123307</v>
      </c>
      <c r="W324" s="25"/>
      <c r="X324" s="2"/>
      <c r="Y324" s="2">
        <f>Table2[[#This Row],[Away EV]]-Table2[[#This Row],[Home EV]]</f>
        <v>-4.9227666778261607</v>
      </c>
      <c r="Z324" s="33"/>
      <c r="AA324" s="34"/>
      <c r="AB324" s="5" t="b">
        <f>IF(VLOOKUP(Table2[[#This Row],[Home/Neutral]],division_lookup,9,FALSE)=VLOOKUP(Table2[[#This Row],[Visitor/Neutral]],division_lookup,9,FALSE),TRUE,FALSE)</f>
        <v>0</v>
      </c>
      <c r="AC324" s="19" t="str">
        <f>VLOOKUP(Table2[[#This Row],[Home/Neutral]],division_lookup,9,FALSE)</f>
        <v>SE</v>
      </c>
      <c r="AD324" s="19"/>
      <c r="AE324" s="19" t="str">
        <f>IF(Table2[[#This Row],[Total EV ®]]&lt;Table2[[#This Row],[Total (V)]],"UNDER","OVER")</f>
        <v>OVER</v>
      </c>
      <c r="AF324" s="30">
        <f>Table2[[#This Row],[(A) Spread]]-Table2[[#This Row],[Spread (V)]]</f>
        <v>0</v>
      </c>
      <c r="AG324" s="19"/>
      <c r="AH324" s="2">
        <f>Table2[[#This Row],[EV]]-Table2[[#This Row],[Spread (V)]]</f>
        <v>-4.9227666778261607</v>
      </c>
      <c r="AI324" s="22">
        <f>Table2[[#This Row],[(A)]]-Table2[[#This Row],[Spread]]</f>
        <v>-5.3551184834123307</v>
      </c>
      <c r="AJ324" s="1">
        <f>Table2[[#This Row],[(A) Err]]^2</f>
        <v>28.67729397138438</v>
      </c>
      <c r="AK324" s="6">
        <f>Table2[[#This Row],[EV]]-Table2[[#This Row],[Spread]]</f>
        <v>-4.9227666778261607</v>
      </c>
      <c r="AL324" s="1">
        <f>Table2[[#This Row],[EV Err]]^2</f>
        <v>24.233631764315614</v>
      </c>
    </row>
    <row r="325" spans="1:38" x14ac:dyDescent="0.25">
      <c r="A325" t="s">
        <v>85</v>
      </c>
      <c r="B325" t="s">
        <v>37</v>
      </c>
      <c r="C325" t="s">
        <v>29</v>
      </c>
      <c r="K325" s="25">
        <f>(Table2[[#This Row],[Home Pace]]/100)*(VLOOKUP(Table2[[#This Row],[Home/Neutral]],home_lookup,8,FALSE)+VLOOKUP(Table2[[#This Row],[Home/Neutral]],OFR_lookup,2,FALSE)+VLOOKUP(Table2[[#This Row],[Visitor/Neutral]],def_diff_lookup,6,FALSE))</f>
        <v>105.43433809362122</v>
      </c>
      <c r="L325" s="25"/>
      <c r="M325" s="25">
        <f>(Table2[[#This Row],[Away Pace]]/100)*(VLOOKUP(Table2[[#This Row],[Visitor/Neutral]],OFR_lookup,2,FALSE)+VLOOKUP(Table2[[#This Row],[Home/Neutral]],def_diff_lookup,6,FALSE))</f>
        <v>97.824645333333336</v>
      </c>
      <c r="N325" s="25"/>
      <c r="O325" s="25"/>
      <c r="P325">
        <f>VLOOKUP(Table2[[#This Row],[Home/Neutral]],pace_lookup,7,FALSE)</f>
        <v>92.1</v>
      </c>
      <c r="Q325" s="5">
        <f>VLOOKUP(Table2[[#This Row],[Visitor/Neutral]],pace_lookup,7,FALSE)</f>
        <v>93.8</v>
      </c>
      <c r="R325" s="9"/>
      <c r="V325" s="2">
        <f>-home-VLOOKUP(Table2[[#This Row],[Home/Neutral]],rtg_vlookup,4,FALSE)+VLOOKUP(Table2[[#This Row],[Visitor/Neutral]],rtg_vlookup,4,FALSE)</f>
        <v>2.4648815165876696</v>
      </c>
      <c r="W325" s="25"/>
      <c r="X325" s="2"/>
      <c r="Y325" s="2">
        <f>Table2[[#This Row],[Away EV]]-Table2[[#This Row],[Home EV]]</f>
        <v>-7.609692760287885</v>
      </c>
      <c r="Z325" s="33"/>
      <c r="AA325" s="34"/>
      <c r="AB325" s="5" t="b">
        <f>IF(VLOOKUP(Table2[[#This Row],[Home/Neutral]],division_lookup,9,FALSE)=VLOOKUP(Table2[[#This Row],[Visitor/Neutral]],division_lookup,9,FALSE),TRUE,FALSE)</f>
        <v>0</v>
      </c>
      <c r="AC325" s="19" t="str">
        <f>VLOOKUP(Table2[[#This Row],[Home/Neutral]],division_lookup,9,FALSE)</f>
        <v>SW</v>
      </c>
      <c r="AD325" s="19"/>
      <c r="AE325" s="19" t="str">
        <f>IF(Table2[[#This Row],[Total EV ®]]&lt;Table2[[#This Row],[Total (V)]],"UNDER","OVER")</f>
        <v>OVER</v>
      </c>
      <c r="AF325" s="30">
        <f>Table2[[#This Row],[(A) Spread]]-Table2[[#This Row],[Spread (V)]]</f>
        <v>0</v>
      </c>
      <c r="AG325" s="19"/>
      <c r="AH325" s="2">
        <f>Table2[[#This Row],[EV]]-Table2[[#This Row],[Spread (V)]]</f>
        <v>-7.609692760287885</v>
      </c>
      <c r="AI325" s="22">
        <f>Table2[[#This Row],[(A)]]-Table2[[#This Row],[Spread]]</f>
        <v>2.4648815165876696</v>
      </c>
      <c r="AJ325" s="1">
        <f>Table2[[#This Row],[(A) Err]]^2</f>
        <v>6.0756408908155306</v>
      </c>
      <c r="AK325" s="6">
        <f>Table2[[#This Row],[EV]]-Table2[[#This Row],[Spread]]</f>
        <v>-7.609692760287885</v>
      </c>
      <c r="AL325" s="1">
        <f>Table2[[#This Row],[EV Err]]^2</f>
        <v>57.907423905977851</v>
      </c>
    </row>
    <row r="326" spans="1:38" x14ac:dyDescent="0.25">
      <c r="A326" t="s">
        <v>85</v>
      </c>
      <c r="B326" t="s">
        <v>17</v>
      </c>
      <c r="C326" t="s">
        <v>24</v>
      </c>
      <c r="K326" s="25">
        <f>(Table2[[#This Row],[Home Pace]]/100)*(VLOOKUP(Table2[[#This Row],[Home/Neutral]],home_lookup,8,FALSE)+VLOOKUP(Table2[[#This Row],[Home/Neutral]],OFR_lookup,2,FALSE)+VLOOKUP(Table2[[#This Row],[Visitor/Neutral]],def_diff_lookup,6,FALSE))</f>
        <v>113.12684692873545</v>
      </c>
      <c r="L326" s="25"/>
      <c r="M326" s="25">
        <f>(Table2[[#This Row],[Away Pace]]/100)*(VLOOKUP(Table2[[#This Row],[Visitor/Neutral]],OFR_lookup,2,FALSE)+VLOOKUP(Table2[[#This Row],[Home/Neutral]],def_diff_lookup,6,FALSE))</f>
        <v>113.69685600000003</v>
      </c>
      <c r="N326" s="25"/>
      <c r="O326" s="25"/>
      <c r="P326">
        <f>VLOOKUP(Table2[[#This Row],[Home/Neutral]],pace_lookup,7,FALSE)</f>
        <v>96.7</v>
      </c>
      <c r="Q326" s="5">
        <f>VLOOKUP(Table2[[#This Row],[Visitor/Neutral]],pace_lookup,7,FALSE)</f>
        <v>99.9</v>
      </c>
      <c r="R326" s="9"/>
      <c r="V326" s="2">
        <f>-home-VLOOKUP(Table2[[#This Row],[Home/Neutral]],rtg_vlookup,4,FALSE)+VLOOKUP(Table2[[#This Row],[Visitor/Neutral]],rtg_vlookup,4,FALSE)</f>
        <v>-6.7051184834123312</v>
      </c>
      <c r="W326" s="25"/>
      <c r="X326" s="2"/>
      <c r="Y326" s="2">
        <f>Table2[[#This Row],[Away EV]]-Table2[[#This Row],[Home EV]]</f>
        <v>0.57000907126457889</v>
      </c>
      <c r="Z326" s="33"/>
      <c r="AA326" s="34"/>
      <c r="AB326" s="5" t="b">
        <f>IF(VLOOKUP(Table2[[#This Row],[Home/Neutral]],division_lookup,9,FALSE)=VLOOKUP(Table2[[#This Row],[Visitor/Neutral]],division_lookup,9,FALSE),TRUE,FALSE)</f>
        <v>0</v>
      </c>
      <c r="AC326" s="19" t="str">
        <f>VLOOKUP(Table2[[#This Row],[Home/Neutral]],division_lookup,9,FALSE)</f>
        <v>SW</v>
      </c>
      <c r="AD326" s="19"/>
      <c r="AE326" s="19" t="str">
        <f>IF(Table2[[#This Row],[Total EV ®]]&lt;Table2[[#This Row],[Total (V)]],"UNDER","OVER")</f>
        <v>OVER</v>
      </c>
      <c r="AF326" s="30">
        <f>Table2[[#This Row],[(A) Spread]]-Table2[[#This Row],[Spread (V)]]</f>
        <v>0</v>
      </c>
      <c r="AG326" s="19"/>
      <c r="AH326" s="2">
        <f>Table2[[#This Row],[EV]]-Table2[[#This Row],[Spread (V)]]</f>
        <v>0.57000907126457889</v>
      </c>
      <c r="AI326" s="22">
        <f>Table2[[#This Row],[(A)]]-Table2[[#This Row],[Spread]]</f>
        <v>-6.7051184834123312</v>
      </c>
      <c r="AJ326" s="1">
        <f>Table2[[#This Row],[(A) Err]]^2</f>
        <v>44.958613876597681</v>
      </c>
      <c r="AK326" s="6">
        <f>Table2[[#This Row],[EV]]-Table2[[#This Row],[Spread]]</f>
        <v>0.57000907126457889</v>
      </c>
      <c r="AL326" s="1">
        <f>Table2[[#This Row],[EV Err]]^2</f>
        <v>0.32491034132390778</v>
      </c>
    </row>
    <row r="327" spans="1:38" x14ac:dyDescent="0.25">
      <c r="A327" t="s">
        <v>85</v>
      </c>
      <c r="B327" t="s">
        <v>4</v>
      </c>
      <c r="C327" t="s">
        <v>10</v>
      </c>
      <c r="K327" s="25">
        <f>(Table2[[#This Row],[Home Pace]]/100)*(VLOOKUP(Table2[[#This Row],[Home/Neutral]],home_lookup,8,FALSE)+VLOOKUP(Table2[[#This Row],[Home/Neutral]],OFR_lookup,2,FALSE)+VLOOKUP(Table2[[#This Row],[Visitor/Neutral]],def_diff_lookup,6,FALSE))</f>
        <v>103.82736781393444</v>
      </c>
      <c r="L327" s="25"/>
      <c r="M327" s="25">
        <f>(Table2[[#This Row],[Away Pace]]/100)*(VLOOKUP(Table2[[#This Row],[Visitor/Neutral]],OFR_lookup,2,FALSE)+VLOOKUP(Table2[[#This Row],[Home/Neutral]],def_diff_lookup,6,FALSE))</f>
        <v>110.60147866666667</v>
      </c>
      <c r="N327" s="25"/>
      <c r="O327" s="25"/>
      <c r="P327">
        <f>VLOOKUP(Table2[[#This Row],[Home/Neutral]],pace_lookup,7,FALSE)</f>
        <v>96.6</v>
      </c>
      <c r="Q327" s="5">
        <f>VLOOKUP(Table2[[#This Row],[Visitor/Neutral]],pace_lookup,7,FALSE)</f>
        <v>100.3</v>
      </c>
      <c r="R327" s="9"/>
      <c r="V327" s="2">
        <f>-home-VLOOKUP(Table2[[#This Row],[Home/Neutral]],rtg_vlookup,4,FALSE)+VLOOKUP(Table2[[#This Row],[Visitor/Neutral]],rtg_vlookup,4,FALSE)</f>
        <v>-8.8851184834123309</v>
      </c>
      <c r="W327" s="25"/>
      <c r="X327" s="2"/>
      <c r="Y327" s="2">
        <f>Table2[[#This Row],[Away EV]]-Table2[[#This Row],[Home EV]]</f>
        <v>6.7741108527322211</v>
      </c>
      <c r="Z327" s="33"/>
      <c r="AA327" s="34"/>
      <c r="AB327" s="5" t="b">
        <f>IF(VLOOKUP(Table2[[#This Row],[Home/Neutral]],division_lookup,9,FALSE)=VLOOKUP(Table2[[#This Row],[Visitor/Neutral]],division_lookup,9,FALSE),TRUE,FALSE)</f>
        <v>1</v>
      </c>
      <c r="AC327" s="19" t="str">
        <f>VLOOKUP(Table2[[#This Row],[Home/Neutral]],division_lookup,9,FALSE)</f>
        <v>P</v>
      </c>
      <c r="AD327" s="19"/>
      <c r="AE327" s="19" t="str">
        <f>IF(Table2[[#This Row],[Total EV ®]]&lt;Table2[[#This Row],[Total (V)]],"UNDER","OVER")</f>
        <v>OVER</v>
      </c>
      <c r="AF327" s="30">
        <f>Table2[[#This Row],[(A) Spread]]-Table2[[#This Row],[Spread (V)]]</f>
        <v>0</v>
      </c>
      <c r="AG327" s="19"/>
      <c r="AH327" s="2">
        <f>Table2[[#This Row],[EV]]-Table2[[#This Row],[Spread (V)]]</f>
        <v>6.7741108527322211</v>
      </c>
      <c r="AI327" s="22">
        <f>Table2[[#This Row],[(A)]]-Table2[[#This Row],[Spread]]</f>
        <v>-8.8851184834123309</v>
      </c>
      <c r="AJ327" s="1">
        <f>Table2[[#This Row],[(A) Err]]^2</f>
        <v>78.945330464275443</v>
      </c>
      <c r="AK327" s="6">
        <f>Table2[[#This Row],[EV]]-Table2[[#This Row],[Spread]]</f>
        <v>6.7741108527322211</v>
      </c>
      <c r="AL327" s="1">
        <f>Table2[[#This Row],[EV Err]]^2</f>
        <v>45.888577845104457</v>
      </c>
    </row>
    <row r="328" spans="1:38" x14ac:dyDescent="0.25">
      <c r="A328" t="s">
        <v>85</v>
      </c>
      <c r="B328" t="s">
        <v>30</v>
      </c>
      <c r="C328" t="s">
        <v>32</v>
      </c>
      <c r="K328" s="25">
        <f>(Table2[[#This Row],[Home Pace]]/100)*(VLOOKUP(Table2[[#This Row],[Home/Neutral]],home_lookup,8,FALSE)+VLOOKUP(Table2[[#This Row],[Home/Neutral]],OFR_lookup,2,FALSE)+VLOOKUP(Table2[[#This Row],[Visitor/Neutral]],def_diff_lookup,6,FALSE))</f>
        <v>113.01040034993645</v>
      </c>
      <c r="L328" s="25"/>
      <c r="M328" s="25">
        <f>(Table2[[#This Row],[Away Pace]]/100)*(VLOOKUP(Table2[[#This Row],[Visitor/Neutral]],OFR_lookup,2,FALSE)+VLOOKUP(Table2[[#This Row],[Home/Neutral]],def_diff_lookup,6,FALSE))</f>
        <v>108.86491733333335</v>
      </c>
      <c r="N328" s="25"/>
      <c r="O328" s="25"/>
      <c r="P328">
        <f>VLOOKUP(Table2[[#This Row],[Home/Neutral]],pace_lookup,7,FALSE)</f>
        <v>96.8</v>
      </c>
      <c r="Q328" s="5">
        <f>VLOOKUP(Table2[[#This Row],[Visitor/Neutral]],pace_lookup,7,FALSE)</f>
        <v>98.6</v>
      </c>
      <c r="R328" s="9"/>
      <c r="V328" s="2">
        <f>-home-VLOOKUP(Table2[[#This Row],[Home/Neutral]],rtg_vlookup,4,FALSE)+VLOOKUP(Table2[[#This Row],[Visitor/Neutral]],rtg_vlookup,4,FALSE)</f>
        <v>-3.0951184834123309</v>
      </c>
      <c r="W328" s="25"/>
      <c r="X328" s="2"/>
      <c r="Y328" s="2">
        <f>Table2[[#This Row],[Away EV]]-Table2[[#This Row],[Home EV]]</f>
        <v>-4.1454830166030945</v>
      </c>
      <c r="Z328" s="33"/>
      <c r="AA328" s="34"/>
      <c r="AB328" s="5" t="b">
        <f>IF(VLOOKUP(Table2[[#This Row],[Home/Neutral]],division_lookup,9,FALSE)=VLOOKUP(Table2[[#This Row],[Visitor/Neutral]],division_lookup,9,FALSE),TRUE,FALSE)</f>
        <v>0</v>
      </c>
      <c r="AC328" s="19" t="str">
        <f>VLOOKUP(Table2[[#This Row],[Home/Neutral]],division_lookup,9,FALSE)</f>
        <v>C</v>
      </c>
      <c r="AD328" s="19"/>
      <c r="AE328" s="19" t="str">
        <f>IF(Table2[[#This Row],[Total EV ®]]&lt;Table2[[#This Row],[Total (V)]],"UNDER","OVER")</f>
        <v>OVER</v>
      </c>
      <c r="AF328" s="30">
        <f>Table2[[#This Row],[(A) Spread]]-Table2[[#This Row],[Spread (V)]]</f>
        <v>0</v>
      </c>
      <c r="AG328" s="19"/>
      <c r="AH328" s="2">
        <f>Table2[[#This Row],[EV]]-Table2[[#This Row],[Spread (V)]]</f>
        <v>-4.1454830166030945</v>
      </c>
      <c r="AI328" s="22">
        <f>Table2[[#This Row],[(A)]]-Table2[[#This Row],[Spread]]</f>
        <v>-3.0951184834123309</v>
      </c>
      <c r="AJ328" s="1">
        <f>Table2[[#This Row],[(A) Err]]^2</f>
        <v>9.5797584263606463</v>
      </c>
      <c r="AK328" s="6">
        <f>Table2[[#This Row],[EV]]-Table2[[#This Row],[Spread]]</f>
        <v>-4.1454830166030945</v>
      </c>
      <c r="AL328" s="1">
        <f>Table2[[#This Row],[EV Err]]^2</f>
        <v>17.185029440944692</v>
      </c>
    </row>
    <row r="329" spans="1:38" x14ac:dyDescent="0.25">
      <c r="A329" t="s">
        <v>85</v>
      </c>
      <c r="B329" t="s">
        <v>31</v>
      </c>
      <c r="C329" t="s">
        <v>8</v>
      </c>
      <c r="K329" s="25">
        <f>(Table2[[#This Row],[Home Pace]]/100)*(VLOOKUP(Table2[[#This Row],[Home/Neutral]],home_lookup,8,FALSE)+VLOOKUP(Table2[[#This Row],[Home/Neutral]],OFR_lookup,2,FALSE)+VLOOKUP(Table2[[#This Row],[Visitor/Neutral]],def_diff_lookup,6,FALSE))</f>
        <v>108.4605743021789</v>
      </c>
      <c r="L329" s="25"/>
      <c r="M329" s="25">
        <f>(Table2[[#This Row],[Away Pace]]/100)*(VLOOKUP(Table2[[#This Row],[Visitor/Neutral]],OFR_lookup,2,FALSE)+VLOOKUP(Table2[[#This Row],[Home/Neutral]],def_diff_lookup,6,FALSE))</f>
        <v>112.66516800000001</v>
      </c>
      <c r="N329" s="25"/>
      <c r="O329" s="25"/>
      <c r="P329">
        <f>VLOOKUP(Table2[[#This Row],[Home/Neutral]],pace_lookup,7,FALSE)</f>
        <v>96</v>
      </c>
      <c r="Q329" s="5">
        <f>VLOOKUP(Table2[[#This Row],[Visitor/Neutral]],pace_lookup,7,FALSE)</f>
        <v>97.2</v>
      </c>
      <c r="R329" s="9"/>
      <c r="V329" s="2">
        <f>-home-VLOOKUP(Table2[[#This Row],[Home/Neutral]],rtg_vlookup,4,FALSE)+VLOOKUP(Table2[[#This Row],[Visitor/Neutral]],rtg_vlookup,4,FALSE)</f>
        <v>6.3748815165876698</v>
      </c>
      <c r="W329" s="25"/>
      <c r="X329" s="2"/>
      <c r="Y329" s="2">
        <f>Table2[[#This Row],[Away EV]]-Table2[[#This Row],[Home EV]]</f>
        <v>4.2045936978211103</v>
      </c>
      <c r="Z329" s="33"/>
      <c r="AA329" s="34"/>
      <c r="AB329" s="5" t="b">
        <f>IF(VLOOKUP(Table2[[#This Row],[Home/Neutral]],division_lookup,9,FALSE)=VLOOKUP(Table2[[#This Row],[Visitor/Neutral]],division_lookup,9,FALSE),TRUE,FALSE)</f>
        <v>0</v>
      </c>
      <c r="AC329" s="19" t="str">
        <f>VLOOKUP(Table2[[#This Row],[Home/Neutral]],division_lookup,9,FALSE)</f>
        <v>A</v>
      </c>
      <c r="AD329" s="19"/>
      <c r="AE329" s="19" t="str">
        <f>IF(Table2[[#This Row],[Total EV ®]]&lt;Table2[[#This Row],[Total (V)]],"UNDER","OVER")</f>
        <v>OVER</v>
      </c>
      <c r="AF329" s="30">
        <f>Table2[[#This Row],[(A) Spread]]-Table2[[#This Row],[Spread (V)]]</f>
        <v>0</v>
      </c>
      <c r="AG329" s="19"/>
      <c r="AH329" s="2">
        <f>Table2[[#This Row],[EV]]-Table2[[#This Row],[Spread (V)]]</f>
        <v>4.2045936978211103</v>
      </c>
      <c r="AI329" s="22">
        <f>Table2[[#This Row],[(A)]]-Table2[[#This Row],[Spread]]</f>
        <v>6.3748815165876698</v>
      </c>
      <c r="AJ329" s="1">
        <f>Table2[[#This Row],[(A) Err]]^2</f>
        <v>40.639114350531109</v>
      </c>
      <c r="AK329" s="6">
        <f>Table2[[#This Row],[EV]]-Table2[[#This Row],[Spread]]</f>
        <v>4.2045936978211103</v>
      </c>
      <c r="AL329" s="1">
        <f>Table2[[#This Row],[EV Err]]^2</f>
        <v>17.678608163756998</v>
      </c>
    </row>
    <row r="330" spans="1:38" x14ac:dyDescent="0.25">
      <c r="A330" t="s">
        <v>85</v>
      </c>
      <c r="B330" t="s">
        <v>38</v>
      </c>
      <c r="C330" t="s">
        <v>26</v>
      </c>
      <c r="K330" s="25">
        <f>(Table2[[#This Row],[Home Pace]]/100)*(VLOOKUP(Table2[[#This Row],[Home/Neutral]],home_lookup,8,FALSE)+VLOOKUP(Table2[[#This Row],[Home/Neutral]],OFR_lookup,2,FALSE)+VLOOKUP(Table2[[#This Row],[Visitor/Neutral]],def_diff_lookup,6,FALSE))</f>
        <v>107.64513167891479</v>
      </c>
      <c r="L330" s="25"/>
      <c r="M330" s="25">
        <f>(Table2[[#This Row],[Away Pace]]/100)*(VLOOKUP(Table2[[#This Row],[Visitor/Neutral]],OFR_lookup,2,FALSE)+VLOOKUP(Table2[[#This Row],[Home/Neutral]],def_diff_lookup,6,FALSE))</f>
        <v>104.59264</v>
      </c>
      <c r="N330" s="25"/>
      <c r="O330" s="25"/>
      <c r="P330">
        <f>VLOOKUP(Table2[[#This Row],[Home/Neutral]],pace_lookup,7,FALSE)</f>
        <v>94.2</v>
      </c>
      <c r="Q330" s="5">
        <f>VLOOKUP(Table2[[#This Row],[Visitor/Neutral]],pace_lookup,7,FALSE)</f>
        <v>96</v>
      </c>
      <c r="R330" s="9"/>
      <c r="V330" s="2">
        <f>-home-VLOOKUP(Table2[[#This Row],[Home/Neutral]],rtg_vlookup,4,FALSE)+VLOOKUP(Table2[[#This Row],[Visitor/Neutral]],rtg_vlookup,4,FALSE)</f>
        <v>5.744881516587669</v>
      </c>
      <c r="W330" s="25"/>
      <c r="X330" s="2"/>
      <c r="Y330" s="2">
        <f>Table2[[#This Row],[Away EV]]-Table2[[#This Row],[Home EV]]</f>
        <v>-3.0524916789147909</v>
      </c>
      <c r="Z330" s="33"/>
      <c r="AA330" s="34"/>
      <c r="AB330" s="5" t="b">
        <f>IF(VLOOKUP(Table2[[#This Row],[Home/Neutral]],division_lookup,9,FALSE)=VLOOKUP(Table2[[#This Row],[Visitor/Neutral]],division_lookup,9,FALSE),TRUE,FALSE)</f>
        <v>0</v>
      </c>
      <c r="AC330" s="19" t="str">
        <f>VLOOKUP(Table2[[#This Row],[Home/Neutral]],division_lookup,9,FALSE)</f>
        <v>SE</v>
      </c>
      <c r="AD330" s="19"/>
      <c r="AE330" s="19" t="str">
        <f>IF(Table2[[#This Row],[Total EV ®]]&lt;Table2[[#This Row],[Total (V)]],"UNDER","OVER")</f>
        <v>OVER</v>
      </c>
      <c r="AF330" s="30">
        <f>Table2[[#This Row],[(A) Spread]]-Table2[[#This Row],[Spread (V)]]</f>
        <v>0</v>
      </c>
      <c r="AG330" s="19"/>
      <c r="AH330" s="2">
        <f>Table2[[#This Row],[EV]]-Table2[[#This Row],[Spread (V)]]</f>
        <v>-3.0524916789147909</v>
      </c>
      <c r="AI330" s="22">
        <f>Table2[[#This Row],[(A)]]-Table2[[#This Row],[Spread]]</f>
        <v>5.744881516587669</v>
      </c>
      <c r="AJ330" s="1">
        <f>Table2[[#This Row],[(A) Err]]^2</f>
        <v>33.003663639630638</v>
      </c>
      <c r="AK330" s="6">
        <f>Table2[[#This Row],[EV]]-Table2[[#This Row],[Spread]]</f>
        <v>-3.0524916789147909</v>
      </c>
      <c r="AL330" s="1">
        <f>Table2[[#This Row],[EV Err]]^2</f>
        <v>9.3177054498440395</v>
      </c>
    </row>
    <row r="331" spans="1:38" x14ac:dyDescent="0.25">
      <c r="A331" t="s">
        <v>85</v>
      </c>
      <c r="B331" t="s">
        <v>36</v>
      </c>
      <c r="C331" t="s">
        <v>33</v>
      </c>
      <c r="K331" s="25">
        <f>(Table2[[#This Row],[Home Pace]]/100)*(VLOOKUP(Table2[[#This Row],[Home/Neutral]],home_lookup,8,FALSE)+VLOOKUP(Table2[[#This Row],[Home/Neutral]],OFR_lookup,2,FALSE)+VLOOKUP(Table2[[#This Row],[Visitor/Neutral]],def_diff_lookup,6,FALSE))</f>
        <v>110.01695156604043</v>
      </c>
      <c r="L331" s="25"/>
      <c r="M331" s="25">
        <f>(Table2[[#This Row],[Away Pace]]/100)*(VLOOKUP(Table2[[#This Row],[Visitor/Neutral]],OFR_lookup,2,FALSE)+VLOOKUP(Table2[[#This Row],[Home/Neutral]],def_diff_lookup,6,FALSE))</f>
        <v>104.48545466666667</v>
      </c>
      <c r="N331" s="25"/>
      <c r="O331" s="25"/>
      <c r="P331">
        <f>VLOOKUP(Table2[[#This Row],[Home/Neutral]],pace_lookup,7,FALSE)</f>
        <v>102.2</v>
      </c>
      <c r="Q331" s="5">
        <f>VLOOKUP(Table2[[#This Row],[Visitor/Neutral]],pace_lookup,7,FALSE)</f>
        <v>98.2</v>
      </c>
      <c r="R331" s="9"/>
      <c r="V331" s="2">
        <f>-home-VLOOKUP(Table2[[#This Row],[Home/Neutral]],rtg_vlookup,4,FALSE)+VLOOKUP(Table2[[#This Row],[Visitor/Neutral]],rtg_vlookup,4,FALSE)</f>
        <v>-1.7651184834123308</v>
      </c>
      <c r="W331" s="25"/>
      <c r="X331" s="2"/>
      <c r="Y331" s="2">
        <f>Table2[[#This Row],[Away EV]]-Table2[[#This Row],[Home EV]]</f>
        <v>-5.5314968993737637</v>
      </c>
      <c r="Z331" s="33"/>
      <c r="AA331" s="34"/>
      <c r="AB331" s="5" t="b">
        <f>IF(VLOOKUP(Table2[[#This Row],[Home/Neutral]],division_lookup,9,FALSE)=VLOOKUP(Table2[[#This Row],[Visitor/Neutral]],division_lookup,9,FALSE),TRUE,FALSE)</f>
        <v>0</v>
      </c>
      <c r="AC331" s="19" t="str">
        <f>VLOOKUP(Table2[[#This Row],[Home/Neutral]],division_lookup,9,FALSE)</f>
        <v>P</v>
      </c>
      <c r="AD331" s="19"/>
      <c r="AE331" s="19" t="str">
        <f>IF(Table2[[#This Row],[Total EV ®]]&lt;Table2[[#This Row],[Total (V)]],"UNDER","OVER")</f>
        <v>OVER</v>
      </c>
      <c r="AF331" s="30">
        <f>Table2[[#This Row],[(A) Spread]]-Table2[[#This Row],[Spread (V)]]</f>
        <v>0</v>
      </c>
      <c r="AG331" s="19"/>
      <c r="AH331" s="2">
        <f>Table2[[#This Row],[EV]]-Table2[[#This Row],[Spread (V)]]</f>
        <v>-5.5314968993737637</v>
      </c>
      <c r="AI331" s="22">
        <f>Table2[[#This Row],[(A)]]-Table2[[#This Row],[Spread]]</f>
        <v>-1.7651184834123308</v>
      </c>
      <c r="AJ331" s="1">
        <f>Table2[[#This Row],[(A) Err]]^2</f>
        <v>3.1156432604838469</v>
      </c>
      <c r="AK331" s="6">
        <f>Table2[[#This Row],[EV]]-Table2[[#This Row],[Spread]]</f>
        <v>-5.5314968993737637</v>
      </c>
      <c r="AL331" s="1">
        <f>Table2[[#This Row],[EV Err]]^2</f>
        <v>30.59745794778156</v>
      </c>
    </row>
    <row r="332" spans="1:38" x14ac:dyDescent="0.25">
      <c r="A332" t="s">
        <v>86</v>
      </c>
      <c r="B332" t="s">
        <v>13</v>
      </c>
      <c r="C332" t="s">
        <v>6</v>
      </c>
      <c r="K332" s="25">
        <f>(Table2[[#This Row],[Home Pace]]/100)*(VLOOKUP(Table2[[#This Row],[Home/Neutral]],home_lookup,8,FALSE)+VLOOKUP(Table2[[#This Row],[Home/Neutral]],OFR_lookup,2,FALSE)+VLOOKUP(Table2[[#This Row],[Visitor/Neutral]],def_diff_lookup,6,FALSE))</f>
        <v>103.21864108450401</v>
      </c>
      <c r="L332" s="25"/>
      <c r="M332" s="25">
        <f>(Table2[[#This Row],[Away Pace]]/100)*(VLOOKUP(Table2[[#This Row],[Visitor/Neutral]],OFR_lookup,2,FALSE)+VLOOKUP(Table2[[#This Row],[Home/Neutral]],def_diff_lookup,6,FALSE))</f>
        <v>102.70854066666668</v>
      </c>
      <c r="N332" s="25"/>
      <c r="O332" s="25"/>
      <c r="P332">
        <f>VLOOKUP(Table2[[#This Row],[Home/Neutral]],pace_lookup,7,FALSE)</f>
        <v>94.5</v>
      </c>
      <c r="Q332" s="5">
        <f>VLOOKUP(Table2[[#This Row],[Visitor/Neutral]],pace_lookup,7,FALSE)</f>
        <v>93.1</v>
      </c>
      <c r="R332" s="9"/>
      <c r="V332" s="2">
        <f>-home-VLOOKUP(Table2[[#This Row],[Home/Neutral]],rtg_vlookup,4,FALSE)+VLOOKUP(Table2[[#This Row],[Visitor/Neutral]],rtg_vlookup,4,FALSE)</f>
        <v>-1.3651184834123313</v>
      </c>
      <c r="W332" s="25"/>
      <c r="X332" s="2"/>
      <c r="Y332" s="2">
        <f>Table2[[#This Row],[Away EV]]-Table2[[#This Row],[Home EV]]</f>
        <v>-0.51010041783733584</v>
      </c>
      <c r="Z332" s="33"/>
      <c r="AA332" s="34"/>
      <c r="AB332" s="5" t="b">
        <f>IF(VLOOKUP(Table2[[#This Row],[Home/Neutral]],division_lookup,9,FALSE)=VLOOKUP(Table2[[#This Row],[Visitor/Neutral]],division_lookup,9,FALSE),TRUE,FALSE)</f>
        <v>0</v>
      </c>
      <c r="AC332" s="19" t="str">
        <f>VLOOKUP(Table2[[#This Row],[Home/Neutral]],division_lookup,9,FALSE)</f>
        <v>C</v>
      </c>
      <c r="AD332" s="19"/>
      <c r="AE332" s="19" t="str">
        <f>IF(Table2[[#This Row],[Total EV ®]]&lt;Table2[[#This Row],[Total (V)]],"UNDER","OVER")</f>
        <v>OVER</v>
      </c>
      <c r="AF332" s="30">
        <f>Table2[[#This Row],[(A) Spread]]-Table2[[#This Row],[Spread (V)]]</f>
        <v>0</v>
      </c>
      <c r="AG332" s="19"/>
      <c r="AH332" s="2">
        <f>Table2[[#This Row],[EV]]-Table2[[#This Row],[Spread (V)]]</f>
        <v>-0.51010041783733584</v>
      </c>
      <c r="AI332" s="22">
        <f>Table2[[#This Row],[(A)]]-Table2[[#This Row],[Spread]]</f>
        <v>-1.3651184834123313</v>
      </c>
      <c r="AJ332" s="1">
        <f>Table2[[#This Row],[(A) Err]]^2</f>
        <v>1.8635484737539836</v>
      </c>
      <c r="AK332" s="6">
        <f>Table2[[#This Row],[EV]]-Table2[[#This Row],[Spread]]</f>
        <v>-0.51010041783733584</v>
      </c>
      <c r="AL332" s="1">
        <f>Table2[[#This Row],[EV Err]]^2</f>
        <v>0.26020243627782463</v>
      </c>
    </row>
    <row r="333" spans="1:38" x14ac:dyDescent="0.25">
      <c r="A333" t="s">
        <v>86</v>
      </c>
      <c r="B333" t="s">
        <v>23</v>
      </c>
      <c r="C333" t="s">
        <v>32</v>
      </c>
      <c r="K333" s="25">
        <f>(Table2[[#This Row],[Home Pace]]/100)*(VLOOKUP(Table2[[#This Row],[Home/Neutral]],home_lookup,8,FALSE)+VLOOKUP(Table2[[#This Row],[Home/Neutral]],OFR_lookup,2,FALSE)+VLOOKUP(Table2[[#This Row],[Visitor/Neutral]],def_diff_lookup,6,FALSE))</f>
        <v>106.61488735871359</v>
      </c>
      <c r="L333" s="25"/>
      <c r="M333" s="25">
        <f>(Table2[[#This Row],[Away Pace]]/100)*(VLOOKUP(Table2[[#This Row],[Visitor/Neutral]],OFR_lookup,2,FALSE)+VLOOKUP(Table2[[#This Row],[Home/Neutral]],def_diff_lookup,6,FALSE))</f>
        <v>102.64325733333335</v>
      </c>
      <c r="N333" s="25"/>
      <c r="O333" s="25"/>
      <c r="P333">
        <f>VLOOKUP(Table2[[#This Row],[Home/Neutral]],pace_lookup,7,FALSE)</f>
        <v>92.5</v>
      </c>
      <c r="Q333" s="5">
        <f>VLOOKUP(Table2[[#This Row],[Visitor/Neutral]],pace_lookup,7,FALSE)</f>
        <v>98.6</v>
      </c>
      <c r="R333" s="9"/>
      <c r="V333" s="2">
        <f>-home-VLOOKUP(Table2[[#This Row],[Home/Neutral]],rtg_vlookup,4,FALSE)+VLOOKUP(Table2[[#This Row],[Visitor/Neutral]],rtg_vlookup,4,FALSE)</f>
        <v>-8.0051184834123319</v>
      </c>
      <c r="W333" s="25"/>
      <c r="X333" s="2"/>
      <c r="Y333" s="2">
        <f>Table2[[#This Row],[Away EV]]-Table2[[#This Row],[Home EV]]</f>
        <v>-3.9716300253802359</v>
      </c>
      <c r="Z333" s="33"/>
      <c r="AA333" s="34"/>
      <c r="AB333" s="5" t="b">
        <f>IF(VLOOKUP(Table2[[#This Row],[Home/Neutral]],division_lookup,9,FALSE)=VLOOKUP(Table2[[#This Row],[Visitor/Neutral]],division_lookup,9,FALSE),TRUE,FALSE)</f>
        <v>0</v>
      </c>
      <c r="AC333" s="19" t="str">
        <f>VLOOKUP(Table2[[#This Row],[Home/Neutral]],division_lookup,9,FALSE)</f>
        <v>SW</v>
      </c>
      <c r="AD333" s="19"/>
      <c r="AE333" s="19" t="str">
        <f>IF(Table2[[#This Row],[Total EV ®]]&lt;Table2[[#This Row],[Total (V)]],"UNDER","OVER")</f>
        <v>OVER</v>
      </c>
      <c r="AF333" s="30">
        <f>Table2[[#This Row],[(A) Spread]]-Table2[[#This Row],[Spread (V)]]</f>
        <v>0</v>
      </c>
      <c r="AG333" s="19"/>
      <c r="AH333" s="2">
        <f>Table2[[#This Row],[EV]]-Table2[[#This Row],[Spread (V)]]</f>
        <v>-3.9716300253802359</v>
      </c>
      <c r="AI333" s="22">
        <f>Table2[[#This Row],[(A)]]-Table2[[#This Row],[Spread]]</f>
        <v>-8.0051184834123319</v>
      </c>
      <c r="AJ333" s="1">
        <f>Table2[[#This Row],[(A) Err]]^2</f>
        <v>64.081921933469758</v>
      </c>
      <c r="AK333" s="6">
        <f>Table2[[#This Row],[EV]]-Table2[[#This Row],[Spread]]</f>
        <v>-3.9716300253802359</v>
      </c>
      <c r="AL333" s="1">
        <f>Table2[[#This Row],[EV Err]]^2</f>
        <v>15.773845058501813</v>
      </c>
    </row>
    <row r="334" spans="1:38" x14ac:dyDescent="0.25">
      <c r="A334" t="s">
        <v>86</v>
      </c>
      <c r="B334" t="s">
        <v>34</v>
      </c>
      <c r="C334" t="s">
        <v>39</v>
      </c>
      <c r="K334" s="25">
        <f>(Table2[[#This Row],[Home Pace]]/100)*(VLOOKUP(Table2[[#This Row],[Home/Neutral]],home_lookup,8,FALSE)+VLOOKUP(Table2[[#This Row],[Home/Neutral]],OFR_lookup,2,FALSE)+VLOOKUP(Table2[[#This Row],[Visitor/Neutral]],def_diff_lookup,6,FALSE))</f>
        <v>107.88143864565555</v>
      </c>
      <c r="L334" s="25"/>
      <c r="M334" s="25">
        <f>(Table2[[#This Row],[Away Pace]]/100)*(VLOOKUP(Table2[[#This Row],[Visitor/Neutral]],OFR_lookup,2,FALSE)+VLOOKUP(Table2[[#This Row],[Home/Neutral]],def_diff_lookup,6,FALSE))</f>
        <v>97.30565</v>
      </c>
      <c r="N334" s="25"/>
      <c r="O334" s="25"/>
      <c r="P334">
        <f>VLOOKUP(Table2[[#This Row],[Home/Neutral]],pace_lookup,7,FALSE)</f>
        <v>98.8</v>
      </c>
      <c r="Q334" s="5">
        <f>VLOOKUP(Table2[[#This Row],[Visitor/Neutral]],pace_lookup,7,FALSE)</f>
        <v>97.5</v>
      </c>
      <c r="R334" s="9"/>
      <c r="V334" s="2">
        <f>-home-VLOOKUP(Table2[[#This Row],[Home/Neutral]],rtg_vlookup,4,FALSE)+VLOOKUP(Table2[[#This Row],[Visitor/Neutral]],rtg_vlookup,4,FALSE)</f>
        <v>-6.9651184834123301</v>
      </c>
      <c r="W334" s="25"/>
      <c r="X334" s="2"/>
      <c r="Y334" s="2">
        <f>Table2[[#This Row],[Away EV]]-Table2[[#This Row],[Home EV]]</f>
        <v>-10.57578864565555</v>
      </c>
      <c r="Z334" s="33"/>
      <c r="AA334" s="34"/>
      <c r="AB334" s="5" t="b">
        <f>IF(VLOOKUP(Table2[[#This Row],[Home/Neutral]],division_lookup,9,FALSE)=VLOOKUP(Table2[[#This Row],[Visitor/Neutral]],division_lookup,9,FALSE),TRUE,FALSE)</f>
        <v>0</v>
      </c>
      <c r="AC334" s="19" t="str">
        <f>VLOOKUP(Table2[[#This Row],[Home/Neutral]],division_lookup,9,FALSE)</f>
        <v>SW</v>
      </c>
      <c r="AD334" s="19"/>
      <c r="AE334" s="19" t="str">
        <f>IF(Table2[[#This Row],[Total EV ®]]&lt;Table2[[#This Row],[Total (V)]],"UNDER","OVER")</f>
        <v>OVER</v>
      </c>
      <c r="AF334" s="30">
        <f>Table2[[#This Row],[(A) Spread]]-Table2[[#This Row],[Spread (V)]]</f>
        <v>0</v>
      </c>
      <c r="AG334" s="19"/>
      <c r="AH334" s="2">
        <f>Table2[[#This Row],[EV]]-Table2[[#This Row],[Spread (V)]]</f>
        <v>-10.57578864565555</v>
      </c>
      <c r="AI334" s="22">
        <f>Table2[[#This Row],[(A)]]-Table2[[#This Row],[Spread]]</f>
        <v>-6.9651184834123301</v>
      </c>
      <c r="AJ334" s="1">
        <f>Table2[[#This Row],[(A) Err]]^2</f>
        <v>48.512875487972074</v>
      </c>
      <c r="AK334" s="6">
        <f>Table2[[#This Row],[EV]]-Table2[[#This Row],[Spread]]</f>
        <v>-10.57578864565555</v>
      </c>
      <c r="AL334" s="1">
        <f>Table2[[#This Row],[EV Err]]^2</f>
        <v>111.84730547757684</v>
      </c>
    </row>
    <row r="335" spans="1:38" x14ac:dyDescent="0.25">
      <c r="A335" t="s">
        <v>86</v>
      </c>
      <c r="B335" t="s">
        <v>14</v>
      </c>
      <c r="C335" t="s">
        <v>22</v>
      </c>
      <c r="K335" s="25">
        <f>(Table2[[#This Row],[Home Pace]]/100)*(VLOOKUP(Table2[[#This Row],[Home/Neutral]],home_lookup,8,FALSE)+VLOOKUP(Table2[[#This Row],[Home/Neutral]],OFR_lookup,2,FALSE)+VLOOKUP(Table2[[#This Row],[Visitor/Neutral]],def_diff_lookup,6,FALSE))</f>
        <v>111.03255414241451</v>
      </c>
      <c r="L335" s="25"/>
      <c r="M335" s="25">
        <f>(Table2[[#This Row],[Away Pace]]/100)*(VLOOKUP(Table2[[#This Row],[Visitor/Neutral]],OFR_lookup,2,FALSE)+VLOOKUP(Table2[[#This Row],[Home/Neutral]],def_diff_lookup,6,FALSE))</f>
        <v>107.13474133333335</v>
      </c>
      <c r="N335" s="25"/>
      <c r="O335" s="25"/>
      <c r="P335">
        <f>VLOOKUP(Table2[[#This Row],[Home/Neutral]],pace_lookup,7,FALSE)</f>
        <v>95.9</v>
      </c>
      <c r="Q335" s="5">
        <f>VLOOKUP(Table2[[#This Row],[Visitor/Neutral]],pace_lookup,7,FALSE)</f>
        <v>94.7</v>
      </c>
      <c r="R335" s="9"/>
      <c r="V335" s="2">
        <f>-home-VLOOKUP(Table2[[#This Row],[Home/Neutral]],rtg_vlookup,4,FALSE)+VLOOKUP(Table2[[#This Row],[Visitor/Neutral]],rtg_vlookup,4,FALSE)</f>
        <v>-6.7851184834123304</v>
      </c>
      <c r="W335" s="25"/>
      <c r="X335" s="2"/>
      <c r="Y335" s="2">
        <f>Table2[[#This Row],[Away EV]]-Table2[[#This Row],[Home EV]]</f>
        <v>-3.8978128090811595</v>
      </c>
      <c r="Z335" s="33"/>
      <c r="AA335" s="34"/>
      <c r="AB335" s="5" t="b">
        <f>IF(VLOOKUP(Table2[[#This Row],[Home/Neutral]],division_lookup,9,FALSE)=VLOOKUP(Table2[[#This Row],[Visitor/Neutral]],division_lookup,9,FALSE),TRUE,FALSE)</f>
        <v>0</v>
      </c>
      <c r="AC335" s="19" t="str">
        <f>VLOOKUP(Table2[[#This Row],[Home/Neutral]],division_lookup,9,FALSE)</f>
        <v>A</v>
      </c>
      <c r="AD335" s="19"/>
      <c r="AE335" s="19" t="str">
        <f>IF(Table2[[#This Row],[Total EV ®]]&lt;Table2[[#This Row],[Total (V)]],"UNDER","OVER")</f>
        <v>OVER</v>
      </c>
      <c r="AF335" s="30">
        <f>Table2[[#This Row],[(A) Spread]]-Table2[[#This Row],[Spread (V)]]</f>
        <v>0</v>
      </c>
      <c r="AG335" s="19"/>
      <c r="AH335" s="2">
        <f>Table2[[#This Row],[EV]]-Table2[[#This Row],[Spread (V)]]</f>
        <v>-3.8978128090811595</v>
      </c>
      <c r="AI335" s="22">
        <f>Table2[[#This Row],[(A)]]-Table2[[#This Row],[Spread]]</f>
        <v>-6.7851184834123304</v>
      </c>
      <c r="AJ335" s="1">
        <f>Table2[[#This Row],[(A) Err]]^2</f>
        <v>46.037832833943639</v>
      </c>
      <c r="AK335" s="6">
        <f>Table2[[#This Row],[EV]]-Table2[[#This Row],[Spread]]</f>
        <v>-3.8978128090811595</v>
      </c>
      <c r="AL335" s="1">
        <f>Table2[[#This Row],[EV Err]]^2</f>
        <v>15.192944694637159</v>
      </c>
    </row>
    <row r="336" spans="1:38" x14ac:dyDescent="0.25">
      <c r="A336" t="s">
        <v>86</v>
      </c>
      <c r="B336" t="s">
        <v>20</v>
      </c>
      <c r="C336" t="s">
        <v>10</v>
      </c>
      <c r="K336" s="25">
        <f>(Table2[[#This Row],[Home Pace]]/100)*(VLOOKUP(Table2[[#This Row],[Home/Neutral]],home_lookup,8,FALSE)+VLOOKUP(Table2[[#This Row],[Home/Neutral]],OFR_lookup,2,FALSE)+VLOOKUP(Table2[[#This Row],[Visitor/Neutral]],def_diff_lookup,6,FALSE))</f>
        <v>105.33773528915177</v>
      </c>
      <c r="L336" s="25"/>
      <c r="M336" s="25">
        <f>(Table2[[#This Row],[Away Pace]]/100)*(VLOOKUP(Table2[[#This Row],[Visitor/Neutral]],OFR_lookup,2,FALSE)+VLOOKUP(Table2[[#This Row],[Home/Neutral]],def_diff_lookup,6,FALSE))</f>
        <v>115.24536866666666</v>
      </c>
      <c r="N336" s="25"/>
      <c r="O336" s="25"/>
      <c r="P336">
        <f>VLOOKUP(Table2[[#This Row],[Home/Neutral]],pace_lookup,7,FALSE)</f>
        <v>90.9</v>
      </c>
      <c r="Q336" s="5">
        <f>VLOOKUP(Table2[[#This Row],[Visitor/Neutral]],pace_lookup,7,FALSE)</f>
        <v>100.3</v>
      </c>
      <c r="R336" s="9"/>
      <c r="V336" s="2">
        <f>-home-VLOOKUP(Table2[[#This Row],[Home/Neutral]],rtg_vlookup,4,FALSE)+VLOOKUP(Table2[[#This Row],[Visitor/Neutral]],rtg_vlookup,4,FALSE)</f>
        <v>4.0148815165876695</v>
      </c>
      <c r="W336" s="25"/>
      <c r="X336" s="2"/>
      <c r="Y336" s="2">
        <f>Table2[[#This Row],[Away EV]]-Table2[[#This Row],[Home EV]]</f>
        <v>9.9076333775148981</v>
      </c>
      <c r="Z336" s="33"/>
      <c r="AA336" s="34"/>
      <c r="AB336" s="5" t="b">
        <f>IF(VLOOKUP(Table2[[#This Row],[Home/Neutral]],division_lookup,9,FALSE)=VLOOKUP(Table2[[#This Row],[Visitor/Neutral]],division_lookup,9,FALSE),TRUE,FALSE)</f>
        <v>0</v>
      </c>
      <c r="AC336" s="19" t="str">
        <f>VLOOKUP(Table2[[#This Row],[Home/Neutral]],division_lookup,9,FALSE)</f>
        <v>NW</v>
      </c>
      <c r="AD336" s="19"/>
      <c r="AE336" s="19" t="str">
        <f>IF(Table2[[#This Row],[Total EV ®]]&lt;Table2[[#This Row],[Total (V)]],"UNDER","OVER")</f>
        <v>OVER</v>
      </c>
      <c r="AF336" s="30">
        <f>Table2[[#This Row],[(A) Spread]]-Table2[[#This Row],[Spread (V)]]</f>
        <v>0</v>
      </c>
      <c r="AG336" s="19"/>
      <c r="AH336" s="2">
        <f>Table2[[#This Row],[EV]]-Table2[[#This Row],[Spread (V)]]</f>
        <v>9.9076333775148981</v>
      </c>
      <c r="AI336" s="22">
        <f>Table2[[#This Row],[(A)]]-Table2[[#This Row],[Spread]]</f>
        <v>4.0148815165876695</v>
      </c>
      <c r="AJ336" s="1">
        <f>Table2[[#This Row],[(A) Err]]^2</f>
        <v>16.119273592237306</v>
      </c>
      <c r="AK336" s="6">
        <f>Table2[[#This Row],[EV]]-Table2[[#This Row],[Spread]]</f>
        <v>9.9076333775148981</v>
      </c>
      <c r="AL336" s="1">
        <f>Table2[[#This Row],[EV Err]]^2</f>
        <v>98.161199143247273</v>
      </c>
    </row>
    <row r="337" spans="1:38" x14ac:dyDescent="0.25">
      <c r="A337" t="s">
        <v>86</v>
      </c>
      <c r="B337" t="s">
        <v>28</v>
      </c>
      <c r="C337" t="s">
        <v>27</v>
      </c>
      <c r="K337" s="25">
        <f>(Table2[[#This Row],[Home Pace]]/100)*(VLOOKUP(Table2[[#This Row],[Home/Neutral]],home_lookup,8,FALSE)+VLOOKUP(Table2[[#This Row],[Home/Neutral]],OFR_lookup,2,FALSE)+VLOOKUP(Table2[[#This Row],[Visitor/Neutral]],def_diff_lookup,6,FALSE))</f>
        <v>107.92058553204274</v>
      </c>
      <c r="L337" s="25"/>
      <c r="M337" s="25">
        <f>(Table2[[#This Row],[Away Pace]]/100)*(VLOOKUP(Table2[[#This Row],[Visitor/Neutral]],OFR_lookup,2,FALSE)+VLOOKUP(Table2[[#This Row],[Home/Neutral]],def_diff_lookup,6,FALSE))</f>
        <v>107.19786000000001</v>
      </c>
      <c r="N337" s="25"/>
      <c r="O337" s="25"/>
      <c r="P337">
        <f>VLOOKUP(Table2[[#This Row],[Home/Neutral]],pace_lookup,7,FALSE)</f>
        <v>96.3</v>
      </c>
      <c r="Q337" s="5">
        <f>VLOOKUP(Table2[[#This Row],[Visitor/Neutral]],pace_lookup,7,FALSE)</f>
        <v>99</v>
      </c>
      <c r="R337" s="9"/>
      <c r="V337" s="2">
        <f>-home-VLOOKUP(Table2[[#This Row],[Home/Neutral]],rtg_vlookup,4,FALSE)+VLOOKUP(Table2[[#This Row],[Visitor/Neutral]],rtg_vlookup,4,FALSE)</f>
        <v>-1.4051184834123305</v>
      </c>
      <c r="W337" s="25"/>
      <c r="X337" s="2"/>
      <c r="Y337" s="2">
        <f>Table2[[#This Row],[Away EV]]-Table2[[#This Row],[Home EV]]</f>
        <v>-0.72272553204273038</v>
      </c>
      <c r="Z337" s="33"/>
      <c r="AA337" s="34"/>
      <c r="AB337" s="5" t="b">
        <f>IF(VLOOKUP(Table2[[#This Row],[Home/Neutral]],division_lookup,9,FALSE)=VLOOKUP(Table2[[#This Row],[Visitor/Neutral]],division_lookup,9,FALSE),TRUE,FALSE)</f>
        <v>0</v>
      </c>
      <c r="AC337" s="19" t="str">
        <f>VLOOKUP(Table2[[#This Row],[Home/Neutral]],division_lookup,9,FALSE)</f>
        <v>SE</v>
      </c>
      <c r="AD337" s="19"/>
      <c r="AE337" s="19" t="str">
        <f>IF(Table2[[#This Row],[Total EV ®]]&lt;Table2[[#This Row],[Total (V)]],"UNDER","OVER")</f>
        <v>OVER</v>
      </c>
      <c r="AF337" s="30">
        <f>Table2[[#This Row],[(A) Spread]]-Table2[[#This Row],[Spread (V)]]</f>
        <v>0</v>
      </c>
      <c r="AG337" s="19"/>
      <c r="AH337" s="2">
        <f>Table2[[#This Row],[EV]]-Table2[[#This Row],[Spread (V)]]</f>
        <v>-0.72272553204273038</v>
      </c>
      <c r="AI337" s="22">
        <f>Table2[[#This Row],[(A)]]-Table2[[#This Row],[Spread]]</f>
        <v>-1.4051184834123305</v>
      </c>
      <c r="AJ337" s="1">
        <f>Table2[[#This Row],[(A) Err]]^2</f>
        <v>1.9743579524269677</v>
      </c>
      <c r="AK337" s="6">
        <f>Table2[[#This Row],[EV]]-Table2[[#This Row],[Spread]]</f>
        <v>-0.72272553204273038</v>
      </c>
      <c r="AL337" s="1">
        <f>Table2[[#This Row],[EV Err]]^2</f>
        <v>0.52233219466644765</v>
      </c>
    </row>
    <row r="338" spans="1:38" x14ac:dyDescent="0.25">
      <c r="A338" t="s">
        <v>87</v>
      </c>
      <c r="B338" t="s">
        <v>26</v>
      </c>
      <c r="C338" t="s">
        <v>14</v>
      </c>
      <c r="K338" s="25">
        <f>(Table2[[#This Row],[Home Pace]]/100)*(VLOOKUP(Table2[[#This Row],[Home/Neutral]],home_lookup,8,FALSE)+VLOOKUP(Table2[[#This Row],[Home/Neutral]],OFR_lookup,2,FALSE)+VLOOKUP(Table2[[#This Row],[Visitor/Neutral]],def_diff_lookup,6,FALSE))</f>
        <v>108.66576358918159</v>
      </c>
      <c r="L338" s="25"/>
      <c r="M338" s="25">
        <f>(Table2[[#This Row],[Away Pace]]/100)*(VLOOKUP(Table2[[#This Row],[Visitor/Neutral]],OFR_lookup,2,FALSE)+VLOOKUP(Table2[[#This Row],[Home/Neutral]],def_diff_lookup,6,FALSE))</f>
        <v>110.21850933333336</v>
      </c>
      <c r="N338" s="25"/>
      <c r="O338" s="25"/>
      <c r="P338">
        <f>VLOOKUP(Table2[[#This Row],[Home/Neutral]],pace_lookup,7,FALSE)</f>
        <v>96</v>
      </c>
      <c r="Q338" s="5">
        <f>VLOOKUP(Table2[[#This Row],[Visitor/Neutral]],pace_lookup,7,FALSE)</f>
        <v>95.9</v>
      </c>
      <c r="R338" s="9"/>
      <c r="V338" s="2">
        <f>-home-VLOOKUP(Table2[[#This Row],[Home/Neutral]],rtg_vlookup,4,FALSE)+VLOOKUP(Table2[[#This Row],[Visitor/Neutral]],rtg_vlookup,4,FALSE)</f>
        <v>2.4648815165876687</v>
      </c>
      <c r="W338" s="25"/>
      <c r="X338" s="2"/>
      <c r="Y338" s="2">
        <f>Table2[[#This Row],[Away EV]]-Table2[[#This Row],[Home EV]]</f>
        <v>1.552745744151764</v>
      </c>
      <c r="Z338" s="33"/>
      <c r="AA338" s="34"/>
      <c r="AB338" s="5" t="b">
        <f>IF(VLOOKUP(Table2[[#This Row],[Home/Neutral]],division_lookup,9,FALSE)=VLOOKUP(Table2[[#This Row],[Visitor/Neutral]],division_lookup,9,FALSE),TRUE,FALSE)</f>
        <v>1</v>
      </c>
      <c r="AC338" s="19" t="str">
        <f>VLOOKUP(Table2[[#This Row],[Home/Neutral]],division_lookup,9,FALSE)</f>
        <v>A</v>
      </c>
      <c r="AD338" s="19"/>
      <c r="AE338" s="19" t="str">
        <f>IF(Table2[[#This Row],[Total EV ®]]&lt;Table2[[#This Row],[Total (V)]],"UNDER","OVER")</f>
        <v>OVER</v>
      </c>
      <c r="AF338" s="30">
        <f>Table2[[#This Row],[(A) Spread]]-Table2[[#This Row],[Spread (V)]]</f>
        <v>0</v>
      </c>
      <c r="AG338" s="19"/>
      <c r="AH338" s="2">
        <f>Table2[[#This Row],[EV]]-Table2[[#This Row],[Spread (V)]]</f>
        <v>1.552745744151764</v>
      </c>
      <c r="AI338" s="22">
        <f>Table2[[#This Row],[(A)]]-Table2[[#This Row],[Spread]]</f>
        <v>2.4648815165876687</v>
      </c>
      <c r="AJ338" s="1">
        <f>Table2[[#This Row],[(A) Err]]^2</f>
        <v>6.0756408908155262</v>
      </c>
      <c r="AK338" s="6">
        <f>Table2[[#This Row],[EV]]-Table2[[#This Row],[Spread]]</f>
        <v>1.552745744151764</v>
      </c>
      <c r="AL338" s="1">
        <f>Table2[[#This Row],[EV Err]]^2</f>
        <v>2.4110193459814155</v>
      </c>
    </row>
    <row r="339" spans="1:38" x14ac:dyDescent="0.25">
      <c r="A339" t="s">
        <v>87</v>
      </c>
      <c r="B339" t="s">
        <v>16</v>
      </c>
      <c r="C339" t="s">
        <v>38</v>
      </c>
      <c r="K339" s="25">
        <f>(Table2[[#This Row],[Home Pace]]/100)*(VLOOKUP(Table2[[#This Row],[Home/Neutral]],home_lookup,8,FALSE)+VLOOKUP(Table2[[#This Row],[Home/Neutral]],OFR_lookup,2,FALSE)+VLOOKUP(Table2[[#This Row],[Visitor/Neutral]],def_diff_lookup,6,FALSE))</f>
        <v>104.7963560111595</v>
      </c>
      <c r="L339" s="25"/>
      <c r="M339" s="25">
        <f>(Table2[[#This Row],[Away Pace]]/100)*(VLOOKUP(Table2[[#This Row],[Visitor/Neutral]],OFR_lookup,2,FALSE)+VLOOKUP(Table2[[#This Row],[Home/Neutral]],def_diff_lookup,6,FALSE))</f>
        <v>91.346368000000027</v>
      </c>
      <c r="N339" s="25"/>
      <c r="O339" s="25"/>
      <c r="P339">
        <f>VLOOKUP(Table2[[#This Row],[Home/Neutral]],pace_lookup,7,FALSE)</f>
        <v>97.5</v>
      </c>
      <c r="Q339" s="5">
        <f>VLOOKUP(Table2[[#This Row],[Visitor/Neutral]],pace_lookup,7,FALSE)</f>
        <v>94.2</v>
      </c>
      <c r="R339" s="9"/>
      <c r="V339" s="2">
        <f>-home-VLOOKUP(Table2[[#This Row],[Home/Neutral]],rtg_vlookup,4,FALSE)+VLOOKUP(Table2[[#This Row],[Visitor/Neutral]],rtg_vlookup,4,FALSE)</f>
        <v>-14.035118483412329</v>
      </c>
      <c r="W339" s="25"/>
      <c r="X339" s="2"/>
      <c r="Y339" s="2">
        <f>Table2[[#This Row],[Away EV]]-Table2[[#This Row],[Home EV]]</f>
        <v>-13.449988011159476</v>
      </c>
      <c r="Z339" s="33"/>
      <c r="AA339" s="34"/>
      <c r="AB339" s="5" t="b">
        <f>IF(VLOOKUP(Table2[[#This Row],[Home/Neutral]],division_lookup,9,FALSE)=VLOOKUP(Table2[[#This Row],[Visitor/Neutral]],division_lookup,9,FALSE),TRUE,FALSE)</f>
        <v>1</v>
      </c>
      <c r="AC339" s="19" t="str">
        <f>VLOOKUP(Table2[[#This Row],[Home/Neutral]],division_lookup,9,FALSE)</f>
        <v>SE</v>
      </c>
      <c r="AD339" s="19"/>
      <c r="AE339" s="19" t="str">
        <f>IF(Table2[[#This Row],[Total EV ®]]&lt;Table2[[#This Row],[Total (V)]],"UNDER","OVER")</f>
        <v>OVER</v>
      </c>
      <c r="AF339" s="30">
        <f>Table2[[#This Row],[(A) Spread]]-Table2[[#This Row],[Spread (V)]]</f>
        <v>0</v>
      </c>
      <c r="AG339" s="19"/>
      <c r="AH339" s="2">
        <f>Table2[[#This Row],[EV]]-Table2[[#This Row],[Spread (V)]]</f>
        <v>-13.449988011159476</v>
      </c>
      <c r="AI339" s="22">
        <f>Table2[[#This Row],[(A)]]-Table2[[#This Row],[Spread]]</f>
        <v>-14.035118483412329</v>
      </c>
      <c r="AJ339" s="1">
        <f>Table2[[#This Row],[(A) Err]]^2</f>
        <v>196.9845508434224</v>
      </c>
      <c r="AK339" s="6">
        <f>Table2[[#This Row],[EV]]-Table2[[#This Row],[Spread]]</f>
        <v>-13.449988011159476</v>
      </c>
      <c r="AL339" s="1">
        <f>Table2[[#This Row],[EV Err]]^2</f>
        <v>180.90217750033364</v>
      </c>
    </row>
    <row r="340" spans="1:38" x14ac:dyDescent="0.25">
      <c r="A340" t="s">
        <v>87</v>
      </c>
      <c r="B340" t="s">
        <v>8</v>
      </c>
      <c r="C340" t="s">
        <v>21</v>
      </c>
      <c r="K340" s="25">
        <f>(Table2[[#This Row],[Home Pace]]/100)*(VLOOKUP(Table2[[#This Row],[Home/Neutral]],home_lookup,8,FALSE)+VLOOKUP(Table2[[#This Row],[Home/Neutral]],OFR_lookup,2,FALSE)+VLOOKUP(Table2[[#This Row],[Visitor/Neutral]],def_diff_lookup,6,FALSE))</f>
        <v>101.12226036898181</v>
      </c>
      <c r="L340" s="25"/>
      <c r="M340" s="25">
        <f>(Table2[[#This Row],[Away Pace]]/100)*(VLOOKUP(Table2[[#This Row],[Visitor/Neutral]],OFR_lookup,2,FALSE)+VLOOKUP(Table2[[#This Row],[Home/Neutral]],def_diff_lookup,6,FALSE))</f>
        <v>94.662208000000021</v>
      </c>
      <c r="N340" s="25"/>
      <c r="O340" s="25"/>
      <c r="P340">
        <f>VLOOKUP(Table2[[#This Row],[Home/Neutral]],pace_lookup,7,FALSE)</f>
        <v>97.2</v>
      </c>
      <c r="Q340" s="5">
        <f>VLOOKUP(Table2[[#This Row],[Visitor/Neutral]],pace_lookup,7,FALSE)</f>
        <v>94.2</v>
      </c>
      <c r="R340" s="9"/>
      <c r="V340" s="2">
        <f>-home-VLOOKUP(Table2[[#This Row],[Home/Neutral]],rtg_vlookup,4,FALSE)+VLOOKUP(Table2[[#This Row],[Visitor/Neutral]],rtg_vlookup,4,FALSE)</f>
        <v>-9.6751184834123301</v>
      </c>
      <c r="W340" s="25"/>
      <c r="X340" s="2"/>
      <c r="Y340" s="2">
        <f>Table2[[#This Row],[Away EV]]-Table2[[#This Row],[Home EV]]</f>
        <v>-6.4600523689817919</v>
      </c>
      <c r="Z340" s="33"/>
      <c r="AA340" s="34"/>
      <c r="AB340" s="5" t="b">
        <f>IF(VLOOKUP(Table2[[#This Row],[Home/Neutral]],division_lookup,9,FALSE)=VLOOKUP(Table2[[#This Row],[Visitor/Neutral]],division_lookup,9,FALSE),TRUE,FALSE)</f>
        <v>0</v>
      </c>
      <c r="AC340" s="19" t="str">
        <f>VLOOKUP(Table2[[#This Row],[Home/Neutral]],division_lookup,9,FALSE)</f>
        <v>C</v>
      </c>
      <c r="AD340" s="19"/>
      <c r="AE340" s="19" t="str">
        <f>IF(Table2[[#This Row],[Total EV ®]]&lt;Table2[[#This Row],[Total (V)]],"UNDER","OVER")</f>
        <v>OVER</v>
      </c>
      <c r="AF340" s="30">
        <f>Table2[[#This Row],[(A) Spread]]-Table2[[#This Row],[Spread (V)]]</f>
        <v>0</v>
      </c>
      <c r="AG340" s="19"/>
      <c r="AH340" s="2">
        <f>Table2[[#This Row],[EV]]-Table2[[#This Row],[Spread (V)]]</f>
        <v>-6.4600523689817919</v>
      </c>
      <c r="AI340" s="22">
        <f>Table2[[#This Row],[(A)]]-Table2[[#This Row],[Spread]]</f>
        <v>-9.6751184834123301</v>
      </c>
      <c r="AJ340" s="1">
        <f>Table2[[#This Row],[(A) Err]]^2</f>
        <v>93.607917668066904</v>
      </c>
      <c r="AK340" s="6">
        <f>Table2[[#This Row],[EV]]-Table2[[#This Row],[Spread]]</f>
        <v>-6.4600523689817919</v>
      </c>
      <c r="AL340" s="1">
        <f>Table2[[#This Row],[EV Err]]^2</f>
        <v>41.73227660998726</v>
      </c>
    </row>
    <row r="341" spans="1:38" x14ac:dyDescent="0.25">
      <c r="A341" t="s">
        <v>87</v>
      </c>
      <c r="B341" t="s">
        <v>37</v>
      </c>
      <c r="C341" t="s">
        <v>33</v>
      </c>
      <c r="K341" s="25">
        <f>(Table2[[#This Row],[Home Pace]]/100)*(VLOOKUP(Table2[[#This Row],[Home/Neutral]],home_lookup,8,FALSE)+VLOOKUP(Table2[[#This Row],[Home/Neutral]],OFR_lookup,2,FALSE)+VLOOKUP(Table2[[#This Row],[Visitor/Neutral]],def_diff_lookup,6,FALSE))</f>
        <v>104.66069809362122</v>
      </c>
      <c r="L341" s="25"/>
      <c r="M341" s="25">
        <f>(Table2[[#This Row],[Away Pace]]/100)*(VLOOKUP(Table2[[#This Row],[Visitor/Neutral]],OFR_lookup,2,FALSE)+VLOOKUP(Table2[[#This Row],[Home/Neutral]],def_diff_lookup,6,FALSE))</f>
        <v>98.681834666666674</v>
      </c>
      <c r="N341" s="25"/>
      <c r="O341" s="25"/>
      <c r="P341">
        <f>VLOOKUP(Table2[[#This Row],[Home/Neutral]],pace_lookup,7,FALSE)</f>
        <v>92.1</v>
      </c>
      <c r="Q341" s="5">
        <f>VLOOKUP(Table2[[#This Row],[Visitor/Neutral]],pace_lookup,7,FALSE)</f>
        <v>98.2</v>
      </c>
      <c r="R341" s="9"/>
      <c r="V341" s="2">
        <f>-home-VLOOKUP(Table2[[#This Row],[Home/Neutral]],rtg_vlookup,4,FALSE)+VLOOKUP(Table2[[#This Row],[Visitor/Neutral]],rtg_vlookup,4,FALSE)</f>
        <v>-0.48511848341233055</v>
      </c>
      <c r="W341" s="25"/>
      <c r="X341" s="2"/>
      <c r="Y341" s="2">
        <f>Table2[[#This Row],[Away EV]]-Table2[[#This Row],[Home EV]]</f>
        <v>-5.9788634269545469</v>
      </c>
      <c r="Z341" s="33"/>
      <c r="AA341" s="34"/>
      <c r="AB341" s="5" t="b">
        <f>IF(VLOOKUP(Table2[[#This Row],[Home/Neutral]],division_lookup,9,FALSE)=VLOOKUP(Table2[[#This Row],[Visitor/Neutral]],division_lookup,9,FALSE),TRUE,FALSE)</f>
        <v>0</v>
      </c>
      <c r="AC341" s="19" t="str">
        <f>VLOOKUP(Table2[[#This Row],[Home/Neutral]],division_lookup,9,FALSE)</f>
        <v>SW</v>
      </c>
      <c r="AD341" s="19"/>
      <c r="AE341" s="19" t="str">
        <f>IF(Table2[[#This Row],[Total EV ®]]&lt;Table2[[#This Row],[Total (V)]],"UNDER","OVER")</f>
        <v>OVER</v>
      </c>
      <c r="AF341" s="30">
        <f>Table2[[#This Row],[(A) Spread]]-Table2[[#This Row],[Spread (V)]]</f>
        <v>0</v>
      </c>
      <c r="AG341" s="19"/>
      <c r="AH341" s="2">
        <f>Table2[[#This Row],[EV]]-Table2[[#This Row],[Spread (V)]]</f>
        <v>-5.9788634269545469</v>
      </c>
      <c r="AI341" s="22">
        <f>Table2[[#This Row],[(A)]]-Table2[[#This Row],[Spread]]</f>
        <v>-0.48511848341233055</v>
      </c>
      <c r="AJ341" s="1">
        <f>Table2[[#This Row],[(A) Err]]^2</f>
        <v>0.23533994294827962</v>
      </c>
      <c r="AK341" s="6">
        <f>Table2[[#This Row],[EV]]-Table2[[#This Row],[Spread]]</f>
        <v>-5.9788634269545469</v>
      </c>
      <c r="AL341" s="1">
        <f>Table2[[#This Row],[EV Err]]^2</f>
        <v>35.746807878174671</v>
      </c>
    </row>
    <row r="342" spans="1:38" x14ac:dyDescent="0.25">
      <c r="A342" t="s">
        <v>87</v>
      </c>
      <c r="B342" t="s">
        <v>24</v>
      </c>
      <c r="C342" t="s">
        <v>36</v>
      </c>
      <c r="K342" s="25">
        <f>(Table2[[#This Row],[Home Pace]]/100)*(VLOOKUP(Table2[[#This Row],[Home/Neutral]],home_lookup,8,FALSE)+VLOOKUP(Table2[[#This Row],[Home/Neutral]],OFR_lookup,2,FALSE)+VLOOKUP(Table2[[#This Row],[Visitor/Neutral]],def_diff_lookup,6,FALSE))</f>
        <v>112.0336543283094</v>
      </c>
      <c r="L342" s="25"/>
      <c r="M342" s="25">
        <f>(Table2[[#This Row],[Away Pace]]/100)*(VLOOKUP(Table2[[#This Row],[Visitor/Neutral]],OFR_lookup,2,FALSE)+VLOOKUP(Table2[[#This Row],[Home/Neutral]],def_diff_lookup,6,FALSE))</f>
        <v>109.27292133333334</v>
      </c>
      <c r="N342" s="25"/>
      <c r="O342" s="25"/>
      <c r="P342">
        <f>VLOOKUP(Table2[[#This Row],[Home/Neutral]],pace_lookup,7,FALSE)</f>
        <v>99.9</v>
      </c>
      <c r="Q342" s="5">
        <f>VLOOKUP(Table2[[#This Row],[Visitor/Neutral]],pace_lookup,7,FALSE)</f>
        <v>102.2</v>
      </c>
      <c r="R342" s="9"/>
      <c r="V342" s="2">
        <f>-home-VLOOKUP(Table2[[#This Row],[Home/Neutral]],rtg_vlookup,4,FALSE)+VLOOKUP(Table2[[#This Row],[Visitor/Neutral]],rtg_vlookup,4,FALSE)</f>
        <v>-9.1851184834123316</v>
      </c>
      <c r="W342" s="25"/>
      <c r="X342" s="2"/>
      <c r="Y342" s="2">
        <f>Table2[[#This Row],[Away EV]]-Table2[[#This Row],[Home EV]]</f>
        <v>-2.7607329949760526</v>
      </c>
      <c r="Z342" s="33"/>
      <c r="AA342" s="34"/>
      <c r="AB342" s="5" t="b">
        <f>IF(VLOOKUP(Table2[[#This Row],[Home/Neutral]],division_lookup,9,FALSE)=VLOOKUP(Table2[[#This Row],[Visitor/Neutral]],division_lookup,9,FALSE),TRUE,FALSE)</f>
        <v>1</v>
      </c>
      <c r="AC342" s="19" t="str">
        <f>VLOOKUP(Table2[[#This Row],[Home/Neutral]],division_lookup,9,FALSE)</f>
        <v>P</v>
      </c>
      <c r="AD342" s="19"/>
      <c r="AE342" s="19" t="str">
        <f>IF(Table2[[#This Row],[Total EV ®]]&lt;Table2[[#This Row],[Total (V)]],"UNDER","OVER")</f>
        <v>OVER</v>
      </c>
      <c r="AF342" s="30">
        <f>Table2[[#This Row],[(A) Spread]]-Table2[[#This Row],[Spread (V)]]</f>
        <v>0</v>
      </c>
      <c r="AG342" s="19"/>
      <c r="AH342" s="2">
        <f>Table2[[#This Row],[EV]]-Table2[[#This Row],[Spread (V)]]</f>
        <v>-2.7607329949760526</v>
      </c>
      <c r="AI342" s="22">
        <f>Table2[[#This Row],[(A)]]-Table2[[#This Row],[Spread]]</f>
        <v>-9.1851184834123316</v>
      </c>
      <c r="AJ342" s="1">
        <f>Table2[[#This Row],[(A) Err]]^2</f>
        <v>84.366401554322849</v>
      </c>
      <c r="AK342" s="6">
        <f>Table2[[#This Row],[EV]]-Table2[[#This Row],[Spread]]</f>
        <v>-2.7607329949760526</v>
      </c>
      <c r="AL342" s="1">
        <f>Table2[[#This Row],[EV Err]]^2</f>
        <v>7.6216466695494454</v>
      </c>
    </row>
    <row r="343" spans="1:38" x14ac:dyDescent="0.25">
      <c r="A343" t="s">
        <v>87</v>
      </c>
      <c r="B343" t="s">
        <v>30</v>
      </c>
      <c r="C343" t="s">
        <v>11</v>
      </c>
      <c r="K343" s="25">
        <f>(Table2[[#This Row],[Home Pace]]/100)*(VLOOKUP(Table2[[#This Row],[Home/Neutral]],home_lookup,8,FALSE)+VLOOKUP(Table2[[#This Row],[Home/Neutral]],OFR_lookup,2,FALSE)+VLOOKUP(Table2[[#This Row],[Visitor/Neutral]],def_diff_lookup,6,FALSE))</f>
        <v>100.56192034993644</v>
      </c>
      <c r="L343" s="25"/>
      <c r="M343" s="25">
        <f>(Table2[[#This Row],[Away Pace]]/100)*(VLOOKUP(Table2[[#This Row],[Visitor/Neutral]],OFR_lookup,2,FALSE)+VLOOKUP(Table2[[#This Row],[Home/Neutral]],def_diff_lookup,6,FALSE))</f>
        <v>106.44038466666667</v>
      </c>
      <c r="N343" s="25"/>
      <c r="O343" s="25"/>
      <c r="P343">
        <f>VLOOKUP(Table2[[#This Row],[Home/Neutral]],pace_lookup,7,FALSE)</f>
        <v>96.8</v>
      </c>
      <c r="Q343" s="5">
        <f>VLOOKUP(Table2[[#This Row],[Visitor/Neutral]],pace_lookup,7,FALSE)</f>
        <v>99.7</v>
      </c>
      <c r="R343" s="9"/>
      <c r="V343" s="2">
        <f>-home-VLOOKUP(Table2[[#This Row],[Home/Neutral]],rtg_vlookup,4,FALSE)+VLOOKUP(Table2[[#This Row],[Visitor/Neutral]],rtg_vlookup,4,FALSE)</f>
        <v>6.1048815165876693</v>
      </c>
      <c r="W343" s="25"/>
      <c r="X343" s="2"/>
      <c r="Y343" s="2">
        <f>Table2[[#This Row],[Away EV]]-Table2[[#This Row],[Home EV]]</f>
        <v>5.8784643167302306</v>
      </c>
      <c r="Z343" s="33"/>
      <c r="AA343" s="34"/>
      <c r="AB343" s="5" t="b">
        <f>IF(VLOOKUP(Table2[[#This Row],[Home/Neutral]],division_lookup,9,FALSE)=VLOOKUP(Table2[[#This Row],[Visitor/Neutral]],division_lookup,9,FALSE),TRUE,FALSE)</f>
        <v>0</v>
      </c>
      <c r="AC343" s="19" t="str">
        <f>VLOOKUP(Table2[[#This Row],[Home/Neutral]],division_lookup,9,FALSE)</f>
        <v>C</v>
      </c>
      <c r="AD343" s="19"/>
      <c r="AE343" s="19" t="str">
        <f>IF(Table2[[#This Row],[Total EV ®]]&lt;Table2[[#This Row],[Total (V)]],"UNDER","OVER")</f>
        <v>OVER</v>
      </c>
      <c r="AF343" s="30">
        <f>Table2[[#This Row],[(A) Spread]]-Table2[[#This Row],[Spread (V)]]</f>
        <v>0</v>
      </c>
      <c r="AG343" s="19"/>
      <c r="AH343" s="2">
        <f>Table2[[#This Row],[EV]]-Table2[[#This Row],[Spread (V)]]</f>
        <v>5.8784643167302306</v>
      </c>
      <c r="AI343" s="22">
        <f>Table2[[#This Row],[(A)]]-Table2[[#This Row],[Spread]]</f>
        <v>6.1048815165876693</v>
      </c>
      <c r="AJ343" s="1">
        <f>Table2[[#This Row],[(A) Err]]^2</f>
        <v>37.269578331573761</v>
      </c>
      <c r="AK343" s="6">
        <f>Table2[[#This Row],[EV]]-Table2[[#This Row],[Spread]]</f>
        <v>5.8784643167302306</v>
      </c>
      <c r="AL343" s="1">
        <f>Table2[[#This Row],[EV Err]]^2</f>
        <v>34.556342723070614</v>
      </c>
    </row>
    <row r="344" spans="1:38" x14ac:dyDescent="0.25">
      <c r="A344" t="s">
        <v>87</v>
      </c>
      <c r="B344" t="s">
        <v>22</v>
      </c>
      <c r="C344" t="s">
        <v>25</v>
      </c>
      <c r="K344" s="25">
        <f>(Table2[[#This Row],[Home Pace]]/100)*(VLOOKUP(Table2[[#This Row],[Home/Neutral]],home_lookup,8,FALSE)+VLOOKUP(Table2[[#This Row],[Home/Neutral]],OFR_lookup,2,FALSE)+VLOOKUP(Table2[[#This Row],[Visitor/Neutral]],def_diff_lookup,6,FALSE))</f>
        <v>107.43097922968977</v>
      </c>
      <c r="L344" s="25"/>
      <c r="M344" s="25">
        <f>(Table2[[#This Row],[Away Pace]]/100)*(VLOOKUP(Table2[[#This Row],[Visitor/Neutral]],OFR_lookup,2,FALSE)+VLOOKUP(Table2[[#This Row],[Home/Neutral]],def_diff_lookup,6,FALSE))</f>
        <v>100.66878933333335</v>
      </c>
      <c r="N344" s="25"/>
      <c r="O344" s="25"/>
      <c r="P344">
        <f>VLOOKUP(Table2[[#This Row],[Home/Neutral]],pace_lookup,7,FALSE)</f>
        <v>94.7</v>
      </c>
      <c r="Q344" s="5">
        <f>VLOOKUP(Table2[[#This Row],[Visitor/Neutral]],pace_lookup,7,FALSE)</f>
        <v>94.4</v>
      </c>
      <c r="R344" s="9"/>
      <c r="V344" s="2">
        <f>-home-VLOOKUP(Table2[[#This Row],[Home/Neutral]],rtg_vlookup,4,FALSE)+VLOOKUP(Table2[[#This Row],[Visitor/Neutral]],rtg_vlookup,4,FALSE)</f>
        <v>-3.6451184834123307</v>
      </c>
      <c r="W344" s="25"/>
      <c r="X344" s="2"/>
      <c r="Y344" s="2">
        <f>Table2[[#This Row],[Away EV]]-Table2[[#This Row],[Home EV]]</f>
        <v>-6.7621898963564178</v>
      </c>
      <c r="Z344" s="33"/>
      <c r="AA344" s="34"/>
      <c r="AB344" s="5" t="b">
        <f>IF(VLOOKUP(Table2[[#This Row],[Home/Neutral]],division_lookup,9,FALSE)=VLOOKUP(Table2[[#This Row],[Visitor/Neutral]],division_lookup,9,FALSE),TRUE,FALSE)</f>
        <v>0</v>
      </c>
      <c r="AC344" s="19" t="str">
        <f>VLOOKUP(Table2[[#This Row],[Home/Neutral]],division_lookup,9,FALSE)</f>
        <v>NW</v>
      </c>
      <c r="AD344" s="19"/>
      <c r="AE344" s="19" t="str">
        <f>IF(Table2[[#This Row],[Total EV ®]]&lt;Table2[[#This Row],[Total (V)]],"UNDER","OVER")</f>
        <v>OVER</v>
      </c>
      <c r="AF344" s="30">
        <f>Table2[[#This Row],[(A) Spread]]-Table2[[#This Row],[Spread (V)]]</f>
        <v>0</v>
      </c>
      <c r="AG344" s="19"/>
      <c r="AH344" s="2">
        <f>Table2[[#This Row],[EV]]-Table2[[#This Row],[Spread (V)]]</f>
        <v>-6.7621898963564178</v>
      </c>
      <c r="AI344" s="22">
        <f>Table2[[#This Row],[(A)]]-Table2[[#This Row],[Spread]]</f>
        <v>-3.6451184834123307</v>
      </c>
      <c r="AJ344" s="1">
        <f>Table2[[#This Row],[(A) Err]]^2</f>
        <v>13.286888758114209</v>
      </c>
      <c r="AK344" s="6">
        <f>Table2[[#This Row],[EV]]-Table2[[#This Row],[Spread]]</f>
        <v>-6.7621898963564178</v>
      </c>
      <c r="AL344" s="1">
        <f>Table2[[#This Row],[EV Err]]^2</f>
        <v>45.727212194384819</v>
      </c>
    </row>
    <row r="345" spans="1:38" x14ac:dyDescent="0.25">
      <c r="A345" t="s">
        <v>87</v>
      </c>
      <c r="B345" t="s">
        <v>18</v>
      </c>
      <c r="C345" t="s">
        <v>17</v>
      </c>
      <c r="K345" s="25">
        <f>(Table2[[#This Row],[Home Pace]]/100)*(VLOOKUP(Table2[[#This Row],[Home/Neutral]],home_lookup,8,FALSE)+VLOOKUP(Table2[[#This Row],[Home/Neutral]],OFR_lookup,2,FALSE)+VLOOKUP(Table2[[#This Row],[Visitor/Neutral]],def_diff_lookup,6,FALSE))</f>
        <v>106.13885616021132</v>
      </c>
      <c r="L345" s="25"/>
      <c r="M345" s="25">
        <f>(Table2[[#This Row],[Away Pace]]/100)*(VLOOKUP(Table2[[#This Row],[Visitor/Neutral]],OFR_lookup,2,FALSE)+VLOOKUP(Table2[[#This Row],[Home/Neutral]],def_diff_lookup,6,FALSE))</f>
        <v>106.03219466666667</v>
      </c>
      <c r="N345" s="25"/>
      <c r="O345" s="25"/>
      <c r="P345">
        <f>VLOOKUP(Table2[[#This Row],[Home/Neutral]],pace_lookup,7,FALSE)</f>
        <v>99.5</v>
      </c>
      <c r="Q345" s="5">
        <f>VLOOKUP(Table2[[#This Row],[Visitor/Neutral]],pace_lookup,7,FALSE)</f>
        <v>96.7</v>
      </c>
      <c r="R345" s="9"/>
      <c r="V345" s="2">
        <f>-home-VLOOKUP(Table2[[#This Row],[Home/Neutral]],rtg_vlookup,4,FALSE)+VLOOKUP(Table2[[#This Row],[Visitor/Neutral]],rtg_vlookup,4,FALSE)</f>
        <v>-0.81511848341233062</v>
      </c>
      <c r="W345" s="25"/>
      <c r="X345" s="2"/>
      <c r="Y345" s="2">
        <f>Table2[[#This Row],[Away EV]]-Table2[[#This Row],[Home EV]]</f>
        <v>-0.10666149354464949</v>
      </c>
      <c r="Z345" s="33"/>
      <c r="AA345" s="34"/>
      <c r="AB345" s="5" t="b">
        <f>IF(VLOOKUP(Table2[[#This Row],[Home/Neutral]],division_lookup,9,FALSE)=VLOOKUP(Table2[[#This Row],[Visitor/Neutral]],division_lookup,9,FALSE),TRUE,FALSE)</f>
        <v>0</v>
      </c>
      <c r="AC345" s="19" t="str">
        <f>VLOOKUP(Table2[[#This Row],[Home/Neutral]],division_lookup,9,FALSE)</f>
        <v>NW</v>
      </c>
      <c r="AD345" s="19"/>
      <c r="AE345" s="19" t="str">
        <f>IF(Table2[[#This Row],[Total EV ®]]&lt;Table2[[#This Row],[Total (V)]],"UNDER","OVER")</f>
        <v>OVER</v>
      </c>
      <c r="AF345" s="30">
        <f>Table2[[#This Row],[(A) Spread]]-Table2[[#This Row],[Spread (V)]]</f>
        <v>0</v>
      </c>
      <c r="AG345" s="19"/>
      <c r="AH345" s="2">
        <f>Table2[[#This Row],[EV]]-Table2[[#This Row],[Spread (V)]]</f>
        <v>-0.10666149354464949</v>
      </c>
      <c r="AI345" s="22">
        <f>Table2[[#This Row],[(A)]]-Table2[[#This Row],[Spread]]</f>
        <v>-0.81511848341233062</v>
      </c>
      <c r="AJ345" s="1">
        <f>Table2[[#This Row],[(A) Err]]^2</f>
        <v>0.66441814200041793</v>
      </c>
      <c r="AK345" s="6">
        <f>Table2[[#This Row],[EV]]-Table2[[#This Row],[Spread]]</f>
        <v>-0.10666149354464949</v>
      </c>
      <c r="AL345" s="1">
        <f>Table2[[#This Row],[EV Err]]^2</f>
        <v>1.1376674205175304E-2</v>
      </c>
    </row>
    <row r="346" spans="1:38" x14ac:dyDescent="0.25">
      <c r="A346" t="s">
        <v>87</v>
      </c>
      <c r="B346" t="s">
        <v>29</v>
      </c>
      <c r="C346" t="s">
        <v>31</v>
      </c>
      <c r="K346" s="25">
        <f>(Table2[[#This Row],[Home Pace]]/100)*(VLOOKUP(Table2[[#This Row],[Home/Neutral]],home_lookup,8,FALSE)+VLOOKUP(Table2[[#This Row],[Home/Neutral]],OFR_lookup,2,FALSE)+VLOOKUP(Table2[[#This Row],[Visitor/Neutral]],def_diff_lookup,6,FALSE))</f>
        <v>113.38844926898523</v>
      </c>
      <c r="L346" s="25"/>
      <c r="M346" s="25">
        <f>(Table2[[#This Row],[Away Pace]]/100)*(VLOOKUP(Table2[[#This Row],[Visitor/Neutral]],OFR_lookup,2,FALSE)+VLOOKUP(Table2[[#This Row],[Home/Neutral]],def_diff_lookup,6,FALSE))</f>
        <v>107.61664</v>
      </c>
      <c r="N346" s="25"/>
      <c r="O346" s="25"/>
      <c r="P346">
        <f>VLOOKUP(Table2[[#This Row],[Home/Neutral]],pace_lookup,7,FALSE)</f>
        <v>93.8</v>
      </c>
      <c r="Q346" s="5">
        <f>VLOOKUP(Table2[[#This Row],[Visitor/Neutral]],pace_lookup,7,FALSE)</f>
        <v>96</v>
      </c>
      <c r="R346" s="9"/>
      <c r="V346" s="2">
        <f>-home-VLOOKUP(Table2[[#This Row],[Home/Neutral]],rtg_vlookup,4,FALSE)+VLOOKUP(Table2[[#This Row],[Visitor/Neutral]],rtg_vlookup,4,FALSE)</f>
        <v>-2.6751184834123309</v>
      </c>
      <c r="W346" s="25"/>
      <c r="X346" s="2"/>
      <c r="Y346" s="2">
        <f>Table2[[#This Row],[Away EV]]-Table2[[#This Row],[Home EV]]</f>
        <v>-5.7718092689852227</v>
      </c>
      <c r="Z346" s="33"/>
      <c r="AA346" s="34"/>
      <c r="AB346" s="5" t="b">
        <f>IF(VLOOKUP(Table2[[#This Row],[Home/Neutral]],division_lookup,9,FALSE)=VLOOKUP(Table2[[#This Row],[Visitor/Neutral]],division_lookup,9,FALSE),TRUE,FALSE)</f>
        <v>0</v>
      </c>
      <c r="AC346" s="19" t="str">
        <f>VLOOKUP(Table2[[#This Row],[Home/Neutral]],division_lookup,9,FALSE)</f>
        <v>P</v>
      </c>
      <c r="AD346" s="19"/>
      <c r="AE346" s="19" t="str">
        <f>IF(Table2[[#This Row],[Total EV ®]]&lt;Table2[[#This Row],[Total (V)]],"UNDER","OVER")</f>
        <v>OVER</v>
      </c>
      <c r="AF346" s="30">
        <f>Table2[[#This Row],[(A) Spread]]-Table2[[#This Row],[Spread (V)]]</f>
        <v>0</v>
      </c>
      <c r="AG346" s="19"/>
      <c r="AH346" s="2">
        <f>Table2[[#This Row],[EV]]-Table2[[#This Row],[Spread (V)]]</f>
        <v>-5.7718092689852227</v>
      </c>
      <c r="AI346" s="22">
        <f>Table2[[#This Row],[(A)]]-Table2[[#This Row],[Spread]]</f>
        <v>-2.6751184834123309</v>
      </c>
      <c r="AJ346" s="1">
        <f>Table2[[#This Row],[(A) Err]]^2</f>
        <v>7.1562589002942891</v>
      </c>
      <c r="AK346" s="6">
        <f>Table2[[#This Row],[EV]]-Table2[[#This Row],[Spread]]</f>
        <v>-5.7718092689852227</v>
      </c>
      <c r="AL346" s="1">
        <f>Table2[[#This Row],[EV Err]]^2</f>
        <v>33.313782237543734</v>
      </c>
    </row>
    <row r="347" spans="1:38" x14ac:dyDescent="0.25">
      <c r="A347" t="s">
        <v>88</v>
      </c>
      <c r="B347" t="s">
        <v>13</v>
      </c>
      <c r="C347" t="s">
        <v>21</v>
      </c>
      <c r="K347" s="25">
        <f>(Table2[[#This Row],[Home Pace]]/100)*(VLOOKUP(Table2[[#This Row],[Home/Neutral]],home_lookup,8,FALSE)+VLOOKUP(Table2[[#This Row],[Home/Neutral]],OFR_lookup,2,FALSE)+VLOOKUP(Table2[[#This Row],[Visitor/Neutral]],def_diff_lookup,6,FALSE))</f>
        <v>101.82949108450401</v>
      </c>
      <c r="L347" s="25"/>
      <c r="M347" s="25">
        <f>(Table2[[#This Row],[Away Pace]]/100)*(VLOOKUP(Table2[[#This Row],[Visitor/Neutral]],OFR_lookup,2,FALSE)+VLOOKUP(Table2[[#This Row],[Home/Neutral]],def_diff_lookup,6,FALSE))</f>
        <v>95.867968000000019</v>
      </c>
      <c r="N347" s="25"/>
      <c r="O347" s="25"/>
      <c r="P347">
        <f>VLOOKUP(Table2[[#This Row],[Home/Neutral]],pace_lookup,7,FALSE)</f>
        <v>94.5</v>
      </c>
      <c r="Q347" s="5">
        <f>VLOOKUP(Table2[[#This Row],[Visitor/Neutral]],pace_lookup,7,FALSE)</f>
        <v>94.2</v>
      </c>
      <c r="R347" s="9"/>
      <c r="V347" s="2">
        <f>-home-VLOOKUP(Table2[[#This Row],[Home/Neutral]],rtg_vlookup,4,FALSE)+VLOOKUP(Table2[[#This Row],[Visitor/Neutral]],rtg_vlookup,4,FALSE)</f>
        <v>-8.4551184834123312</v>
      </c>
      <c r="W347" s="25"/>
      <c r="X347" s="2"/>
      <c r="Y347" s="2">
        <f>Table2[[#This Row],[Away EV]]-Table2[[#This Row],[Home EV]]</f>
        <v>-5.9615230845039946</v>
      </c>
      <c r="Z347" s="33"/>
      <c r="AA347" s="34"/>
      <c r="AB347" s="5" t="b">
        <f>IF(VLOOKUP(Table2[[#This Row],[Home/Neutral]],division_lookup,9,FALSE)=VLOOKUP(Table2[[#This Row],[Visitor/Neutral]],division_lookup,9,FALSE),TRUE,FALSE)</f>
        <v>0</v>
      </c>
      <c r="AC347" s="19" t="str">
        <f>VLOOKUP(Table2[[#This Row],[Home/Neutral]],division_lookup,9,FALSE)</f>
        <v>C</v>
      </c>
      <c r="AD347" s="19"/>
      <c r="AE347" s="19" t="str">
        <f>IF(Table2[[#This Row],[Total EV ®]]&lt;Table2[[#This Row],[Total (V)]],"UNDER","OVER")</f>
        <v>OVER</v>
      </c>
      <c r="AF347" s="30">
        <f>Table2[[#This Row],[(A) Spread]]-Table2[[#This Row],[Spread (V)]]</f>
        <v>0</v>
      </c>
      <c r="AG347" s="19"/>
      <c r="AH347" s="2">
        <f>Table2[[#This Row],[EV]]-Table2[[#This Row],[Spread (V)]]</f>
        <v>-5.9615230845039946</v>
      </c>
      <c r="AI347" s="22">
        <f>Table2[[#This Row],[(A)]]-Table2[[#This Row],[Spread]]</f>
        <v>-8.4551184834123312</v>
      </c>
      <c r="AJ347" s="1">
        <f>Table2[[#This Row],[(A) Err]]^2</f>
        <v>71.489028568540846</v>
      </c>
      <c r="AK347" s="6">
        <f>Table2[[#This Row],[EV]]-Table2[[#This Row],[Spread]]</f>
        <v>-5.9615230845039946</v>
      </c>
      <c r="AL347" s="1">
        <f>Table2[[#This Row],[EV Err]]^2</f>
        <v>35.53975748707402</v>
      </c>
    </row>
    <row r="348" spans="1:38" x14ac:dyDescent="0.25">
      <c r="A348" t="s">
        <v>88</v>
      </c>
      <c r="B348" t="s">
        <v>8</v>
      </c>
      <c r="C348" t="s">
        <v>16</v>
      </c>
      <c r="K348" s="25">
        <f>(Table2[[#This Row],[Home Pace]]/100)*(VLOOKUP(Table2[[#This Row],[Home/Neutral]],home_lookup,8,FALSE)+VLOOKUP(Table2[[#This Row],[Home/Neutral]],OFR_lookup,2,FALSE)+VLOOKUP(Table2[[#This Row],[Visitor/Neutral]],def_diff_lookup,6,FALSE))</f>
        <v>103.0662603689818</v>
      </c>
      <c r="L348" s="25"/>
      <c r="M348" s="25">
        <f>(Table2[[#This Row],[Away Pace]]/100)*(VLOOKUP(Table2[[#This Row],[Visitor/Neutral]],OFR_lookup,2,FALSE)+VLOOKUP(Table2[[#This Row],[Home/Neutral]],def_diff_lookup,6,FALSE))</f>
        <v>102.5609</v>
      </c>
      <c r="N348" s="25"/>
      <c r="O348" s="25"/>
      <c r="P348">
        <f>VLOOKUP(Table2[[#This Row],[Home/Neutral]],pace_lookup,7,FALSE)</f>
        <v>97.2</v>
      </c>
      <c r="Q348" s="5">
        <f>VLOOKUP(Table2[[#This Row],[Visitor/Neutral]],pace_lookup,7,FALSE)</f>
        <v>97.5</v>
      </c>
      <c r="R348" s="9"/>
      <c r="V348" s="2">
        <f>-home-VLOOKUP(Table2[[#This Row],[Home/Neutral]],rtg_vlookup,4,FALSE)+VLOOKUP(Table2[[#This Row],[Visitor/Neutral]],rtg_vlookup,4,FALSE)</f>
        <v>-6.9651184834123301</v>
      </c>
      <c r="W348" s="25"/>
      <c r="X348" s="2"/>
      <c r="Y348" s="2">
        <f>Table2[[#This Row],[Away EV]]-Table2[[#This Row],[Home EV]]</f>
        <v>-0.50536036898179759</v>
      </c>
      <c r="Z348" s="33"/>
      <c r="AA348" s="34"/>
      <c r="AB348" s="5" t="b">
        <f>IF(VLOOKUP(Table2[[#This Row],[Home/Neutral]],division_lookup,9,FALSE)=VLOOKUP(Table2[[#This Row],[Visitor/Neutral]],division_lookup,9,FALSE),TRUE,FALSE)</f>
        <v>0</v>
      </c>
      <c r="AC348" s="19" t="str">
        <f>VLOOKUP(Table2[[#This Row],[Home/Neutral]],division_lookup,9,FALSE)</f>
        <v>C</v>
      </c>
      <c r="AD348" s="19"/>
      <c r="AE348" s="19" t="str">
        <f>IF(Table2[[#This Row],[Total EV ®]]&lt;Table2[[#This Row],[Total (V)]],"UNDER","OVER")</f>
        <v>OVER</v>
      </c>
      <c r="AF348" s="30">
        <f>Table2[[#This Row],[(A) Spread]]-Table2[[#This Row],[Spread (V)]]</f>
        <v>0</v>
      </c>
      <c r="AG348" s="19"/>
      <c r="AH348" s="2">
        <f>Table2[[#This Row],[EV]]-Table2[[#This Row],[Spread (V)]]</f>
        <v>-0.50536036898179759</v>
      </c>
      <c r="AI348" s="22">
        <f>Table2[[#This Row],[(A)]]-Table2[[#This Row],[Spread]]</f>
        <v>-6.9651184834123301</v>
      </c>
      <c r="AJ348" s="1">
        <f>Table2[[#This Row],[(A) Err]]^2</f>
        <v>48.512875487972074</v>
      </c>
      <c r="AK348" s="6">
        <f>Table2[[#This Row],[EV]]-Table2[[#This Row],[Spread]]</f>
        <v>-0.50536036898179759</v>
      </c>
      <c r="AL348" s="1">
        <f>Table2[[#This Row],[EV Err]]^2</f>
        <v>0.25538910253741859</v>
      </c>
    </row>
    <row r="349" spans="1:38" x14ac:dyDescent="0.25">
      <c r="A349" t="s">
        <v>88</v>
      </c>
      <c r="B349" t="s">
        <v>17</v>
      </c>
      <c r="C349" t="s">
        <v>37</v>
      </c>
      <c r="K349" s="25">
        <f>(Table2[[#This Row],[Home Pace]]/100)*(VLOOKUP(Table2[[#This Row],[Home/Neutral]],home_lookup,8,FALSE)+VLOOKUP(Table2[[#This Row],[Home/Neutral]],OFR_lookup,2,FALSE)+VLOOKUP(Table2[[#This Row],[Visitor/Neutral]],def_diff_lookup,6,FALSE))</f>
        <v>106.33850692873544</v>
      </c>
      <c r="L349" s="25"/>
      <c r="M349" s="25">
        <f>(Table2[[#This Row],[Away Pace]]/100)*(VLOOKUP(Table2[[#This Row],[Visitor/Neutral]],OFR_lookup,2,FALSE)+VLOOKUP(Table2[[#This Row],[Home/Neutral]],def_diff_lookup,6,FALSE))</f>
        <v>91.216454000000013</v>
      </c>
      <c r="N349" s="25"/>
      <c r="O349" s="25"/>
      <c r="P349">
        <f>VLOOKUP(Table2[[#This Row],[Home/Neutral]],pace_lookup,7,FALSE)</f>
        <v>96.7</v>
      </c>
      <c r="Q349" s="5">
        <f>VLOOKUP(Table2[[#This Row],[Visitor/Neutral]],pace_lookup,7,FALSE)</f>
        <v>92.1</v>
      </c>
      <c r="R349" s="9"/>
      <c r="V349" s="2">
        <f>-home-VLOOKUP(Table2[[#This Row],[Home/Neutral]],rtg_vlookup,4,FALSE)+VLOOKUP(Table2[[#This Row],[Visitor/Neutral]],rtg_vlookup,4,FALSE)</f>
        <v>-14.445118483412331</v>
      </c>
      <c r="W349" s="25"/>
      <c r="X349" s="2"/>
      <c r="Y349" s="2">
        <f>Table2[[#This Row],[Away EV]]-Table2[[#This Row],[Home EV]]</f>
        <v>-15.122052928735428</v>
      </c>
      <c r="Z349" s="33"/>
      <c r="AA349" s="34"/>
      <c r="AB349" s="5" t="b">
        <f>IF(VLOOKUP(Table2[[#This Row],[Home/Neutral]],division_lookup,9,FALSE)=VLOOKUP(Table2[[#This Row],[Visitor/Neutral]],division_lookup,9,FALSE),TRUE,FALSE)</f>
        <v>1</v>
      </c>
      <c r="AC349" s="19" t="str">
        <f>VLOOKUP(Table2[[#This Row],[Home/Neutral]],division_lookup,9,FALSE)</f>
        <v>SW</v>
      </c>
      <c r="AD349" s="19"/>
      <c r="AE349" s="19" t="str">
        <f>IF(Table2[[#This Row],[Total EV ®]]&lt;Table2[[#This Row],[Total (V)]],"UNDER","OVER")</f>
        <v>OVER</v>
      </c>
      <c r="AF349" s="30">
        <f>Table2[[#This Row],[(A) Spread]]-Table2[[#This Row],[Spread (V)]]</f>
        <v>0</v>
      </c>
      <c r="AG349" s="19"/>
      <c r="AH349" s="2">
        <f>Table2[[#This Row],[EV]]-Table2[[#This Row],[Spread (V)]]</f>
        <v>-15.122052928735428</v>
      </c>
      <c r="AI349" s="22">
        <f>Table2[[#This Row],[(A)]]-Table2[[#This Row],[Spread]]</f>
        <v>-14.445118483412331</v>
      </c>
      <c r="AJ349" s="1">
        <f>Table2[[#This Row],[(A) Err]]^2</f>
        <v>208.66144799982058</v>
      </c>
      <c r="AK349" s="6">
        <f>Table2[[#This Row],[EV]]-Table2[[#This Row],[Spread]]</f>
        <v>-15.122052928735428</v>
      </c>
      <c r="AL349" s="1">
        <f>Table2[[#This Row],[EV Err]]^2</f>
        <v>228.67648477947574</v>
      </c>
    </row>
    <row r="350" spans="1:38" x14ac:dyDescent="0.25">
      <c r="A350" t="s">
        <v>88</v>
      </c>
      <c r="B350" t="s">
        <v>33</v>
      </c>
      <c r="C350" t="s">
        <v>32</v>
      </c>
      <c r="K350" s="25">
        <f>(Table2[[#This Row],[Home Pace]]/100)*(VLOOKUP(Table2[[#This Row],[Home/Neutral]],home_lookup,8,FALSE)+VLOOKUP(Table2[[#This Row],[Home/Neutral]],OFR_lookup,2,FALSE)+VLOOKUP(Table2[[#This Row],[Visitor/Neutral]],def_diff_lookup,6,FALSE))</f>
        <v>112.48791852057506</v>
      </c>
      <c r="L350" s="25"/>
      <c r="M350" s="25">
        <f>(Table2[[#This Row],[Away Pace]]/100)*(VLOOKUP(Table2[[#This Row],[Visitor/Neutral]],OFR_lookup,2,FALSE)+VLOOKUP(Table2[[#This Row],[Home/Neutral]],def_diff_lookup,6,FALSE))</f>
        <v>109.40721733333335</v>
      </c>
      <c r="N350" s="25"/>
      <c r="O350" s="25"/>
      <c r="P350">
        <f>VLOOKUP(Table2[[#This Row],[Home/Neutral]],pace_lookup,7,FALSE)</f>
        <v>98.2</v>
      </c>
      <c r="Q350" s="5">
        <f>VLOOKUP(Table2[[#This Row],[Visitor/Neutral]],pace_lookup,7,FALSE)</f>
        <v>98.6</v>
      </c>
      <c r="R350" s="9"/>
      <c r="V350" s="2">
        <f>-home-VLOOKUP(Table2[[#This Row],[Home/Neutral]],rtg_vlookup,4,FALSE)+VLOOKUP(Table2[[#This Row],[Visitor/Neutral]],rtg_vlookup,4,FALSE)</f>
        <v>-0.36511848341233044</v>
      </c>
      <c r="W350" s="25"/>
      <c r="X350" s="2"/>
      <c r="Y350" s="2">
        <f>Table2[[#This Row],[Away EV]]-Table2[[#This Row],[Home EV]]</f>
        <v>-3.0807011872417149</v>
      </c>
      <c r="Z350" s="33"/>
      <c r="AA350" s="34"/>
      <c r="AB350" s="5" t="b">
        <f>IF(VLOOKUP(Table2[[#This Row],[Home/Neutral]],division_lookup,9,FALSE)=VLOOKUP(Table2[[#This Row],[Visitor/Neutral]],division_lookup,9,FALSE),TRUE,FALSE)</f>
        <v>0</v>
      </c>
      <c r="AC350" s="19" t="str">
        <f>VLOOKUP(Table2[[#This Row],[Home/Neutral]],division_lookup,9,FALSE)</f>
        <v>C</v>
      </c>
      <c r="AD350" s="19"/>
      <c r="AE350" s="19" t="str">
        <f>IF(Table2[[#This Row],[Total EV ®]]&lt;Table2[[#This Row],[Total (V)]],"UNDER","OVER")</f>
        <v>OVER</v>
      </c>
      <c r="AF350" s="30">
        <f>Table2[[#This Row],[(A) Spread]]-Table2[[#This Row],[Spread (V)]]</f>
        <v>0</v>
      </c>
      <c r="AG350" s="19"/>
      <c r="AH350" s="2">
        <f>Table2[[#This Row],[EV]]-Table2[[#This Row],[Spread (V)]]</f>
        <v>-3.0807011872417149</v>
      </c>
      <c r="AI350" s="22">
        <f>Table2[[#This Row],[(A)]]-Table2[[#This Row],[Spread]]</f>
        <v>-0.36511848341233044</v>
      </c>
      <c r="AJ350" s="1">
        <f>Table2[[#This Row],[(A) Err]]^2</f>
        <v>0.13331150692932023</v>
      </c>
      <c r="AK350" s="6">
        <f>Table2[[#This Row],[EV]]-Table2[[#This Row],[Spread]]</f>
        <v>-3.0807011872417149</v>
      </c>
      <c r="AL350" s="1">
        <f>Table2[[#This Row],[EV Err]]^2</f>
        <v>9.4907198050725121</v>
      </c>
    </row>
    <row r="351" spans="1:38" x14ac:dyDescent="0.25">
      <c r="A351" t="s">
        <v>88</v>
      </c>
      <c r="B351" t="s">
        <v>4</v>
      </c>
      <c r="C351" t="s">
        <v>34</v>
      </c>
      <c r="K351" s="25">
        <f>(Table2[[#This Row],[Home Pace]]/100)*(VLOOKUP(Table2[[#This Row],[Home/Neutral]],home_lookup,8,FALSE)+VLOOKUP(Table2[[#This Row],[Home/Neutral]],OFR_lookup,2,FALSE)+VLOOKUP(Table2[[#This Row],[Visitor/Neutral]],def_diff_lookup,6,FALSE))</f>
        <v>102.05958781393444</v>
      </c>
      <c r="L351" s="25"/>
      <c r="M351" s="25">
        <f>(Table2[[#This Row],[Away Pace]]/100)*(VLOOKUP(Table2[[#This Row],[Visitor/Neutral]],OFR_lookup,2,FALSE)+VLOOKUP(Table2[[#This Row],[Home/Neutral]],def_diff_lookup,6,FALSE))</f>
        <v>93.791498666666669</v>
      </c>
      <c r="N351" s="25"/>
      <c r="O351" s="25"/>
      <c r="P351">
        <f>VLOOKUP(Table2[[#This Row],[Home/Neutral]],pace_lookup,7,FALSE)</f>
        <v>96.6</v>
      </c>
      <c r="Q351" s="5">
        <f>VLOOKUP(Table2[[#This Row],[Visitor/Neutral]],pace_lookup,7,FALSE)</f>
        <v>98.8</v>
      </c>
      <c r="R351" s="9"/>
      <c r="V351" s="2">
        <f>-home-VLOOKUP(Table2[[#This Row],[Home/Neutral]],rtg_vlookup,4,FALSE)+VLOOKUP(Table2[[#This Row],[Visitor/Neutral]],rtg_vlookup,4,FALSE)</f>
        <v>-22.395118483412332</v>
      </c>
      <c r="W351" s="25"/>
      <c r="X351" s="2"/>
      <c r="Y351" s="2">
        <f>Table2[[#This Row],[Away EV]]-Table2[[#This Row],[Home EV]]</f>
        <v>-8.2680891472677729</v>
      </c>
      <c r="Z351" s="33"/>
      <c r="AA351" s="34"/>
      <c r="AB351" s="5" t="b">
        <f>IF(VLOOKUP(Table2[[#This Row],[Home/Neutral]],division_lookup,9,FALSE)=VLOOKUP(Table2[[#This Row],[Visitor/Neutral]],division_lookup,9,FALSE),TRUE,FALSE)</f>
        <v>0</v>
      </c>
      <c r="AC351" s="19" t="str">
        <f>VLOOKUP(Table2[[#This Row],[Home/Neutral]],division_lookup,9,FALSE)</f>
        <v>P</v>
      </c>
      <c r="AD351" s="19"/>
      <c r="AE351" s="19" t="str">
        <f>IF(Table2[[#This Row],[Total EV ®]]&lt;Table2[[#This Row],[Total (V)]],"UNDER","OVER")</f>
        <v>OVER</v>
      </c>
      <c r="AF351" s="30">
        <f>Table2[[#This Row],[(A) Spread]]-Table2[[#This Row],[Spread (V)]]</f>
        <v>0</v>
      </c>
      <c r="AG351" s="19"/>
      <c r="AH351" s="2">
        <f>Table2[[#This Row],[EV]]-Table2[[#This Row],[Spread (V)]]</f>
        <v>-8.2680891472677729</v>
      </c>
      <c r="AI351" s="22">
        <f>Table2[[#This Row],[(A)]]-Table2[[#This Row],[Spread]]</f>
        <v>-22.395118483412332</v>
      </c>
      <c r="AJ351" s="1">
        <f>Table2[[#This Row],[(A) Err]]^2</f>
        <v>501.5413318860767</v>
      </c>
      <c r="AK351" s="6">
        <f>Table2[[#This Row],[EV]]-Table2[[#This Row],[Spread]]</f>
        <v>-8.2680891472677729</v>
      </c>
      <c r="AL351" s="1">
        <f>Table2[[#This Row],[EV Err]]^2</f>
        <v>68.361298147167133</v>
      </c>
    </row>
    <row r="352" spans="1:38" x14ac:dyDescent="0.25">
      <c r="A352" t="s">
        <v>88</v>
      </c>
      <c r="B352" t="s">
        <v>23</v>
      </c>
      <c r="C352" t="s">
        <v>10</v>
      </c>
      <c r="K352" s="25">
        <f>(Table2[[#This Row],[Home Pace]]/100)*(VLOOKUP(Table2[[#This Row],[Home/Neutral]],home_lookup,8,FALSE)+VLOOKUP(Table2[[#This Row],[Home/Neutral]],OFR_lookup,2,FALSE)+VLOOKUP(Table2[[#This Row],[Visitor/Neutral]],def_diff_lookup,6,FALSE))</f>
        <v>103.38663735871359</v>
      </c>
      <c r="L352" s="25"/>
      <c r="M352" s="25">
        <f>(Table2[[#This Row],[Away Pace]]/100)*(VLOOKUP(Table2[[#This Row],[Visitor/Neutral]],OFR_lookup,2,FALSE)+VLOOKUP(Table2[[#This Row],[Home/Neutral]],def_diff_lookup,6,FALSE))</f>
        <v>112.31660866666667</v>
      </c>
      <c r="N352" s="25"/>
      <c r="O352" s="25"/>
      <c r="P352">
        <f>VLOOKUP(Table2[[#This Row],[Home/Neutral]],pace_lookup,7,FALSE)</f>
        <v>92.5</v>
      </c>
      <c r="Q352" s="5">
        <f>VLOOKUP(Table2[[#This Row],[Visitor/Neutral]],pace_lookup,7,FALSE)</f>
        <v>100.3</v>
      </c>
      <c r="R352" s="9"/>
      <c r="V352" s="2">
        <f>-home-VLOOKUP(Table2[[#This Row],[Home/Neutral]],rtg_vlookup,4,FALSE)+VLOOKUP(Table2[[#This Row],[Visitor/Neutral]],rtg_vlookup,4,FALSE)</f>
        <v>3.3548815165876693</v>
      </c>
      <c r="W352" s="25"/>
      <c r="X352" s="2"/>
      <c r="Y352" s="2">
        <f>Table2[[#This Row],[Away EV]]-Table2[[#This Row],[Home EV]]</f>
        <v>8.9299713079530818</v>
      </c>
      <c r="Z352" s="33"/>
      <c r="AA352" s="34"/>
      <c r="AB352" s="5" t="b">
        <f>IF(VLOOKUP(Table2[[#This Row],[Home/Neutral]],division_lookup,9,FALSE)=VLOOKUP(Table2[[#This Row],[Visitor/Neutral]],division_lookup,9,FALSE),TRUE,FALSE)</f>
        <v>0</v>
      </c>
      <c r="AC352" s="19" t="str">
        <f>VLOOKUP(Table2[[#This Row],[Home/Neutral]],division_lookup,9,FALSE)</f>
        <v>SW</v>
      </c>
      <c r="AD352" s="19"/>
      <c r="AE352" s="19" t="str">
        <f>IF(Table2[[#This Row],[Total EV ®]]&lt;Table2[[#This Row],[Total (V)]],"UNDER","OVER")</f>
        <v>OVER</v>
      </c>
      <c r="AF352" s="30">
        <f>Table2[[#This Row],[(A) Spread]]-Table2[[#This Row],[Spread (V)]]</f>
        <v>0</v>
      </c>
      <c r="AG352" s="19"/>
      <c r="AH352" s="2">
        <f>Table2[[#This Row],[EV]]-Table2[[#This Row],[Spread (V)]]</f>
        <v>8.9299713079530818</v>
      </c>
      <c r="AI352" s="22">
        <f>Table2[[#This Row],[(A)]]-Table2[[#This Row],[Spread]]</f>
        <v>3.3548815165876693</v>
      </c>
      <c r="AJ352" s="1">
        <f>Table2[[#This Row],[(A) Err]]^2</f>
        <v>11.255229990341579</v>
      </c>
      <c r="AK352" s="6">
        <f>Table2[[#This Row],[EV]]-Table2[[#This Row],[Spread]]</f>
        <v>8.9299713079530818</v>
      </c>
      <c r="AL352" s="1">
        <f>Table2[[#This Row],[EV Err]]^2</f>
        <v>79.744387560865277</v>
      </c>
    </row>
    <row r="353" spans="1:38" x14ac:dyDescent="0.25">
      <c r="A353" t="s">
        <v>88</v>
      </c>
      <c r="B353" t="s">
        <v>38</v>
      </c>
      <c r="C353" t="s">
        <v>27</v>
      </c>
      <c r="K353" s="25">
        <f>(Table2[[#This Row],[Home Pace]]/100)*(VLOOKUP(Table2[[#This Row],[Home/Neutral]],home_lookup,8,FALSE)+VLOOKUP(Table2[[#This Row],[Home/Neutral]],OFR_lookup,2,FALSE)+VLOOKUP(Table2[[#This Row],[Visitor/Neutral]],def_diff_lookup,6,FALSE))</f>
        <v>105.6009916789148</v>
      </c>
      <c r="L353" s="25"/>
      <c r="M353" s="25">
        <f>(Table2[[#This Row],[Away Pace]]/100)*(VLOOKUP(Table2[[#This Row],[Visitor/Neutral]],OFR_lookup,2,FALSE)+VLOOKUP(Table2[[#This Row],[Home/Neutral]],def_diff_lookup,6,FALSE))</f>
        <v>105.34656</v>
      </c>
      <c r="N353" s="25"/>
      <c r="O353" s="25"/>
      <c r="P353">
        <f>VLOOKUP(Table2[[#This Row],[Home/Neutral]],pace_lookup,7,FALSE)</f>
        <v>94.2</v>
      </c>
      <c r="Q353" s="5">
        <f>VLOOKUP(Table2[[#This Row],[Visitor/Neutral]],pace_lookup,7,FALSE)</f>
        <v>99</v>
      </c>
      <c r="R353" s="9"/>
      <c r="V353" s="2">
        <f>-home-VLOOKUP(Table2[[#This Row],[Home/Neutral]],rtg_vlookup,4,FALSE)+VLOOKUP(Table2[[#This Row],[Visitor/Neutral]],rtg_vlookup,4,FALSE)</f>
        <v>5.3748815165876689</v>
      </c>
      <c r="W353" s="25"/>
      <c r="X353" s="2"/>
      <c r="Y353" s="2">
        <f>Table2[[#This Row],[Away EV]]-Table2[[#This Row],[Home EV]]</f>
        <v>-0.25443167891479845</v>
      </c>
      <c r="Z353" s="33"/>
      <c r="AA353" s="34"/>
      <c r="AB353" s="5" t="b">
        <f>IF(VLOOKUP(Table2[[#This Row],[Home/Neutral]],division_lookup,9,FALSE)=VLOOKUP(Table2[[#This Row],[Visitor/Neutral]],division_lookup,9,FALSE),TRUE,FALSE)</f>
        <v>0</v>
      </c>
      <c r="AC353" s="19" t="str">
        <f>VLOOKUP(Table2[[#This Row],[Home/Neutral]],division_lookup,9,FALSE)</f>
        <v>SE</v>
      </c>
      <c r="AD353" s="19"/>
      <c r="AE353" s="19" t="str">
        <f>IF(Table2[[#This Row],[Total EV ®]]&lt;Table2[[#This Row],[Total (V)]],"UNDER","OVER")</f>
        <v>OVER</v>
      </c>
      <c r="AF353" s="30">
        <f>Table2[[#This Row],[(A) Spread]]-Table2[[#This Row],[Spread (V)]]</f>
        <v>0</v>
      </c>
      <c r="AG353" s="19"/>
      <c r="AH353" s="2">
        <f>Table2[[#This Row],[EV]]-Table2[[#This Row],[Spread (V)]]</f>
        <v>-0.25443167891479845</v>
      </c>
      <c r="AI353" s="22">
        <f>Table2[[#This Row],[(A)]]-Table2[[#This Row],[Spread]]</f>
        <v>5.3748815165876689</v>
      </c>
      <c r="AJ353" s="1">
        <f>Table2[[#This Row],[(A) Err]]^2</f>
        <v>28.889351317355761</v>
      </c>
      <c r="AK353" s="6">
        <f>Table2[[#This Row],[EV]]-Table2[[#This Row],[Spread]]</f>
        <v>-0.25443167891479845</v>
      </c>
      <c r="AL353" s="1">
        <f>Table2[[#This Row],[EV Err]]^2</f>
        <v>6.4735479235403098E-2</v>
      </c>
    </row>
    <row r="354" spans="1:38" x14ac:dyDescent="0.25">
      <c r="A354" t="s">
        <v>88</v>
      </c>
      <c r="B354" t="s">
        <v>6</v>
      </c>
      <c r="C354" t="s">
        <v>35</v>
      </c>
      <c r="K354" s="25">
        <f>(Table2[[#This Row],[Home Pace]]/100)*(VLOOKUP(Table2[[#This Row],[Home/Neutral]],home_lookup,8,FALSE)+VLOOKUP(Table2[[#This Row],[Home/Neutral]],OFR_lookup,2,FALSE)+VLOOKUP(Table2[[#This Row],[Visitor/Neutral]],def_diff_lookup,6,FALSE))</f>
        <v>106.35523787062243</v>
      </c>
      <c r="L354" s="25"/>
      <c r="M354" s="25">
        <f>(Table2[[#This Row],[Away Pace]]/100)*(VLOOKUP(Table2[[#This Row],[Visitor/Neutral]],OFR_lookup,2,FALSE)+VLOOKUP(Table2[[#This Row],[Home/Neutral]],def_diff_lookup,6,FALSE))</f>
        <v>103.49862133333336</v>
      </c>
      <c r="N354" s="25"/>
      <c r="O354" s="25"/>
      <c r="P354">
        <f>VLOOKUP(Table2[[#This Row],[Home/Neutral]],pace_lookup,7,FALSE)</f>
        <v>93.1</v>
      </c>
      <c r="Q354" s="5">
        <f>VLOOKUP(Table2[[#This Row],[Visitor/Neutral]],pace_lookup,7,FALSE)</f>
        <v>102.2</v>
      </c>
      <c r="R354" s="9"/>
      <c r="V354" s="2">
        <f>-home-VLOOKUP(Table2[[#This Row],[Home/Neutral]],rtg_vlookup,4,FALSE)+VLOOKUP(Table2[[#This Row],[Visitor/Neutral]],rtg_vlookup,4,FALSE)</f>
        <v>-16.035118483412329</v>
      </c>
      <c r="W354" s="25"/>
      <c r="X354" s="2"/>
      <c r="Y354" s="2">
        <f>Table2[[#This Row],[Away EV]]-Table2[[#This Row],[Home EV]]</f>
        <v>-2.8566165372890708</v>
      </c>
      <c r="Z354" s="33"/>
      <c r="AA354" s="34"/>
      <c r="AB354" s="5" t="b">
        <f>IF(VLOOKUP(Table2[[#This Row],[Home/Neutral]],division_lookup,9,FALSE)=VLOOKUP(Table2[[#This Row],[Visitor/Neutral]],division_lookup,9,FALSE),TRUE,FALSE)</f>
        <v>0</v>
      </c>
      <c r="AC354" s="19" t="str">
        <f>VLOOKUP(Table2[[#This Row],[Home/Neutral]],division_lookup,9,FALSE)</f>
        <v>SW</v>
      </c>
      <c r="AD354" s="19"/>
      <c r="AE354" s="19" t="str">
        <f>IF(Table2[[#This Row],[Total EV ®]]&lt;Table2[[#This Row],[Total (V)]],"UNDER","OVER")</f>
        <v>OVER</v>
      </c>
      <c r="AF354" s="30">
        <f>Table2[[#This Row],[(A) Spread]]-Table2[[#This Row],[Spread (V)]]</f>
        <v>0</v>
      </c>
      <c r="AG354" s="19"/>
      <c r="AH354" s="2">
        <f>Table2[[#This Row],[EV]]-Table2[[#This Row],[Spread (V)]]</f>
        <v>-2.8566165372890708</v>
      </c>
      <c r="AI354" s="22">
        <f>Table2[[#This Row],[(A)]]-Table2[[#This Row],[Spread]]</f>
        <v>-16.035118483412329</v>
      </c>
      <c r="AJ354" s="1">
        <f>Table2[[#This Row],[(A) Err]]^2</f>
        <v>257.1250247770717</v>
      </c>
      <c r="AK354" s="6">
        <f>Table2[[#This Row],[EV]]-Table2[[#This Row],[Spread]]</f>
        <v>-2.8566165372890708</v>
      </c>
      <c r="AL354" s="1">
        <f>Table2[[#This Row],[EV Err]]^2</f>
        <v>8.1602580411134014</v>
      </c>
    </row>
    <row r="355" spans="1:38" x14ac:dyDescent="0.25">
      <c r="A355" t="s">
        <v>88</v>
      </c>
      <c r="B355" t="s">
        <v>20</v>
      </c>
      <c r="C355" t="s">
        <v>29</v>
      </c>
      <c r="K355" s="25">
        <f>(Table2[[#This Row],[Home Pace]]/100)*(VLOOKUP(Table2[[#This Row],[Home/Neutral]],home_lookup,8,FALSE)+VLOOKUP(Table2[[#This Row],[Home/Neutral]],OFR_lookup,2,FALSE)+VLOOKUP(Table2[[#This Row],[Visitor/Neutral]],def_diff_lookup,6,FALSE))</f>
        <v>106.92848528915177</v>
      </c>
      <c r="L355" s="25"/>
      <c r="M355" s="25">
        <f>(Table2[[#This Row],[Away Pace]]/100)*(VLOOKUP(Table2[[#This Row],[Visitor/Neutral]],OFR_lookup,2,FALSE)+VLOOKUP(Table2[[#This Row],[Home/Neutral]],def_diff_lookup,6,FALSE))</f>
        <v>99.325445333333349</v>
      </c>
      <c r="N355" s="25"/>
      <c r="O355" s="25"/>
      <c r="P355">
        <f>VLOOKUP(Table2[[#This Row],[Home/Neutral]],pace_lookup,7,FALSE)</f>
        <v>90.9</v>
      </c>
      <c r="Q355" s="5">
        <f>VLOOKUP(Table2[[#This Row],[Visitor/Neutral]],pace_lookup,7,FALSE)</f>
        <v>93.8</v>
      </c>
      <c r="R355" s="9"/>
      <c r="V355" s="2">
        <f>-home-VLOOKUP(Table2[[#This Row],[Home/Neutral]],rtg_vlookup,4,FALSE)+VLOOKUP(Table2[[#This Row],[Visitor/Neutral]],rtg_vlookup,4,FALSE)</f>
        <v>-6.755118483412331</v>
      </c>
      <c r="W355" s="25"/>
      <c r="X355" s="2"/>
      <c r="Y355" s="2">
        <f>Table2[[#This Row],[Away EV]]-Table2[[#This Row],[Home EV]]</f>
        <v>-7.6030399558184172</v>
      </c>
      <c r="Z355" s="33"/>
      <c r="AA355" s="34"/>
      <c r="AB355" s="5" t="b">
        <f>IF(VLOOKUP(Table2[[#This Row],[Home/Neutral]],division_lookup,9,FALSE)=VLOOKUP(Table2[[#This Row],[Visitor/Neutral]],division_lookup,9,FALSE),TRUE,FALSE)</f>
        <v>0</v>
      </c>
      <c r="AC355" s="19" t="str">
        <f>VLOOKUP(Table2[[#This Row],[Home/Neutral]],division_lookup,9,FALSE)</f>
        <v>NW</v>
      </c>
      <c r="AD355" s="19"/>
      <c r="AE355" s="19" t="str">
        <f>IF(Table2[[#This Row],[Total EV ®]]&lt;Table2[[#This Row],[Total (V)]],"UNDER","OVER")</f>
        <v>OVER</v>
      </c>
      <c r="AF355" s="30">
        <f>Table2[[#This Row],[(A) Spread]]-Table2[[#This Row],[Spread (V)]]</f>
        <v>0</v>
      </c>
      <c r="AG355" s="19"/>
      <c r="AH355" s="2">
        <f>Table2[[#This Row],[EV]]-Table2[[#This Row],[Spread (V)]]</f>
        <v>-7.6030399558184172</v>
      </c>
      <c r="AI355" s="22">
        <f>Table2[[#This Row],[(A)]]-Table2[[#This Row],[Spread]]</f>
        <v>-6.755118483412331</v>
      </c>
      <c r="AJ355" s="1">
        <f>Table2[[#This Row],[(A) Err]]^2</f>
        <v>45.631625724938914</v>
      </c>
      <c r="AK355" s="6">
        <f>Table2[[#This Row],[EV]]-Table2[[#This Row],[Spread]]</f>
        <v>-7.6030399558184172</v>
      </c>
      <c r="AL355" s="1">
        <f>Table2[[#This Row],[EV Err]]^2</f>
        <v>57.806216569771323</v>
      </c>
    </row>
    <row r="356" spans="1:38" x14ac:dyDescent="0.25">
      <c r="A356" t="s">
        <v>88</v>
      </c>
      <c r="B356" t="s">
        <v>28</v>
      </c>
      <c r="C356" t="s">
        <v>30</v>
      </c>
      <c r="K356" s="25">
        <f>(Table2[[#This Row],[Home Pace]]/100)*(VLOOKUP(Table2[[#This Row],[Home/Neutral]],home_lookup,8,FALSE)+VLOOKUP(Table2[[#This Row],[Home/Neutral]],OFR_lookup,2,FALSE)+VLOOKUP(Table2[[#This Row],[Visitor/Neutral]],def_diff_lookup,6,FALSE))</f>
        <v>110.18363553204274</v>
      </c>
      <c r="L356" s="25"/>
      <c r="M356" s="25">
        <f>(Table2[[#This Row],[Away Pace]]/100)*(VLOOKUP(Table2[[#This Row],[Visitor/Neutral]],OFR_lookup,2,FALSE)+VLOOKUP(Table2[[#This Row],[Home/Neutral]],def_diff_lookup,6,FALSE))</f>
        <v>105.23192533333335</v>
      </c>
      <c r="N356" s="25"/>
      <c r="O356" s="25"/>
      <c r="P356">
        <f>VLOOKUP(Table2[[#This Row],[Home/Neutral]],pace_lookup,7,FALSE)</f>
        <v>96.3</v>
      </c>
      <c r="Q356" s="5">
        <f>VLOOKUP(Table2[[#This Row],[Visitor/Neutral]],pace_lookup,7,FALSE)</f>
        <v>96.8</v>
      </c>
      <c r="R356" s="9"/>
      <c r="V356" s="2">
        <f>-home-VLOOKUP(Table2[[#This Row],[Home/Neutral]],rtg_vlookup,4,FALSE)+VLOOKUP(Table2[[#This Row],[Visitor/Neutral]],rtg_vlookup,4,FALSE)</f>
        <v>-3.3251184834123304</v>
      </c>
      <c r="W356" s="25"/>
      <c r="X356" s="2"/>
      <c r="Y356" s="2">
        <f>Table2[[#This Row],[Away EV]]-Table2[[#This Row],[Home EV]]</f>
        <v>-4.9517101987093923</v>
      </c>
      <c r="Z356" s="33"/>
      <c r="AA356" s="34"/>
      <c r="AB356" s="5" t="b">
        <f>IF(VLOOKUP(Table2[[#This Row],[Home/Neutral]],division_lookup,9,FALSE)=VLOOKUP(Table2[[#This Row],[Visitor/Neutral]],division_lookup,9,FALSE),TRUE,FALSE)</f>
        <v>0</v>
      </c>
      <c r="AC356" s="19" t="str">
        <f>VLOOKUP(Table2[[#This Row],[Home/Neutral]],division_lookup,9,FALSE)</f>
        <v>SE</v>
      </c>
      <c r="AD356" s="19"/>
      <c r="AE356" s="19" t="str">
        <f>IF(Table2[[#This Row],[Total EV ®]]&lt;Table2[[#This Row],[Total (V)]],"UNDER","OVER")</f>
        <v>OVER</v>
      </c>
      <c r="AF356" s="30">
        <f>Table2[[#This Row],[(A) Spread]]-Table2[[#This Row],[Spread (V)]]</f>
        <v>0</v>
      </c>
      <c r="AG356" s="19"/>
      <c r="AH356" s="2">
        <f>Table2[[#This Row],[EV]]-Table2[[#This Row],[Spread (V)]]</f>
        <v>-4.9517101987093923</v>
      </c>
      <c r="AI356" s="22">
        <f>Table2[[#This Row],[(A)]]-Table2[[#This Row],[Spread]]</f>
        <v>-3.3251184834123304</v>
      </c>
      <c r="AJ356" s="1">
        <f>Table2[[#This Row],[(A) Err]]^2</f>
        <v>11.056412928730316</v>
      </c>
      <c r="AK356" s="6">
        <f>Table2[[#This Row],[EV]]-Table2[[#This Row],[Spread]]</f>
        <v>-4.9517101987093923</v>
      </c>
      <c r="AL356" s="1">
        <f>Table2[[#This Row],[EV Err]]^2</f>
        <v>24.51943389200261</v>
      </c>
    </row>
    <row r="357" spans="1:38" x14ac:dyDescent="0.25">
      <c r="A357" t="s">
        <v>89</v>
      </c>
      <c r="B357" t="s">
        <v>25</v>
      </c>
      <c r="C357" t="s">
        <v>39</v>
      </c>
      <c r="K357" s="25">
        <f>(Table2[[#This Row],[Home Pace]]/100)*(VLOOKUP(Table2[[#This Row],[Home/Neutral]],home_lookup,8,FALSE)+VLOOKUP(Table2[[#This Row],[Home/Neutral]],OFR_lookup,2,FALSE)+VLOOKUP(Table2[[#This Row],[Visitor/Neutral]],def_diff_lookup,6,FALSE))</f>
        <v>106.12302444427256</v>
      </c>
      <c r="L357" s="25"/>
      <c r="M357" s="25">
        <f>(Table2[[#This Row],[Away Pace]]/100)*(VLOOKUP(Table2[[#This Row],[Visitor/Neutral]],OFR_lookup,2,FALSE)+VLOOKUP(Table2[[#This Row],[Home/Neutral]],def_diff_lookup,6,FALSE))</f>
        <v>93.961400000000012</v>
      </c>
      <c r="N357" s="25"/>
      <c r="O357" s="25"/>
      <c r="P357">
        <f>VLOOKUP(Table2[[#This Row],[Home/Neutral]],pace_lookup,7,FALSE)</f>
        <v>94.4</v>
      </c>
      <c r="Q357" s="5">
        <f>VLOOKUP(Table2[[#This Row],[Visitor/Neutral]],pace_lookup,7,FALSE)</f>
        <v>97.5</v>
      </c>
      <c r="R357" s="9"/>
      <c r="V357" s="2">
        <f>-home-VLOOKUP(Table2[[#This Row],[Home/Neutral]],rtg_vlookup,4,FALSE)+VLOOKUP(Table2[[#This Row],[Visitor/Neutral]],rtg_vlookup,4,FALSE)</f>
        <v>-11.985118483412331</v>
      </c>
      <c r="W357" s="25"/>
      <c r="X357" s="2"/>
      <c r="Y357" s="2">
        <f>Table2[[#This Row],[Away EV]]-Table2[[#This Row],[Home EV]]</f>
        <v>-12.161624444272547</v>
      </c>
      <c r="Z357" s="33"/>
      <c r="AA357" s="34"/>
      <c r="AB357" s="5" t="b">
        <f>IF(VLOOKUP(Table2[[#This Row],[Home/Neutral]],division_lookup,9,FALSE)=VLOOKUP(Table2[[#This Row],[Visitor/Neutral]],division_lookup,9,FALSE),TRUE,FALSE)</f>
        <v>0</v>
      </c>
      <c r="AC357" s="19" t="str">
        <f>VLOOKUP(Table2[[#This Row],[Home/Neutral]],division_lookup,9,FALSE)</f>
        <v>C</v>
      </c>
      <c r="AD357" s="19"/>
      <c r="AE357" s="19" t="str">
        <f>IF(Table2[[#This Row],[Total EV ®]]&lt;Table2[[#This Row],[Total (V)]],"UNDER","OVER")</f>
        <v>OVER</v>
      </c>
      <c r="AF357" s="30">
        <f>Table2[[#This Row],[(A) Spread]]-Table2[[#This Row],[Spread (V)]]</f>
        <v>0</v>
      </c>
      <c r="AG357" s="19"/>
      <c r="AH357" s="2">
        <f>Table2[[#This Row],[EV]]-Table2[[#This Row],[Spread (V)]]</f>
        <v>-12.161624444272547</v>
      </c>
      <c r="AI357" s="22">
        <f>Table2[[#This Row],[(A)]]-Table2[[#This Row],[Spread]]</f>
        <v>-11.985118483412331</v>
      </c>
      <c r="AJ357" s="1">
        <f>Table2[[#This Row],[(A) Err]]^2</f>
        <v>143.64306506143188</v>
      </c>
      <c r="AK357" s="6">
        <f>Table2[[#This Row],[EV]]-Table2[[#This Row],[Spread]]</f>
        <v>-12.161624444272547</v>
      </c>
      <c r="AL357" s="1">
        <f>Table2[[#This Row],[EV Err]]^2</f>
        <v>147.90510912352755</v>
      </c>
    </row>
    <row r="358" spans="1:38" x14ac:dyDescent="0.25">
      <c r="A358" t="s">
        <v>89</v>
      </c>
      <c r="B358" t="s">
        <v>24</v>
      </c>
      <c r="C358" t="s">
        <v>31</v>
      </c>
      <c r="K358" s="25">
        <f>(Table2[[#This Row],[Home Pace]]/100)*(VLOOKUP(Table2[[#This Row],[Home/Neutral]],home_lookup,8,FALSE)+VLOOKUP(Table2[[#This Row],[Home/Neutral]],OFR_lookup,2,FALSE)+VLOOKUP(Table2[[#This Row],[Visitor/Neutral]],def_diff_lookup,6,FALSE))</f>
        <v>113.9017843283094</v>
      </c>
      <c r="L358" s="25"/>
      <c r="M358" s="25">
        <f>(Table2[[#This Row],[Away Pace]]/100)*(VLOOKUP(Table2[[#This Row],[Visitor/Neutral]],OFR_lookup,2,FALSE)+VLOOKUP(Table2[[#This Row],[Home/Neutral]],def_diff_lookup,6,FALSE))</f>
        <v>108.23103999999999</v>
      </c>
      <c r="N358" s="25"/>
      <c r="O358" s="25"/>
      <c r="P358">
        <f>VLOOKUP(Table2[[#This Row],[Home/Neutral]],pace_lookup,7,FALSE)</f>
        <v>99.9</v>
      </c>
      <c r="Q358" s="5">
        <f>VLOOKUP(Table2[[#This Row],[Visitor/Neutral]],pace_lookup,7,FALSE)</f>
        <v>96</v>
      </c>
      <c r="R358" s="9"/>
      <c r="V358" s="2">
        <f>-home-VLOOKUP(Table2[[#This Row],[Home/Neutral]],rtg_vlookup,4,FALSE)+VLOOKUP(Table2[[#This Row],[Visitor/Neutral]],rtg_vlookup,4,FALSE)</f>
        <v>-5.2251184834123308</v>
      </c>
      <c r="W358" s="25"/>
      <c r="X358" s="2"/>
      <c r="Y358" s="2">
        <f>Table2[[#This Row],[Away EV]]-Table2[[#This Row],[Home EV]]</f>
        <v>-5.6707443283094108</v>
      </c>
      <c r="Z358" s="33"/>
      <c r="AA358" s="34"/>
      <c r="AB358" s="5" t="b">
        <f>IF(VLOOKUP(Table2[[#This Row],[Home/Neutral]],division_lookup,9,FALSE)=VLOOKUP(Table2[[#This Row],[Visitor/Neutral]],division_lookup,9,FALSE),TRUE,FALSE)</f>
        <v>0</v>
      </c>
      <c r="AC358" s="19" t="str">
        <f>VLOOKUP(Table2[[#This Row],[Home/Neutral]],division_lookup,9,FALSE)</f>
        <v>P</v>
      </c>
      <c r="AD358" s="19"/>
      <c r="AE358" s="19" t="str">
        <f>IF(Table2[[#This Row],[Total EV ®]]&lt;Table2[[#This Row],[Total (V)]],"UNDER","OVER")</f>
        <v>OVER</v>
      </c>
      <c r="AF358" s="30">
        <f>Table2[[#This Row],[(A) Spread]]-Table2[[#This Row],[Spread (V)]]</f>
        <v>0</v>
      </c>
      <c r="AG358" s="19"/>
      <c r="AH358" s="2">
        <f>Table2[[#This Row],[EV]]-Table2[[#This Row],[Spread (V)]]</f>
        <v>-5.6707443283094108</v>
      </c>
      <c r="AI358" s="22">
        <f>Table2[[#This Row],[(A)]]-Table2[[#This Row],[Spread]]</f>
        <v>-5.2251184834123308</v>
      </c>
      <c r="AJ358" s="1">
        <f>Table2[[#This Row],[(A) Err]]^2</f>
        <v>27.301863165697174</v>
      </c>
      <c r="AK358" s="6">
        <f>Table2[[#This Row],[EV]]-Table2[[#This Row],[Spread]]</f>
        <v>-5.6707443283094108</v>
      </c>
      <c r="AL358" s="1">
        <f>Table2[[#This Row],[EV Err]]^2</f>
        <v>32.157341237053352</v>
      </c>
    </row>
    <row r="359" spans="1:38" x14ac:dyDescent="0.25">
      <c r="A359" t="s">
        <v>89</v>
      </c>
      <c r="B359" t="s">
        <v>22</v>
      </c>
      <c r="C359" t="s">
        <v>10</v>
      </c>
      <c r="K359" s="25">
        <f>(Table2[[#This Row],[Home Pace]]/100)*(VLOOKUP(Table2[[#This Row],[Home/Neutral]],home_lookup,8,FALSE)+VLOOKUP(Table2[[#This Row],[Home/Neutral]],OFR_lookup,2,FALSE)+VLOOKUP(Table2[[#This Row],[Visitor/Neutral]],def_diff_lookup,6,FALSE))</f>
        <v>112.41219922968976</v>
      </c>
      <c r="L359" s="25"/>
      <c r="M359" s="25">
        <f>(Table2[[#This Row],[Away Pace]]/100)*(VLOOKUP(Table2[[#This Row],[Visitor/Neutral]],OFR_lookup,2,FALSE)+VLOOKUP(Table2[[#This Row],[Home/Neutral]],def_diff_lookup,6,FALSE))</f>
        <v>120.75183866666666</v>
      </c>
      <c r="N359" s="25"/>
      <c r="O359" s="25"/>
      <c r="P359">
        <f>VLOOKUP(Table2[[#This Row],[Home/Neutral]],pace_lookup,7,FALSE)</f>
        <v>94.7</v>
      </c>
      <c r="Q359" s="5">
        <f>VLOOKUP(Table2[[#This Row],[Visitor/Neutral]],pace_lookup,7,FALSE)</f>
        <v>100.3</v>
      </c>
      <c r="R359" s="9"/>
      <c r="V359" s="2">
        <f>-home-VLOOKUP(Table2[[#This Row],[Home/Neutral]],rtg_vlookup,4,FALSE)+VLOOKUP(Table2[[#This Row],[Visitor/Neutral]],rtg_vlookup,4,FALSE)</f>
        <v>4.8448815165876695</v>
      </c>
      <c r="W359" s="25"/>
      <c r="X359" s="2"/>
      <c r="Y359" s="2">
        <f>Table2[[#This Row],[Away EV]]-Table2[[#This Row],[Home EV]]</f>
        <v>8.3396394369768956</v>
      </c>
      <c r="Z359" s="33"/>
      <c r="AA359" s="34"/>
      <c r="AB359" s="5" t="b">
        <f>IF(VLOOKUP(Table2[[#This Row],[Home/Neutral]],division_lookup,9,FALSE)=VLOOKUP(Table2[[#This Row],[Visitor/Neutral]],division_lookup,9,FALSE),TRUE,FALSE)</f>
        <v>0</v>
      </c>
      <c r="AC359" s="19" t="str">
        <f>VLOOKUP(Table2[[#This Row],[Home/Neutral]],division_lookup,9,FALSE)</f>
        <v>NW</v>
      </c>
      <c r="AD359" s="19"/>
      <c r="AE359" s="19" t="str">
        <f>IF(Table2[[#This Row],[Total EV ®]]&lt;Table2[[#This Row],[Total (V)]],"UNDER","OVER")</f>
        <v>OVER</v>
      </c>
      <c r="AF359" s="30">
        <f>Table2[[#This Row],[(A) Spread]]-Table2[[#This Row],[Spread (V)]]</f>
        <v>0</v>
      </c>
      <c r="AG359" s="19"/>
      <c r="AH359" s="2">
        <f>Table2[[#This Row],[EV]]-Table2[[#This Row],[Spread (V)]]</f>
        <v>8.3396394369768956</v>
      </c>
      <c r="AI359" s="22">
        <f>Table2[[#This Row],[(A)]]-Table2[[#This Row],[Spread]]</f>
        <v>4.8448815165876695</v>
      </c>
      <c r="AJ359" s="1">
        <f>Table2[[#This Row],[(A) Err]]^2</f>
        <v>23.472876909772836</v>
      </c>
      <c r="AK359" s="6">
        <f>Table2[[#This Row],[EV]]-Table2[[#This Row],[Spread]]</f>
        <v>8.3396394369768956</v>
      </c>
      <c r="AL359" s="1">
        <f>Table2[[#This Row],[EV Err]]^2</f>
        <v>69.549585938780311</v>
      </c>
    </row>
    <row r="360" spans="1:38" x14ac:dyDescent="0.25">
      <c r="A360" t="s">
        <v>89</v>
      </c>
      <c r="B360" t="s">
        <v>18</v>
      </c>
      <c r="C360" t="s">
        <v>26</v>
      </c>
      <c r="K360" s="25">
        <f>(Table2[[#This Row],[Home Pace]]/100)*(VLOOKUP(Table2[[#This Row],[Home/Neutral]],home_lookup,8,FALSE)+VLOOKUP(Table2[[#This Row],[Home/Neutral]],OFR_lookup,2,FALSE)+VLOOKUP(Table2[[#This Row],[Visitor/Neutral]],def_diff_lookup,6,FALSE))</f>
        <v>104.61650616021132</v>
      </c>
      <c r="L360" s="25"/>
      <c r="M360" s="25">
        <f>(Table2[[#This Row],[Away Pace]]/100)*(VLOOKUP(Table2[[#This Row],[Visitor/Neutral]],OFR_lookup,2,FALSE)+VLOOKUP(Table2[[#This Row],[Home/Neutral]],def_diff_lookup,6,FALSE))</f>
        <v>99.514240000000001</v>
      </c>
      <c r="N360" s="25"/>
      <c r="O360" s="25"/>
      <c r="P360">
        <f>VLOOKUP(Table2[[#This Row],[Home/Neutral]],pace_lookup,7,FALSE)</f>
        <v>99.5</v>
      </c>
      <c r="Q360" s="5">
        <f>VLOOKUP(Table2[[#This Row],[Visitor/Neutral]],pace_lookup,7,FALSE)</f>
        <v>96</v>
      </c>
      <c r="R360" s="9"/>
      <c r="V360" s="2">
        <f>-home-VLOOKUP(Table2[[#This Row],[Home/Neutral]],rtg_vlookup,4,FALSE)+VLOOKUP(Table2[[#This Row],[Visitor/Neutral]],rtg_vlookup,4,FALSE)</f>
        <v>-5.2751184834123306</v>
      </c>
      <c r="W360" s="25"/>
      <c r="X360" s="2"/>
      <c r="Y360" s="2">
        <f>Table2[[#This Row],[Away EV]]-Table2[[#This Row],[Home EV]]</f>
        <v>-5.1022661602113146</v>
      </c>
      <c r="Z360" s="33"/>
      <c r="AA360" s="34"/>
      <c r="AB360" s="5" t="b">
        <f>IF(VLOOKUP(Table2[[#This Row],[Home/Neutral]],division_lookup,9,FALSE)=VLOOKUP(Table2[[#This Row],[Visitor/Neutral]],division_lookup,9,FALSE),TRUE,FALSE)</f>
        <v>0</v>
      </c>
      <c r="AC360" s="19" t="str">
        <f>VLOOKUP(Table2[[#This Row],[Home/Neutral]],division_lookup,9,FALSE)</f>
        <v>NW</v>
      </c>
      <c r="AD360" s="19"/>
      <c r="AE360" s="19" t="str">
        <f>IF(Table2[[#This Row],[Total EV ®]]&lt;Table2[[#This Row],[Total (V)]],"UNDER","OVER")</f>
        <v>OVER</v>
      </c>
      <c r="AF360" s="30">
        <f>Table2[[#This Row],[(A) Spread]]-Table2[[#This Row],[Spread (V)]]</f>
        <v>0</v>
      </c>
      <c r="AG360" s="19"/>
      <c r="AH360" s="2">
        <f>Table2[[#This Row],[EV]]-Table2[[#This Row],[Spread (V)]]</f>
        <v>-5.1022661602113146</v>
      </c>
      <c r="AI360" s="22">
        <f>Table2[[#This Row],[(A)]]-Table2[[#This Row],[Spread]]</f>
        <v>-5.2751184834123306</v>
      </c>
      <c r="AJ360" s="1">
        <f>Table2[[#This Row],[(A) Err]]^2</f>
        <v>27.826875014038407</v>
      </c>
      <c r="AK360" s="6">
        <f>Table2[[#This Row],[EV]]-Table2[[#This Row],[Spread]]</f>
        <v>-5.1022661602113146</v>
      </c>
      <c r="AL360" s="1">
        <f>Table2[[#This Row],[EV Err]]^2</f>
        <v>26.033119969637511</v>
      </c>
    </row>
    <row r="361" spans="1:38" x14ac:dyDescent="0.25">
      <c r="A361" t="s">
        <v>89</v>
      </c>
      <c r="B361" t="s">
        <v>36</v>
      </c>
      <c r="C361" t="s">
        <v>34</v>
      </c>
      <c r="K361" s="25">
        <f>(Table2[[#This Row],[Home Pace]]/100)*(VLOOKUP(Table2[[#This Row],[Home/Neutral]],home_lookup,8,FALSE)+VLOOKUP(Table2[[#This Row],[Home/Neutral]],OFR_lookup,2,FALSE)+VLOOKUP(Table2[[#This Row],[Visitor/Neutral]],def_diff_lookup,6,FALSE))</f>
        <v>107.21667156604042</v>
      </c>
      <c r="L361" s="25"/>
      <c r="M361" s="25">
        <f>(Table2[[#This Row],[Away Pace]]/100)*(VLOOKUP(Table2[[#This Row],[Visitor/Neutral]],OFR_lookup,2,FALSE)+VLOOKUP(Table2[[#This Row],[Home/Neutral]],def_diff_lookup,6,FALSE))</f>
        <v>102.62421866666666</v>
      </c>
      <c r="N361" s="25"/>
      <c r="O361" s="25"/>
      <c r="P361">
        <f>VLOOKUP(Table2[[#This Row],[Home/Neutral]],pace_lookup,7,FALSE)</f>
        <v>102.2</v>
      </c>
      <c r="Q361" s="5">
        <f>VLOOKUP(Table2[[#This Row],[Visitor/Neutral]],pace_lookup,7,FALSE)</f>
        <v>98.8</v>
      </c>
      <c r="R361" s="9"/>
      <c r="V361" s="2">
        <f>-home-VLOOKUP(Table2[[#This Row],[Home/Neutral]],rtg_vlookup,4,FALSE)+VLOOKUP(Table2[[#This Row],[Visitor/Neutral]],rtg_vlookup,4,FALSE)</f>
        <v>-1.5551184834123308</v>
      </c>
      <c r="W361" s="25"/>
      <c r="X361" s="2"/>
      <c r="Y361" s="2">
        <f>Table2[[#This Row],[Away EV]]-Table2[[#This Row],[Home EV]]</f>
        <v>-4.5924528993737539</v>
      </c>
      <c r="Z361" s="33"/>
      <c r="AA361" s="34"/>
      <c r="AB361" s="5" t="b">
        <f>IF(VLOOKUP(Table2[[#This Row],[Home/Neutral]],division_lookup,9,FALSE)=VLOOKUP(Table2[[#This Row],[Visitor/Neutral]],division_lookup,9,FALSE),TRUE,FALSE)</f>
        <v>0</v>
      </c>
      <c r="AC361" s="19" t="str">
        <f>VLOOKUP(Table2[[#This Row],[Home/Neutral]],division_lookup,9,FALSE)</f>
        <v>P</v>
      </c>
      <c r="AD361" s="19"/>
      <c r="AE361" s="19" t="str">
        <f>IF(Table2[[#This Row],[Total EV ®]]&lt;Table2[[#This Row],[Total (V)]],"UNDER","OVER")</f>
        <v>OVER</v>
      </c>
      <c r="AF361" s="30">
        <f>Table2[[#This Row],[(A) Spread]]-Table2[[#This Row],[Spread (V)]]</f>
        <v>0</v>
      </c>
      <c r="AG361" s="19"/>
      <c r="AH361" s="2">
        <f>Table2[[#This Row],[EV]]-Table2[[#This Row],[Spread (V)]]</f>
        <v>-4.5924528993737539</v>
      </c>
      <c r="AI361" s="22">
        <f>Table2[[#This Row],[(A)]]-Table2[[#This Row],[Spread]]</f>
        <v>-1.5551184834123308</v>
      </c>
      <c r="AJ361" s="1">
        <f>Table2[[#This Row],[(A) Err]]^2</f>
        <v>2.4183934974506678</v>
      </c>
      <c r="AK361" s="6">
        <f>Table2[[#This Row],[EV]]-Table2[[#This Row],[Spread]]</f>
        <v>-4.5924528993737539</v>
      </c>
      <c r="AL361" s="1">
        <f>Table2[[#This Row],[EV Err]]^2</f>
        <v>21.090623632966398</v>
      </c>
    </row>
    <row r="362" spans="1:38" x14ac:dyDescent="0.25">
      <c r="A362" t="s">
        <v>90</v>
      </c>
      <c r="B362" t="s">
        <v>37</v>
      </c>
      <c r="C362" t="s">
        <v>27</v>
      </c>
      <c r="K362" s="25">
        <f>(Table2[[#This Row],[Home Pace]]/100)*(VLOOKUP(Table2[[#This Row],[Home/Neutral]],home_lookup,8,FALSE)+VLOOKUP(Table2[[#This Row],[Home/Neutral]],OFR_lookup,2,FALSE)+VLOOKUP(Table2[[#This Row],[Visitor/Neutral]],def_diff_lookup,6,FALSE))</f>
        <v>101.98979809362122</v>
      </c>
      <c r="L362" s="25"/>
      <c r="M362" s="25">
        <f>(Table2[[#This Row],[Away Pace]]/100)*(VLOOKUP(Table2[[#This Row],[Visitor/Neutral]],OFR_lookup,2,FALSE)+VLOOKUP(Table2[[#This Row],[Home/Neutral]],def_diff_lookup,6,FALSE))</f>
        <v>101.21826</v>
      </c>
      <c r="N362" s="25"/>
      <c r="O362" s="25"/>
      <c r="P362">
        <f>VLOOKUP(Table2[[#This Row],[Home/Neutral]],pace_lookup,7,FALSE)</f>
        <v>92.1</v>
      </c>
      <c r="Q362" s="5">
        <f>VLOOKUP(Table2[[#This Row],[Visitor/Neutral]],pace_lookup,7,FALSE)</f>
        <v>99</v>
      </c>
      <c r="R362" s="9"/>
      <c r="V362" s="2">
        <f>-home-VLOOKUP(Table2[[#This Row],[Home/Neutral]],rtg_vlookup,4,FALSE)+VLOOKUP(Table2[[#This Row],[Visitor/Neutral]],rtg_vlookup,4,FALSE)</f>
        <v>4.1648815165876698</v>
      </c>
      <c r="W362" s="25"/>
      <c r="X362" s="2"/>
      <c r="Y362" s="2">
        <f>Table2[[#This Row],[Away EV]]-Table2[[#This Row],[Home EV]]</f>
        <v>-0.77153809362121706</v>
      </c>
      <c r="Z362" s="33"/>
      <c r="AA362" s="34"/>
      <c r="AB362" s="5" t="b">
        <f>IF(VLOOKUP(Table2[[#This Row],[Home/Neutral]],division_lookup,9,FALSE)=VLOOKUP(Table2[[#This Row],[Visitor/Neutral]],division_lookup,9,FALSE),TRUE,FALSE)</f>
        <v>0</v>
      </c>
      <c r="AC362" s="19" t="str">
        <f>VLOOKUP(Table2[[#This Row],[Home/Neutral]],division_lookup,9,FALSE)</f>
        <v>SW</v>
      </c>
      <c r="AD362" s="19"/>
      <c r="AE362" s="19" t="str">
        <f>IF(Table2[[#This Row],[Total EV ®]]&lt;Table2[[#This Row],[Total (V)]],"UNDER","OVER")</f>
        <v>OVER</v>
      </c>
      <c r="AF362" s="30">
        <f>Table2[[#This Row],[(A) Spread]]-Table2[[#This Row],[Spread (V)]]</f>
        <v>0</v>
      </c>
      <c r="AG362" s="19"/>
      <c r="AH362" s="2">
        <f>Table2[[#This Row],[EV]]-Table2[[#This Row],[Spread (V)]]</f>
        <v>-0.77153809362121706</v>
      </c>
      <c r="AI362" s="22">
        <f>Table2[[#This Row],[(A)]]-Table2[[#This Row],[Spread]]</f>
        <v>4.1648815165876698</v>
      </c>
      <c r="AJ362" s="1">
        <f>Table2[[#This Row],[(A) Err]]^2</f>
        <v>17.346238047213607</v>
      </c>
      <c r="AK362" s="6">
        <f>Table2[[#This Row],[EV]]-Table2[[#This Row],[Spread]]</f>
        <v>-0.77153809362121706</v>
      </c>
      <c r="AL362" s="1">
        <f>Table2[[#This Row],[EV Err]]^2</f>
        <v>0.59527102990866188</v>
      </c>
    </row>
    <row r="363" spans="1:38" x14ac:dyDescent="0.25">
      <c r="A363" t="s">
        <v>90</v>
      </c>
      <c r="B363" t="s">
        <v>17</v>
      </c>
      <c r="C363" t="s">
        <v>35</v>
      </c>
      <c r="K363" s="25">
        <f>(Table2[[#This Row],[Home Pace]]/100)*(VLOOKUP(Table2[[#This Row],[Home/Neutral]],home_lookup,8,FALSE)+VLOOKUP(Table2[[#This Row],[Home/Neutral]],OFR_lookup,2,FALSE)+VLOOKUP(Table2[[#This Row],[Visitor/Neutral]],def_diff_lookup,6,FALSE))</f>
        <v>112.74971692873544</v>
      </c>
      <c r="L363" s="25"/>
      <c r="M363" s="25">
        <f>(Table2[[#This Row],[Away Pace]]/100)*(VLOOKUP(Table2[[#This Row],[Visitor/Neutral]],OFR_lookup,2,FALSE)+VLOOKUP(Table2[[#This Row],[Home/Neutral]],def_diff_lookup,6,FALSE))</f>
        <v>109.20138133333336</v>
      </c>
      <c r="N363" s="25"/>
      <c r="O363" s="25"/>
      <c r="P363">
        <f>VLOOKUP(Table2[[#This Row],[Home/Neutral]],pace_lookup,7,FALSE)</f>
        <v>96.7</v>
      </c>
      <c r="Q363" s="5">
        <f>VLOOKUP(Table2[[#This Row],[Visitor/Neutral]],pace_lookup,7,FALSE)</f>
        <v>102.2</v>
      </c>
      <c r="R363" s="9"/>
      <c r="V363" s="2">
        <f>-home-VLOOKUP(Table2[[#This Row],[Home/Neutral]],rtg_vlookup,4,FALSE)+VLOOKUP(Table2[[#This Row],[Visitor/Neutral]],rtg_vlookup,4,FALSE)</f>
        <v>-13.275118483412331</v>
      </c>
      <c r="W363" s="25"/>
      <c r="X363" s="2"/>
      <c r="Y363" s="2">
        <f>Table2[[#This Row],[Away EV]]-Table2[[#This Row],[Home EV]]</f>
        <v>-3.5483355954020794</v>
      </c>
      <c r="Z363" s="33"/>
      <c r="AA363" s="34"/>
      <c r="AB363" s="5" t="b">
        <f>IF(VLOOKUP(Table2[[#This Row],[Home/Neutral]],division_lookup,9,FALSE)=VLOOKUP(Table2[[#This Row],[Visitor/Neutral]],division_lookup,9,FALSE),TRUE,FALSE)</f>
        <v>0</v>
      </c>
      <c r="AC363" s="19" t="str">
        <f>VLOOKUP(Table2[[#This Row],[Home/Neutral]],division_lookup,9,FALSE)</f>
        <v>SW</v>
      </c>
      <c r="AD363" s="19"/>
      <c r="AE363" s="19" t="str">
        <f>IF(Table2[[#This Row],[Total EV ®]]&lt;Table2[[#This Row],[Total (V)]],"UNDER","OVER")</f>
        <v>OVER</v>
      </c>
      <c r="AF363" s="30">
        <f>Table2[[#This Row],[(A) Spread]]-Table2[[#This Row],[Spread (V)]]</f>
        <v>0</v>
      </c>
      <c r="AG363" s="19"/>
      <c r="AH363" s="2">
        <f>Table2[[#This Row],[EV]]-Table2[[#This Row],[Spread (V)]]</f>
        <v>-3.5483355954020794</v>
      </c>
      <c r="AI363" s="22">
        <f>Table2[[#This Row],[(A)]]-Table2[[#This Row],[Spread]]</f>
        <v>-13.275118483412331</v>
      </c>
      <c r="AJ363" s="1">
        <f>Table2[[#This Row],[(A) Err]]^2</f>
        <v>176.22877074863572</v>
      </c>
      <c r="AK363" s="6">
        <f>Table2[[#This Row],[EV]]-Table2[[#This Row],[Spread]]</f>
        <v>-3.5483355954020794</v>
      </c>
      <c r="AL363" s="1">
        <f>Table2[[#This Row],[EV Err]]^2</f>
        <v>12.590685497597429</v>
      </c>
    </row>
    <row r="364" spans="1:38" x14ac:dyDescent="0.25">
      <c r="A364" t="s">
        <v>90</v>
      </c>
      <c r="B364" t="s">
        <v>33</v>
      </c>
      <c r="C364" t="s">
        <v>16</v>
      </c>
      <c r="K364" s="25">
        <f>(Table2[[#This Row],[Home Pace]]/100)*(VLOOKUP(Table2[[#This Row],[Home/Neutral]],home_lookup,8,FALSE)+VLOOKUP(Table2[[#This Row],[Home/Neutral]],OFR_lookup,2,FALSE)+VLOOKUP(Table2[[#This Row],[Visitor/Neutral]],def_diff_lookup,6,FALSE))</f>
        <v>105.78085852057507</v>
      </c>
      <c r="L364" s="25"/>
      <c r="M364" s="25">
        <f>(Table2[[#This Row],[Away Pace]]/100)*(VLOOKUP(Table2[[#This Row],[Visitor/Neutral]],OFR_lookup,2,FALSE)+VLOOKUP(Table2[[#This Row],[Home/Neutral]],def_diff_lookup,6,FALSE))</f>
        <v>106.89965000000001</v>
      </c>
      <c r="N364" s="25"/>
      <c r="O364" s="25"/>
      <c r="P364">
        <f>VLOOKUP(Table2[[#This Row],[Home/Neutral]],pace_lookup,7,FALSE)</f>
        <v>98.2</v>
      </c>
      <c r="Q364" s="5">
        <f>VLOOKUP(Table2[[#This Row],[Visitor/Neutral]],pace_lookup,7,FALSE)</f>
        <v>97.5</v>
      </c>
      <c r="R364" s="9"/>
      <c r="V364" s="2">
        <f>-home-VLOOKUP(Table2[[#This Row],[Home/Neutral]],rtg_vlookup,4,FALSE)+VLOOKUP(Table2[[#This Row],[Visitor/Neutral]],rtg_vlookup,4,FALSE)</f>
        <v>5.1348815165876696</v>
      </c>
      <c r="W364" s="25"/>
      <c r="X364" s="2"/>
      <c r="Y364" s="2">
        <f>Table2[[#This Row],[Away EV]]-Table2[[#This Row],[Home EV]]</f>
        <v>1.1187914794249423</v>
      </c>
      <c r="Z364" s="33"/>
      <c r="AA364" s="34"/>
      <c r="AB364" s="5" t="b">
        <f>IF(VLOOKUP(Table2[[#This Row],[Home/Neutral]],division_lookup,9,FALSE)=VLOOKUP(Table2[[#This Row],[Visitor/Neutral]],division_lookup,9,FALSE),TRUE,FALSE)</f>
        <v>0</v>
      </c>
      <c r="AC364" s="19" t="str">
        <f>VLOOKUP(Table2[[#This Row],[Home/Neutral]],division_lookup,9,FALSE)</f>
        <v>C</v>
      </c>
      <c r="AD364" s="19"/>
      <c r="AE364" s="19" t="str">
        <f>IF(Table2[[#This Row],[Total EV ®]]&lt;Table2[[#This Row],[Total (V)]],"UNDER","OVER")</f>
        <v>OVER</v>
      </c>
      <c r="AF364" s="30">
        <f>Table2[[#This Row],[(A) Spread]]-Table2[[#This Row],[Spread (V)]]</f>
        <v>0</v>
      </c>
      <c r="AG364" s="19"/>
      <c r="AH364" s="2">
        <f>Table2[[#This Row],[EV]]-Table2[[#This Row],[Spread (V)]]</f>
        <v>1.1187914794249423</v>
      </c>
      <c r="AI364" s="22">
        <f>Table2[[#This Row],[(A)]]-Table2[[#This Row],[Spread]]</f>
        <v>5.1348815165876696</v>
      </c>
      <c r="AJ364" s="1">
        <f>Table2[[#This Row],[(A) Err]]^2</f>
        <v>26.367008189393687</v>
      </c>
      <c r="AK364" s="6">
        <f>Table2[[#This Row],[EV]]-Table2[[#This Row],[Spread]]</f>
        <v>1.1187914794249423</v>
      </c>
      <c r="AL364" s="1">
        <f>Table2[[#This Row],[EV Err]]^2</f>
        <v>1.2516943744338511</v>
      </c>
    </row>
    <row r="365" spans="1:38" x14ac:dyDescent="0.25">
      <c r="A365" t="s">
        <v>90</v>
      </c>
      <c r="B365" t="s">
        <v>4</v>
      </c>
      <c r="C365" t="s">
        <v>32</v>
      </c>
      <c r="K365" s="25">
        <f>(Table2[[#This Row],[Home Pace]]/100)*(VLOOKUP(Table2[[#This Row],[Home/Neutral]],home_lookup,8,FALSE)+VLOOKUP(Table2[[#This Row],[Home/Neutral]],OFR_lookup,2,FALSE)+VLOOKUP(Table2[[#This Row],[Visitor/Neutral]],def_diff_lookup,6,FALSE))</f>
        <v>107.19870781393445</v>
      </c>
      <c r="L365" s="25"/>
      <c r="M365" s="25">
        <f>(Table2[[#This Row],[Away Pace]]/100)*(VLOOKUP(Table2[[#This Row],[Visitor/Neutral]],OFR_lookup,2,FALSE)+VLOOKUP(Table2[[#This Row],[Home/Neutral]],def_diff_lookup,6,FALSE))</f>
        <v>100.95719733333334</v>
      </c>
      <c r="N365" s="25"/>
      <c r="O365" s="25"/>
      <c r="P365">
        <f>VLOOKUP(Table2[[#This Row],[Home/Neutral]],pace_lookup,7,FALSE)</f>
        <v>96.6</v>
      </c>
      <c r="Q365" s="5">
        <f>VLOOKUP(Table2[[#This Row],[Visitor/Neutral]],pace_lookup,7,FALSE)</f>
        <v>98.6</v>
      </c>
      <c r="R365" s="9"/>
      <c r="V365" s="2">
        <f>-home-VLOOKUP(Table2[[#This Row],[Home/Neutral]],rtg_vlookup,4,FALSE)+VLOOKUP(Table2[[#This Row],[Visitor/Neutral]],rtg_vlookup,4,FALSE)</f>
        <v>-20.24511848341233</v>
      </c>
      <c r="W365" s="25"/>
      <c r="X365" s="2"/>
      <c r="Y365" s="2">
        <f>Table2[[#This Row],[Away EV]]-Table2[[#This Row],[Home EV]]</f>
        <v>-6.2415104806011072</v>
      </c>
      <c r="Z365" s="33"/>
      <c r="AA365" s="34"/>
      <c r="AB365" s="5" t="b">
        <f>IF(VLOOKUP(Table2[[#This Row],[Home/Neutral]],division_lookup,9,FALSE)=VLOOKUP(Table2[[#This Row],[Visitor/Neutral]],division_lookup,9,FALSE),TRUE,FALSE)</f>
        <v>0</v>
      </c>
      <c r="AC365" s="19" t="str">
        <f>VLOOKUP(Table2[[#This Row],[Home/Neutral]],division_lookup,9,FALSE)</f>
        <v>P</v>
      </c>
      <c r="AD365" s="19"/>
      <c r="AE365" s="19" t="str">
        <f>IF(Table2[[#This Row],[Total EV ®]]&lt;Table2[[#This Row],[Total (V)]],"UNDER","OVER")</f>
        <v>OVER</v>
      </c>
      <c r="AF365" s="30">
        <f>Table2[[#This Row],[(A) Spread]]-Table2[[#This Row],[Spread (V)]]</f>
        <v>0</v>
      </c>
      <c r="AG365" s="19"/>
      <c r="AH365" s="2">
        <f>Table2[[#This Row],[EV]]-Table2[[#This Row],[Spread (V)]]</f>
        <v>-6.2415104806011072</v>
      </c>
      <c r="AI365" s="22">
        <f>Table2[[#This Row],[(A)]]-Table2[[#This Row],[Spread]]</f>
        <v>-20.24511848341233</v>
      </c>
      <c r="AJ365" s="1">
        <f>Table2[[#This Row],[(A) Err]]^2</f>
        <v>409.86482240740355</v>
      </c>
      <c r="AK365" s="6">
        <f>Table2[[#This Row],[EV]]-Table2[[#This Row],[Spread]]</f>
        <v>-6.2415104806011072</v>
      </c>
      <c r="AL365" s="1">
        <f>Table2[[#This Row],[EV Err]]^2</f>
        <v>38.956453079453468</v>
      </c>
    </row>
    <row r="366" spans="1:38" x14ac:dyDescent="0.25">
      <c r="A366" t="s">
        <v>90</v>
      </c>
      <c r="B366" t="s">
        <v>21</v>
      </c>
      <c r="C366" t="s">
        <v>28</v>
      </c>
      <c r="K366" s="25">
        <f>(Table2[[#This Row],[Home Pace]]/100)*(VLOOKUP(Table2[[#This Row],[Home/Neutral]],home_lookup,8,FALSE)+VLOOKUP(Table2[[#This Row],[Home/Neutral]],OFR_lookup,2,FALSE)+VLOOKUP(Table2[[#This Row],[Visitor/Neutral]],def_diff_lookup,6,FALSE))</f>
        <v>104.28577117524391</v>
      </c>
      <c r="L366" s="25"/>
      <c r="M366" s="25">
        <f>(Table2[[#This Row],[Away Pace]]/100)*(VLOOKUP(Table2[[#This Row],[Visitor/Neutral]],OFR_lookup,2,FALSE)+VLOOKUP(Table2[[#This Row],[Home/Neutral]],def_diff_lookup,6,FALSE))</f>
        <v>99.777072000000004</v>
      </c>
      <c r="N366" s="25"/>
      <c r="O366" s="25"/>
      <c r="P366">
        <f>VLOOKUP(Table2[[#This Row],[Home/Neutral]],pace_lookup,7,FALSE)</f>
        <v>94.2</v>
      </c>
      <c r="Q366" s="5">
        <f>VLOOKUP(Table2[[#This Row],[Visitor/Neutral]],pace_lookup,7,FALSE)</f>
        <v>96.3</v>
      </c>
      <c r="R366" s="9"/>
      <c r="V366" s="2">
        <f>-home-VLOOKUP(Table2[[#This Row],[Home/Neutral]],rtg_vlookup,4,FALSE)+VLOOKUP(Table2[[#This Row],[Visitor/Neutral]],rtg_vlookup,4,FALSE)</f>
        <v>-4.545118483412331</v>
      </c>
      <c r="W366" s="25"/>
      <c r="X366" s="2"/>
      <c r="Y366" s="2">
        <f>Table2[[#This Row],[Away EV]]-Table2[[#This Row],[Home EV]]</f>
        <v>-4.5086991752439047</v>
      </c>
      <c r="Z366" s="33"/>
      <c r="AA366" s="34"/>
      <c r="AB366" s="5" t="b">
        <f>IF(VLOOKUP(Table2[[#This Row],[Home/Neutral]],division_lookup,9,FALSE)=VLOOKUP(Table2[[#This Row],[Visitor/Neutral]],division_lookup,9,FALSE),TRUE,FALSE)</f>
        <v>1</v>
      </c>
      <c r="AC366" s="19" t="str">
        <f>VLOOKUP(Table2[[#This Row],[Home/Neutral]],division_lookup,9,FALSE)</f>
        <v>SE</v>
      </c>
      <c r="AD366" s="19"/>
      <c r="AE366" s="19" t="str">
        <f>IF(Table2[[#This Row],[Total EV ®]]&lt;Table2[[#This Row],[Total (V)]],"UNDER","OVER")</f>
        <v>OVER</v>
      </c>
      <c r="AF366" s="30">
        <f>Table2[[#This Row],[(A) Spread]]-Table2[[#This Row],[Spread (V)]]</f>
        <v>0</v>
      </c>
      <c r="AG366" s="19"/>
      <c r="AH366" s="2">
        <f>Table2[[#This Row],[EV]]-Table2[[#This Row],[Spread (V)]]</f>
        <v>-4.5086991752439047</v>
      </c>
      <c r="AI366" s="22">
        <f>Table2[[#This Row],[(A)]]-Table2[[#This Row],[Spread]]</f>
        <v>-4.545118483412331</v>
      </c>
      <c r="AJ366" s="1">
        <f>Table2[[#This Row],[(A) Err]]^2</f>
        <v>20.658102028256408</v>
      </c>
      <c r="AK366" s="6">
        <f>Table2[[#This Row],[EV]]-Table2[[#This Row],[Spread]]</f>
        <v>-4.5086991752439047</v>
      </c>
      <c r="AL366" s="1">
        <f>Table2[[#This Row],[EV Err]]^2</f>
        <v>20.328368252845067</v>
      </c>
    </row>
    <row r="367" spans="1:38" x14ac:dyDescent="0.25">
      <c r="A367" t="s">
        <v>90</v>
      </c>
      <c r="B367" t="s">
        <v>29</v>
      </c>
      <c r="C367" t="s">
        <v>24</v>
      </c>
      <c r="K367" s="25">
        <f>(Table2[[#This Row],[Home Pace]]/100)*(VLOOKUP(Table2[[#This Row],[Home/Neutral]],home_lookup,8,FALSE)+VLOOKUP(Table2[[#This Row],[Home/Neutral]],OFR_lookup,2,FALSE)+VLOOKUP(Table2[[#This Row],[Visitor/Neutral]],def_diff_lookup,6,FALSE))</f>
        <v>112.67556926898523</v>
      </c>
      <c r="L367" s="25"/>
      <c r="M367" s="25">
        <f>(Table2[[#This Row],[Away Pace]]/100)*(VLOOKUP(Table2[[#This Row],[Visitor/Neutral]],OFR_lookup,2,FALSE)+VLOOKUP(Table2[[#This Row],[Home/Neutral]],def_diff_lookup,6,FALSE))</f>
        <v>113.73681600000002</v>
      </c>
      <c r="N367" s="25"/>
      <c r="O367" s="25"/>
      <c r="P367">
        <f>VLOOKUP(Table2[[#This Row],[Home/Neutral]],pace_lookup,7,FALSE)</f>
        <v>93.8</v>
      </c>
      <c r="Q367" s="5">
        <f>VLOOKUP(Table2[[#This Row],[Visitor/Neutral]],pace_lookup,7,FALSE)</f>
        <v>99.9</v>
      </c>
      <c r="R367" s="9"/>
      <c r="V367" s="2">
        <f>-home-VLOOKUP(Table2[[#This Row],[Home/Neutral]],rtg_vlookup,4,FALSE)+VLOOKUP(Table2[[#This Row],[Visitor/Neutral]],rtg_vlookup,4,FALSE)</f>
        <v>-0.17511848341233072</v>
      </c>
      <c r="W367" s="25"/>
      <c r="X367" s="2"/>
      <c r="Y367" s="2">
        <f>Table2[[#This Row],[Away EV]]-Table2[[#This Row],[Home EV]]</f>
        <v>1.0612467310147906</v>
      </c>
      <c r="Z367" s="33"/>
      <c r="AA367" s="34"/>
      <c r="AB367" s="5" t="b">
        <f>IF(VLOOKUP(Table2[[#This Row],[Home/Neutral]],division_lookup,9,FALSE)=VLOOKUP(Table2[[#This Row],[Visitor/Neutral]],division_lookup,9,FALSE),TRUE,FALSE)</f>
        <v>1</v>
      </c>
      <c r="AC367" s="19" t="str">
        <f>VLOOKUP(Table2[[#This Row],[Home/Neutral]],division_lookup,9,FALSE)</f>
        <v>P</v>
      </c>
      <c r="AD367" s="19"/>
      <c r="AE367" s="19" t="str">
        <f>IF(Table2[[#This Row],[Total EV ®]]&lt;Table2[[#This Row],[Total (V)]],"UNDER","OVER")</f>
        <v>OVER</v>
      </c>
      <c r="AF367" s="30">
        <f>Table2[[#This Row],[(A) Spread]]-Table2[[#This Row],[Spread (V)]]</f>
        <v>0</v>
      </c>
      <c r="AG367" s="19"/>
      <c r="AH367" s="2">
        <f>Table2[[#This Row],[EV]]-Table2[[#This Row],[Spread (V)]]</f>
        <v>1.0612467310147906</v>
      </c>
      <c r="AI367" s="22">
        <f>Table2[[#This Row],[(A)]]-Table2[[#This Row],[Spread]]</f>
        <v>-0.17511848341233072</v>
      </c>
      <c r="AJ367" s="1">
        <f>Table2[[#This Row],[(A) Err]]^2</f>
        <v>3.066648323263475E-2</v>
      </c>
      <c r="AK367" s="6">
        <f>Table2[[#This Row],[EV]]-Table2[[#This Row],[Spread]]</f>
        <v>1.0612467310147906</v>
      </c>
      <c r="AL367" s="1">
        <f>Table2[[#This Row],[EV Err]]^2</f>
        <v>1.1262446240895794</v>
      </c>
    </row>
    <row r="368" spans="1:38" x14ac:dyDescent="0.25">
      <c r="A368" t="s">
        <v>90</v>
      </c>
      <c r="B368" t="s">
        <v>14</v>
      </c>
      <c r="C368" t="s">
        <v>30</v>
      </c>
      <c r="K368" s="25">
        <f>(Table2[[#This Row],[Home Pace]]/100)*(VLOOKUP(Table2[[#This Row],[Home/Neutral]],home_lookup,8,FALSE)+VLOOKUP(Table2[[#This Row],[Home/Neutral]],OFR_lookup,2,FALSE)+VLOOKUP(Table2[[#This Row],[Visitor/Neutral]],def_diff_lookup,6,FALSE))</f>
        <v>109.01865414241452</v>
      </c>
      <c r="L368" s="25"/>
      <c r="M368" s="25">
        <f>(Table2[[#This Row],[Away Pace]]/100)*(VLOOKUP(Table2[[#This Row],[Visitor/Neutral]],OFR_lookup,2,FALSE)+VLOOKUP(Table2[[#This Row],[Home/Neutral]],def_diff_lookup,6,FALSE))</f>
        <v>104.17680533333335</v>
      </c>
      <c r="N368" s="25"/>
      <c r="O368" s="25"/>
      <c r="P368">
        <f>VLOOKUP(Table2[[#This Row],[Home/Neutral]],pace_lookup,7,FALSE)</f>
        <v>95.9</v>
      </c>
      <c r="Q368" s="5">
        <f>VLOOKUP(Table2[[#This Row],[Visitor/Neutral]],pace_lookup,7,FALSE)</f>
        <v>96.8</v>
      </c>
      <c r="R368" s="9"/>
      <c r="V368" s="2">
        <f>-home-VLOOKUP(Table2[[#This Row],[Home/Neutral]],rtg_vlookup,4,FALSE)+VLOOKUP(Table2[[#This Row],[Visitor/Neutral]],rtg_vlookup,4,FALSE)</f>
        <v>-10.205118483412331</v>
      </c>
      <c r="W368" s="25"/>
      <c r="X368" s="2"/>
      <c r="Y368" s="2">
        <f>Table2[[#This Row],[Away EV]]-Table2[[#This Row],[Home EV]]</f>
        <v>-4.8418488090811707</v>
      </c>
      <c r="Z368" s="33"/>
      <c r="AA368" s="34"/>
      <c r="AB368" s="5" t="b">
        <f>IF(VLOOKUP(Table2[[#This Row],[Home/Neutral]],division_lookup,9,FALSE)=VLOOKUP(Table2[[#This Row],[Visitor/Neutral]],division_lookup,9,FALSE),TRUE,FALSE)</f>
        <v>0</v>
      </c>
      <c r="AC368" s="19" t="str">
        <f>VLOOKUP(Table2[[#This Row],[Home/Neutral]],division_lookup,9,FALSE)</f>
        <v>A</v>
      </c>
      <c r="AD368" s="19"/>
      <c r="AE368" s="19" t="str">
        <f>IF(Table2[[#This Row],[Total EV ®]]&lt;Table2[[#This Row],[Total (V)]],"UNDER","OVER")</f>
        <v>OVER</v>
      </c>
      <c r="AF368" s="30">
        <f>Table2[[#This Row],[(A) Spread]]-Table2[[#This Row],[Spread (V)]]</f>
        <v>0</v>
      </c>
      <c r="AG368" s="19"/>
      <c r="AH368" s="2">
        <f>Table2[[#This Row],[EV]]-Table2[[#This Row],[Spread (V)]]</f>
        <v>-4.8418488090811707</v>
      </c>
      <c r="AI368" s="22">
        <f>Table2[[#This Row],[(A)]]-Table2[[#This Row],[Spread]]</f>
        <v>-10.205118483412331</v>
      </c>
      <c r="AJ368" s="1">
        <f>Table2[[#This Row],[(A) Err]]^2</f>
        <v>104.144443260484</v>
      </c>
      <c r="AK368" s="6">
        <f>Table2[[#This Row],[EV]]-Table2[[#This Row],[Spread]]</f>
        <v>-4.8418488090811707</v>
      </c>
      <c r="AL368" s="1">
        <f>Table2[[#This Row],[EV Err]]^2</f>
        <v>23.443499890000751</v>
      </c>
    </row>
    <row r="369" spans="1:38" x14ac:dyDescent="0.25">
      <c r="A369" t="s">
        <v>91</v>
      </c>
      <c r="B369" t="s">
        <v>11</v>
      </c>
      <c r="C369" t="s">
        <v>38</v>
      </c>
      <c r="K369" s="25">
        <f>(Table2[[#This Row],[Home Pace]]/100)*(VLOOKUP(Table2[[#This Row],[Home/Neutral]],home_lookup,8,FALSE)+VLOOKUP(Table2[[#This Row],[Home/Neutral]],OFR_lookup,2,FALSE)+VLOOKUP(Table2[[#This Row],[Visitor/Neutral]],def_diff_lookup,6,FALSE))</f>
        <v>99.617049044072814</v>
      </c>
      <c r="L369" s="25"/>
      <c r="M369" s="25">
        <f>(Table2[[#This Row],[Away Pace]]/100)*(VLOOKUP(Table2[[#This Row],[Visitor/Neutral]],OFR_lookup,2,FALSE)+VLOOKUP(Table2[[#This Row],[Home/Neutral]],def_diff_lookup,6,FALSE))</f>
        <v>85.666108000000023</v>
      </c>
      <c r="N369" s="25"/>
      <c r="O369" s="25"/>
      <c r="P369">
        <f>VLOOKUP(Table2[[#This Row],[Home/Neutral]],pace_lookup,7,FALSE)</f>
        <v>99.7</v>
      </c>
      <c r="Q369" s="5">
        <f>VLOOKUP(Table2[[#This Row],[Visitor/Neutral]],pace_lookup,7,FALSE)</f>
        <v>94.2</v>
      </c>
      <c r="R369" s="9"/>
      <c r="V369" s="2">
        <f>-home-VLOOKUP(Table2[[#This Row],[Home/Neutral]],rtg_vlookup,4,FALSE)+VLOOKUP(Table2[[#This Row],[Visitor/Neutral]],rtg_vlookup,4,FALSE)</f>
        <v>-17.735118483412329</v>
      </c>
      <c r="W369" s="25"/>
      <c r="X369" s="2"/>
      <c r="Y369" s="2">
        <f>Table2[[#This Row],[Away EV]]-Table2[[#This Row],[Home EV]]</f>
        <v>-13.950941044072792</v>
      </c>
      <c r="Z369" s="33"/>
      <c r="AA369" s="34"/>
      <c r="AB369" s="5" t="b">
        <f>IF(VLOOKUP(Table2[[#This Row],[Home/Neutral]],division_lookup,9,FALSE)=VLOOKUP(Table2[[#This Row],[Visitor/Neutral]],division_lookup,9,FALSE),TRUE,FALSE)</f>
        <v>1</v>
      </c>
      <c r="AC369" s="19" t="str">
        <f>VLOOKUP(Table2[[#This Row],[Home/Neutral]],division_lookup,9,FALSE)</f>
        <v>SE</v>
      </c>
      <c r="AD369" s="19"/>
      <c r="AE369" s="19" t="str">
        <f>IF(Table2[[#This Row],[Total EV ®]]&lt;Table2[[#This Row],[Total (V)]],"UNDER","OVER")</f>
        <v>OVER</v>
      </c>
      <c r="AF369" s="30">
        <f>Table2[[#This Row],[(A) Spread]]-Table2[[#This Row],[Spread (V)]]</f>
        <v>0</v>
      </c>
      <c r="AG369" s="19"/>
      <c r="AH369" s="2">
        <f>Table2[[#This Row],[EV]]-Table2[[#This Row],[Spread (V)]]</f>
        <v>-13.950941044072792</v>
      </c>
      <c r="AI369" s="22">
        <f>Table2[[#This Row],[(A)]]-Table2[[#This Row],[Spread]]</f>
        <v>-17.735118483412329</v>
      </c>
      <c r="AJ369" s="1">
        <f>Table2[[#This Row],[(A) Err]]^2</f>
        <v>314.53442762067363</v>
      </c>
      <c r="AK369" s="6">
        <f>Table2[[#This Row],[EV]]-Table2[[#This Row],[Spread]]</f>
        <v>-13.950941044072792</v>
      </c>
      <c r="AL369" s="1">
        <f>Table2[[#This Row],[EV Err]]^2</f>
        <v>194.62875601519485</v>
      </c>
    </row>
    <row r="370" spans="1:38" x14ac:dyDescent="0.25">
      <c r="A370" t="s">
        <v>91</v>
      </c>
      <c r="B370" t="s">
        <v>13</v>
      </c>
      <c r="C370" t="s">
        <v>22</v>
      </c>
      <c r="K370" s="25">
        <f>(Table2[[#This Row],[Home Pace]]/100)*(VLOOKUP(Table2[[#This Row],[Home/Neutral]],home_lookup,8,FALSE)+VLOOKUP(Table2[[#This Row],[Home/Neutral]],OFR_lookup,2,FALSE)+VLOOKUP(Table2[[#This Row],[Visitor/Neutral]],def_diff_lookup,6,FALSE))</f>
        <v>109.20049108450401</v>
      </c>
      <c r="L370" s="25"/>
      <c r="M370" s="25">
        <f>(Table2[[#This Row],[Away Pace]]/100)*(VLOOKUP(Table2[[#This Row],[Visitor/Neutral]],OFR_lookup,2,FALSE)+VLOOKUP(Table2[[#This Row],[Home/Neutral]],def_diff_lookup,6,FALSE))</f>
        <v>104.69148133333336</v>
      </c>
      <c r="N370" s="25"/>
      <c r="O370" s="25"/>
      <c r="P370">
        <f>VLOOKUP(Table2[[#This Row],[Home/Neutral]],pace_lookup,7,FALSE)</f>
        <v>94.5</v>
      </c>
      <c r="Q370" s="5">
        <f>VLOOKUP(Table2[[#This Row],[Visitor/Neutral]],pace_lookup,7,FALSE)</f>
        <v>94.7</v>
      </c>
      <c r="R370" s="9"/>
      <c r="V370" s="2">
        <f>-home-VLOOKUP(Table2[[#This Row],[Home/Neutral]],rtg_vlookup,4,FALSE)+VLOOKUP(Table2[[#This Row],[Visitor/Neutral]],rtg_vlookup,4,FALSE)</f>
        <v>-7.4551184834123312</v>
      </c>
      <c r="W370" s="25"/>
      <c r="X370" s="2"/>
      <c r="Y370" s="2">
        <f>Table2[[#This Row],[Away EV]]-Table2[[#This Row],[Home EV]]</f>
        <v>-4.5090097511706517</v>
      </c>
      <c r="Z370" s="33"/>
      <c r="AA370" s="34"/>
      <c r="AB370" s="5" t="b">
        <f>IF(VLOOKUP(Table2[[#This Row],[Home/Neutral]],division_lookup,9,FALSE)=VLOOKUP(Table2[[#This Row],[Visitor/Neutral]],division_lookup,9,FALSE),TRUE,FALSE)</f>
        <v>0</v>
      </c>
      <c r="AC370" s="19" t="str">
        <f>VLOOKUP(Table2[[#This Row],[Home/Neutral]],division_lookup,9,FALSE)</f>
        <v>C</v>
      </c>
      <c r="AD370" s="19"/>
      <c r="AE370" s="19" t="str">
        <f>IF(Table2[[#This Row],[Total EV ®]]&lt;Table2[[#This Row],[Total (V)]],"UNDER","OVER")</f>
        <v>OVER</v>
      </c>
      <c r="AF370" s="30">
        <f>Table2[[#This Row],[(A) Spread]]-Table2[[#This Row],[Spread (V)]]</f>
        <v>0</v>
      </c>
      <c r="AG370" s="19"/>
      <c r="AH370" s="2">
        <f>Table2[[#This Row],[EV]]-Table2[[#This Row],[Spread (V)]]</f>
        <v>-4.5090097511706517</v>
      </c>
      <c r="AI370" s="22">
        <f>Table2[[#This Row],[(A)]]-Table2[[#This Row],[Spread]]</f>
        <v>-7.4551184834123312</v>
      </c>
      <c r="AJ370" s="1">
        <f>Table2[[#This Row],[(A) Err]]^2</f>
        <v>55.578791601716176</v>
      </c>
      <c r="AK370" s="6">
        <f>Table2[[#This Row],[EV]]-Table2[[#This Row],[Spread]]</f>
        <v>-4.5090097511706517</v>
      </c>
      <c r="AL370" s="1">
        <f>Table2[[#This Row],[EV Err]]^2</f>
        <v>20.331168936152022</v>
      </c>
    </row>
    <row r="371" spans="1:38" x14ac:dyDescent="0.25">
      <c r="A371" t="s">
        <v>91</v>
      </c>
      <c r="B371" t="s">
        <v>8</v>
      </c>
      <c r="C371" t="s">
        <v>23</v>
      </c>
      <c r="K371" s="25">
        <f>(Table2[[#This Row],[Home Pace]]/100)*(VLOOKUP(Table2[[#This Row],[Home/Neutral]],home_lookup,8,FALSE)+VLOOKUP(Table2[[#This Row],[Home/Neutral]],OFR_lookup,2,FALSE)+VLOOKUP(Table2[[#This Row],[Visitor/Neutral]],def_diff_lookup,6,FALSE))</f>
        <v>100.52934036898181</v>
      </c>
      <c r="L371" s="25"/>
      <c r="M371" s="25">
        <f>(Table2[[#This Row],[Away Pace]]/100)*(VLOOKUP(Table2[[#This Row],[Visitor/Neutral]],OFR_lookup,2,FALSE)+VLOOKUP(Table2[[#This Row],[Home/Neutral]],def_diff_lookup,6,FALSE))</f>
        <v>94.674366666666685</v>
      </c>
      <c r="N371" s="25"/>
      <c r="O371" s="25"/>
      <c r="P371">
        <f>VLOOKUP(Table2[[#This Row],[Home/Neutral]],pace_lookup,7,FALSE)</f>
        <v>97.2</v>
      </c>
      <c r="Q371" s="5">
        <f>VLOOKUP(Table2[[#This Row],[Visitor/Neutral]],pace_lookup,7,FALSE)</f>
        <v>92.5</v>
      </c>
      <c r="R371" s="9"/>
      <c r="V371" s="2">
        <f>-home-VLOOKUP(Table2[[#This Row],[Home/Neutral]],rtg_vlookup,4,FALSE)+VLOOKUP(Table2[[#This Row],[Visitor/Neutral]],rtg_vlookup,4,FALSE)</f>
        <v>-7.1851184834123298</v>
      </c>
      <c r="W371" s="25"/>
      <c r="X371" s="2"/>
      <c r="Y371" s="2">
        <f>Table2[[#This Row],[Away EV]]-Table2[[#This Row],[Home EV]]</f>
        <v>-5.8549737023151209</v>
      </c>
      <c r="Z371" s="33"/>
      <c r="AA371" s="34"/>
      <c r="AB371" s="5" t="b">
        <f>IF(VLOOKUP(Table2[[#This Row],[Home/Neutral]],division_lookup,9,FALSE)=VLOOKUP(Table2[[#This Row],[Visitor/Neutral]],division_lookup,9,FALSE),TRUE,FALSE)</f>
        <v>0</v>
      </c>
      <c r="AC371" s="19" t="str">
        <f>VLOOKUP(Table2[[#This Row],[Home/Neutral]],division_lookup,9,FALSE)</f>
        <v>C</v>
      </c>
      <c r="AD371" s="19"/>
      <c r="AE371" s="19" t="str">
        <f>IF(Table2[[#This Row],[Total EV ®]]&lt;Table2[[#This Row],[Total (V)]],"UNDER","OVER")</f>
        <v>OVER</v>
      </c>
      <c r="AF371" s="30">
        <f>Table2[[#This Row],[(A) Spread]]-Table2[[#This Row],[Spread (V)]]</f>
        <v>0</v>
      </c>
      <c r="AG371" s="19"/>
      <c r="AH371" s="2">
        <f>Table2[[#This Row],[EV]]-Table2[[#This Row],[Spread (V)]]</f>
        <v>-5.8549737023151209</v>
      </c>
      <c r="AI371" s="22">
        <f>Table2[[#This Row],[(A)]]-Table2[[#This Row],[Spread]]</f>
        <v>-7.1851184834123298</v>
      </c>
      <c r="AJ371" s="1">
        <f>Table2[[#This Row],[(A) Err]]^2</f>
        <v>51.625927620673501</v>
      </c>
      <c r="AK371" s="6">
        <f>Table2[[#This Row],[EV]]-Table2[[#This Row],[Spread]]</f>
        <v>-5.8549737023151209</v>
      </c>
      <c r="AL371" s="1">
        <f>Table2[[#This Row],[EV Err]]^2</f>
        <v>34.280717054801634</v>
      </c>
    </row>
    <row r="372" spans="1:38" x14ac:dyDescent="0.25">
      <c r="A372" t="s">
        <v>91</v>
      </c>
      <c r="B372" t="s">
        <v>34</v>
      </c>
      <c r="C372" t="s">
        <v>10</v>
      </c>
      <c r="K372" s="25">
        <f>(Table2[[#This Row],[Home Pace]]/100)*(VLOOKUP(Table2[[#This Row],[Home/Neutral]],home_lookup,8,FALSE)+VLOOKUP(Table2[[#This Row],[Home/Neutral]],OFR_lookup,2,FALSE)+VLOOKUP(Table2[[#This Row],[Visitor/Neutral]],def_diff_lookup,6,FALSE))</f>
        <v>106.44883864565554</v>
      </c>
      <c r="L372" s="25"/>
      <c r="M372" s="25">
        <f>(Table2[[#This Row],[Away Pace]]/100)*(VLOOKUP(Table2[[#This Row],[Visitor/Neutral]],OFR_lookup,2,FALSE)+VLOOKUP(Table2[[#This Row],[Home/Neutral]],def_diff_lookup,6,FALSE))</f>
        <v>116.44896866666666</v>
      </c>
      <c r="N372" s="25"/>
      <c r="O372" s="25"/>
      <c r="P372">
        <f>VLOOKUP(Table2[[#This Row],[Home/Neutral]],pace_lookup,7,FALSE)</f>
        <v>98.8</v>
      </c>
      <c r="Q372" s="5">
        <f>VLOOKUP(Table2[[#This Row],[Visitor/Neutral]],pace_lookup,7,FALSE)</f>
        <v>100.3</v>
      </c>
      <c r="R372" s="9"/>
      <c r="V372" s="2">
        <f>-home-VLOOKUP(Table2[[#This Row],[Home/Neutral]],rtg_vlookup,4,FALSE)+VLOOKUP(Table2[[#This Row],[Visitor/Neutral]],rtg_vlookup,4,FALSE)</f>
        <v>10.784881516587671</v>
      </c>
      <c r="W372" s="25"/>
      <c r="X372" s="2"/>
      <c r="Y372" s="2">
        <f>Table2[[#This Row],[Away EV]]-Table2[[#This Row],[Home EV]]</f>
        <v>10.000130021011117</v>
      </c>
      <c r="Z372" s="33"/>
      <c r="AA372" s="34"/>
      <c r="AB372" s="5" t="b">
        <f>IF(VLOOKUP(Table2[[#This Row],[Home/Neutral]],division_lookup,9,FALSE)=VLOOKUP(Table2[[#This Row],[Visitor/Neutral]],division_lookup,9,FALSE),TRUE,FALSE)</f>
        <v>0</v>
      </c>
      <c r="AC372" s="19" t="str">
        <f>VLOOKUP(Table2[[#This Row],[Home/Neutral]],division_lookup,9,FALSE)</f>
        <v>SW</v>
      </c>
      <c r="AD372" s="19"/>
      <c r="AE372" s="19" t="str">
        <f>IF(Table2[[#This Row],[Total EV ®]]&lt;Table2[[#This Row],[Total (V)]],"UNDER","OVER")</f>
        <v>OVER</v>
      </c>
      <c r="AF372" s="30">
        <f>Table2[[#This Row],[(A) Spread]]-Table2[[#This Row],[Spread (V)]]</f>
        <v>0</v>
      </c>
      <c r="AG372" s="19"/>
      <c r="AH372" s="2">
        <f>Table2[[#This Row],[EV]]-Table2[[#This Row],[Spread (V)]]</f>
        <v>10.000130021011117</v>
      </c>
      <c r="AI372" s="22">
        <f>Table2[[#This Row],[(A)]]-Table2[[#This Row],[Spread]]</f>
        <v>10.784881516587671</v>
      </c>
      <c r="AJ372" s="1">
        <f>Table2[[#This Row],[(A) Err]]^2</f>
        <v>116.31366932683437</v>
      </c>
      <c r="AK372" s="6">
        <f>Table2[[#This Row],[EV]]-Table2[[#This Row],[Spread]]</f>
        <v>10.000130021011117</v>
      </c>
      <c r="AL372" s="1">
        <f>Table2[[#This Row],[EV Err]]^2</f>
        <v>100.0026004371278</v>
      </c>
    </row>
    <row r="373" spans="1:38" x14ac:dyDescent="0.25">
      <c r="A373" t="s">
        <v>91</v>
      </c>
      <c r="B373" t="s">
        <v>36</v>
      </c>
      <c r="C373" t="s">
        <v>31</v>
      </c>
      <c r="K373" s="25">
        <f>(Table2[[#This Row],[Home Pace]]/100)*(VLOOKUP(Table2[[#This Row],[Home/Neutral]],home_lookup,8,FALSE)+VLOOKUP(Table2[[#This Row],[Home/Neutral]],OFR_lookup,2,FALSE)+VLOOKUP(Table2[[#This Row],[Visitor/Neutral]],def_diff_lookup,6,FALSE))</f>
        <v>112.30623156604042</v>
      </c>
      <c r="L373" s="25"/>
      <c r="M373" s="25">
        <f>(Table2[[#This Row],[Away Pace]]/100)*(VLOOKUP(Table2[[#This Row],[Visitor/Neutral]],OFR_lookup,2,FALSE)+VLOOKUP(Table2[[#This Row],[Home/Neutral]],def_diff_lookup,6,FALSE))</f>
        <v>107.16544</v>
      </c>
      <c r="N373" s="25"/>
      <c r="O373" s="25"/>
      <c r="P373">
        <f>VLOOKUP(Table2[[#This Row],[Home/Neutral]],pace_lookup,7,FALSE)</f>
        <v>102.2</v>
      </c>
      <c r="Q373" s="5">
        <f>VLOOKUP(Table2[[#This Row],[Visitor/Neutral]],pace_lookup,7,FALSE)</f>
        <v>96</v>
      </c>
      <c r="R373" s="9"/>
      <c r="V373" s="2">
        <f>-home-VLOOKUP(Table2[[#This Row],[Home/Neutral]],rtg_vlookup,4,FALSE)+VLOOKUP(Table2[[#This Row],[Visitor/Neutral]],rtg_vlookup,4,FALSE)</f>
        <v>1.2348815165876692</v>
      </c>
      <c r="W373" s="25"/>
      <c r="X373" s="2"/>
      <c r="Y373" s="2">
        <f>Table2[[#This Row],[Away EV]]-Table2[[#This Row],[Home EV]]</f>
        <v>-5.14079156604042</v>
      </c>
      <c r="Z373" s="33"/>
      <c r="AA373" s="34"/>
      <c r="AB373" s="5" t="b">
        <f>IF(VLOOKUP(Table2[[#This Row],[Home/Neutral]],division_lookup,9,FALSE)=VLOOKUP(Table2[[#This Row],[Visitor/Neutral]],division_lookup,9,FALSE),TRUE,FALSE)</f>
        <v>0</v>
      </c>
      <c r="AC373" s="19" t="str">
        <f>VLOOKUP(Table2[[#This Row],[Home/Neutral]],division_lookup,9,FALSE)</f>
        <v>P</v>
      </c>
      <c r="AD373" s="19"/>
      <c r="AE373" s="19" t="str">
        <f>IF(Table2[[#This Row],[Total EV ®]]&lt;Table2[[#This Row],[Total (V)]],"UNDER","OVER")</f>
        <v>OVER</v>
      </c>
      <c r="AF373" s="30">
        <f>Table2[[#This Row],[(A) Spread]]-Table2[[#This Row],[Spread (V)]]</f>
        <v>0</v>
      </c>
      <c r="AG373" s="19"/>
      <c r="AH373" s="2">
        <f>Table2[[#This Row],[EV]]-Table2[[#This Row],[Spread (V)]]</f>
        <v>-5.14079156604042</v>
      </c>
      <c r="AI373" s="22">
        <f>Table2[[#This Row],[(A)]]-Table2[[#This Row],[Spread]]</f>
        <v>1.2348815165876692</v>
      </c>
      <c r="AJ373" s="1">
        <f>Table2[[#This Row],[(A) Err]]^2</f>
        <v>1.5249323600098619</v>
      </c>
      <c r="AK373" s="6">
        <f>Table2[[#This Row],[EV]]-Table2[[#This Row],[Spread]]</f>
        <v>-5.14079156604042</v>
      </c>
      <c r="AL373" s="1">
        <f>Table2[[#This Row],[EV Err]]^2</f>
        <v>26.427737925472314</v>
      </c>
    </row>
    <row r="374" spans="1:38" x14ac:dyDescent="0.25">
      <c r="A374" t="s">
        <v>91</v>
      </c>
      <c r="B374" t="s">
        <v>32</v>
      </c>
      <c r="C374" t="s">
        <v>18</v>
      </c>
      <c r="K374" s="25">
        <f>(Table2[[#This Row],[Home Pace]]/100)*(VLOOKUP(Table2[[#This Row],[Home/Neutral]],home_lookup,8,FALSE)+VLOOKUP(Table2[[#This Row],[Home/Neutral]],OFR_lookup,2,FALSE)+VLOOKUP(Table2[[#This Row],[Visitor/Neutral]],def_diff_lookup,6,FALSE))</f>
        <v>105.09677112001839</v>
      </c>
      <c r="L374" s="25"/>
      <c r="M374" s="25">
        <f>(Table2[[#This Row],[Away Pace]]/100)*(VLOOKUP(Table2[[#This Row],[Visitor/Neutral]],OFR_lookup,2,FALSE)+VLOOKUP(Table2[[#This Row],[Home/Neutral]],def_diff_lookup,6,FALSE))</f>
        <v>108.97306333333336</v>
      </c>
      <c r="N374" s="25"/>
      <c r="O374" s="25"/>
      <c r="P374">
        <f>VLOOKUP(Table2[[#This Row],[Home/Neutral]],pace_lookup,7,FALSE)</f>
        <v>98.6</v>
      </c>
      <c r="Q374" s="5">
        <f>VLOOKUP(Table2[[#This Row],[Visitor/Neutral]],pace_lookup,7,FALSE)</f>
        <v>99.5</v>
      </c>
      <c r="R374" s="9"/>
      <c r="V374" s="2">
        <f>-home-VLOOKUP(Table2[[#This Row],[Home/Neutral]],rtg_vlookup,4,FALSE)+VLOOKUP(Table2[[#This Row],[Visitor/Neutral]],rtg_vlookup,4,FALSE)</f>
        <v>2.4848815165876692</v>
      </c>
      <c r="W374" s="25"/>
      <c r="X374" s="2"/>
      <c r="Y374" s="2">
        <f>Table2[[#This Row],[Away EV]]-Table2[[#This Row],[Home EV]]</f>
        <v>3.8762922133149686</v>
      </c>
      <c r="Z374" s="33"/>
      <c r="AA374" s="34"/>
      <c r="AB374" s="5" t="b">
        <f>IF(VLOOKUP(Table2[[#This Row],[Home/Neutral]],division_lookup,9,FALSE)=VLOOKUP(Table2[[#This Row],[Visitor/Neutral]],division_lookup,9,FALSE),TRUE,FALSE)</f>
        <v>1</v>
      </c>
      <c r="AC374" s="19" t="str">
        <f>VLOOKUP(Table2[[#This Row],[Home/Neutral]],division_lookup,9,FALSE)</f>
        <v>NW</v>
      </c>
      <c r="AD374" s="19"/>
      <c r="AE374" s="19" t="str">
        <f>IF(Table2[[#This Row],[Total EV ®]]&lt;Table2[[#This Row],[Total (V)]],"UNDER","OVER")</f>
        <v>OVER</v>
      </c>
      <c r="AF374" s="30">
        <f>Table2[[#This Row],[(A) Spread]]-Table2[[#This Row],[Spread (V)]]</f>
        <v>0</v>
      </c>
      <c r="AG374" s="19"/>
      <c r="AH374" s="2">
        <f>Table2[[#This Row],[EV]]-Table2[[#This Row],[Spread (V)]]</f>
        <v>3.8762922133149686</v>
      </c>
      <c r="AI374" s="22">
        <f>Table2[[#This Row],[(A)]]-Table2[[#This Row],[Spread]]</f>
        <v>2.4848815165876692</v>
      </c>
      <c r="AJ374" s="1">
        <f>Table2[[#This Row],[(A) Err]]^2</f>
        <v>6.1746361514790351</v>
      </c>
      <c r="AK374" s="6">
        <f>Table2[[#This Row],[EV]]-Table2[[#This Row],[Spread]]</f>
        <v>3.8762922133149686</v>
      </c>
      <c r="AL374" s="1">
        <f>Table2[[#This Row],[EV Err]]^2</f>
        <v>15.025641323006258</v>
      </c>
    </row>
    <row r="375" spans="1:38" x14ac:dyDescent="0.25">
      <c r="A375" t="s">
        <v>92</v>
      </c>
      <c r="B375" t="s">
        <v>35</v>
      </c>
      <c r="C375" t="s">
        <v>24</v>
      </c>
      <c r="K375" s="25">
        <f>(Table2[[#This Row],[Home Pace]]/100)*(VLOOKUP(Table2[[#This Row],[Home/Neutral]],home_lookup,8,FALSE)+VLOOKUP(Table2[[#This Row],[Home/Neutral]],OFR_lookup,2,FALSE)+VLOOKUP(Table2[[#This Row],[Visitor/Neutral]],def_diff_lookup,6,FALSE))</f>
        <v>111.66717121209625</v>
      </c>
      <c r="L375" s="25"/>
      <c r="M375" s="25">
        <f>(Table2[[#This Row],[Away Pace]]/100)*(VLOOKUP(Table2[[#This Row],[Visitor/Neutral]],OFR_lookup,2,FALSE)+VLOOKUP(Table2[[#This Row],[Home/Neutral]],def_diff_lookup,6,FALSE))</f>
        <v>113.98656600000001</v>
      </c>
      <c r="N375" s="25"/>
      <c r="O375" s="25"/>
      <c r="P375">
        <f>VLOOKUP(Table2[[#This Row],[Home/Neutral]],pace_lookup,7,FALSE)</f>
        <v>102.2</v>
      </c>
      <c r="Q375" s="5">
        <f>VLOOKUP(Table2[[#This Row],[Visitor/Neutral]],pace_lookup,7,FALSE)</f>
        <v>99.9</v>
      </c>
      <c r="R375" s="9"/>
      <c r="V375" s="2">
        <f>-home-VLOOKUP(Table2[[#This Row],[Home/Neutral]],rtg_vlookup,4,FALSE)+VLOOKUP(Table2[[#This Row],[Visitor/Neutral]],rtg_vlookup,4,FALSE)</f>
        <v>3.8448815165876686</v>
      </c>
      <c r="W375" s="25"/>
      <c r="X375" s="2"/>
      <c r="Y375" s="2">
        <f>Table2[[#This Row],[Away EV]]-Table2[[#This Row],[Home EV]]</f>
        <v>2.3193947879037609</v>
      </c>
      <c r="Z375" s="33"/>
      <c r="AA375" s="34"/>
      <c r="AB375" s="5" t="b">
        <f>IF(VLOOKUP(Table2[[#This Row],[Home/Neutral]],division_lookup,9,FALSE)=VLOOKUP(Table2[[#This Row],[Visitor/Neutral]],division_lookup,9,FALSE),TRUE,FALSE)</f>
        <v>0</v>
      </c>
      <c r="AC375" s="19" t="str">
        <f>VLOOKUP(Table2[[#This Row],[Home/Neutral]],division_lookup,9,FALSE)</f>
        <v>A</v>
      </c>
      <c r="AD375" s="19"/>
      <c r="AE375" s="19" t="str">
        <f>IF(Table2[[#This Row],[Total EV ®]]&lt;Table2[[#This Row],[Total (V)]],"UNDER","OVER")</f>
        <v>OVER</v>
      </c>
      <c r="AF375" s="30">
        <f>Table2[[#This Row],[(A) Spread]]-Table2[[#This Row],[Spread (V)]]</f>
        <v>0</v>
      </c>
      <c r="AG375" s="19"/>
      <c r="AH375" s="2">
        <f>Table2[[#This Row],[EV]]-Table2[[#This Row],[Spread (V)]]</f>
        <v>2.3193947879037609</v>
      </c>
      <c r="AI375" s="22">
        <f>Table2[[#This Row],[(A)]]-Table2[[#This Row],[Spread]]</f>
        <v>3.8448815165876686</v>
      </c>
      <c r="AJ375" s="1">
        <f>Table2[[#This Row],[(A) Err]]^2</f>
        <v>14.783113876597492</v>
      </c>
      <c r="AK375" s="6">
        <f>Table2[[#This Row],[EV]]-Table2[[#This Row],[Spread]]</f>
        <v>2.3193947879037609</v>
      </c>
      <c r="AL375" s="1">
        <f>Table2[[#This Row],[EV Err]]^2</f>
        <v>5.3795921821551316</v>
      </c>
    </row>
    <row r="376" spans="1:38" x14ac:dyDescent="0.25">
      <c r="A376" t="s">
        <v>92</v>
      </c>
      <c r="B376" t="s">
        <v>37</v>
      </c>
      <c r="C376" t="s">
        <v>25</v>
      </c>
      <c r="K376" s="25">
        <f>(Table2[[#This Row],[Home Pace]]/100)*(VLOOKUP(Table2[[#This Row],[Home/Neutral]],home_lookup,8,FALSE)+VLOOKUP(Table2[[#This Row],[Home/Neutral]],OFR_lookup,2,FALSE)+VLOOKUP(Table2[[#This Row],[Visitor/Neutral]],def_diff_lookup,6,FALSE))</f>
        <v>98.978128093621223</v>
      </c>
      <c r="L376" s="25"/>
      <c r="M376" s="25">
        <f>(Table2[[#This Row],[Away Pace]]/100)*(VLOOKUP(Table2[[#This Row],[Visitor/Neutral]],OFR_lookup,2,FALSE)+VLOOKUP(Table2[[#This Row],[Home/Neutral]],def_diff_lookup,6,FALSE))</f>
        <v>93.975829333333351</v>
      </c>
      <c r="N376" s="25"/>
      <c r="O376" s="25"/>
      <c r="P376">
        <f>VLOOKUP(Table2[[#This Row],[Home/Neutral]],pace_lookup,7,FALSE)</f>
        <v>92.1</v>
      </c>
      <c r="Q376" s="5">
        <f>VLOOKUP(Table2[[#This Row],[Visitor/Neutral]],pace_lookup,7,FALSE)</f>
        <v>94.4</v>
      </c>
      <c r="R376" s="9"/>
      <c r="V376" s="2">
        <f>-home-VLOOKUP(Table2[[#This Row],[Home/Neutral]],rtg_vlookup,4,FALSE)+VLOOKUP(Table2[[#This Row],[Visitor/Neutral]],rtg_vlookup,4,FALSE)</f>
        <v>4.7448815165876699</v>
      </c>
      <c r="W376" s="25"/>
      <c r="X376" s="2"/>
      <c r="Y376" s="2">
        <f>Table2[[#This Row],[Away EV]]-Table2[[#This Row],[Home EV]]</f>
        <v>-5.0022987602878715</v>
      </c>
      <c r="Z376" s="33"/>
      <c r="AA376" s="34"/>
      <c r="AB376" s="5" t="b">
        <f>IF(VLOOKUP(Table2[[#This Row],[Home/Neutral]],division_lookup,9,FALSE)=VLOOKUP(Table2[[#This Row],[Visitor/Neutral]],division_lookup,9,FALSE),TRUE,FALSE)</f>
        <v>0</v>
      </c>
      <c r="AC376" s="19" t="str">
        <f>VLOOKUP(Table2[[#This Row],[Home/Neutral]],division_lookup,9,FALSE)</f>
        <v>SW</v>
      </c>
      <c r="AD376" s="19"/>
      <c r="AE376" s="19" t="str">
        <f>IF(Table2[[#This Row],[Total EV ®]]&lt;Table2[[#This Row],[Total (V)]],"UNDER","OVER")</f>
        <v>OVER</v>
      </c>
      <c r="AF376" s="30">
        <f>Table2[[#This Row],[(A) Spread]]-Table2[[#This Row],[Spread (V)]]</f>
        <v>0</v>
      </c>
      <c r="AG376" s="19"/>
      <c r="AH376" s="2">
        <f>Table2[[#This Row],[EV]]-Table2[[#This Row],[Spread (V)]]</f>
        <v>-5.0022987602878715</v>
      </c>
      <c r="AI376" s="22">
        <f>Table2[[#This Row],[(A)]]-Table2[[#This Row],[Spread]]</f>
        <v>4.7448815165876699</v>
      </c>
      <c r="AJ376" s="1">
        <f>Table2[[#This Row],[(A) Err]]^2</f>
        <v>22.513900606455305</v>
      </c>
      <c r="AK376" s="6">
        <f>Table2[[#This Row],[EV]]-Table2[[#This Row],[Spread]]</f>
        <v>-5.0022987602878715</v>
      </c>
      <c r="AL376" s="1">
        <f>Table2[[#This Row],[EV Err]]^2</f>
        <v>25.022992887177576</v>
      </c>
    </row>
    <row r="377" spans="1:38" x14ac:dyDescent="0.25">
      <c r="A377" t="s">
        <v>92</v>
      </c>
      <c r="B377" t="s">
        <v>17</v>
      </c>
      <c r="C377" t="s">
        <v>29</v>
      </c>
      <c r="K377" s="25">
        <f>(Table2[[#This Row],[Home Pace]]/100)*(VLOOKUP(Table2[[#This Row],[Home/Neutral]],home_lookup,8,FALSE)+VLOOKUP(Table2[[#This Row],[Home/Neutral]],OFR_lookup,2,FALSE)+VLOOKUP(Table2[[#This Row],[Visitor/Neutral]],def_diff_lookup,6,FALSE))</f>
        <v>112.50796692873544</v>
      </c>
      <c r="L377" s="25"/>
      <c r="M377" s="25">
        <f>(Table2[[#This Row],[Away Pace]]/100)*(VLOOKUP(Table2[[#This Row],[Visitor/Neutral]],OFR_lookup,2,FALSE)+VLOOKUP(Table2[[#This Row],[Home/Neutral]],def_diff_lookup,6,FALSE))</f>
        <v>103.77156533333334</v>
      </c>
      <c r="N377" s="25"/>
      <c r="O377" s="25"/>
      <c r="P377">
        <f>VLOOKUP(Table2[[#This Row],[Home/Neutral]],pace_lookup,7,FALSE)</f>
        <v>96.7</v>
      </c>
      <c r="Q377" s="5">
        <f>VLOOKUP(Table2[[#This Row],[Visitor/Neutral]],pace_lookup,7,FALSE)</f>
        <v>93.8</v>
      </c>
      <c r="R377" s="9"/>
      <c r="V377" s="2">
        <f>-home-VLOOKUP(Table2[[#This Row],[Home/Neutral]],rtg_vlookup,4,FALSE)+VLOOKUP(Table2[[#This Row],[Visitor/Neutral]],rtg_vlookup,4,FALSE)</f>
        <v>-9.2551184834123319</v>
      </c>
      <c r="W377" s="25"/>
      <c r="X377" s="2"/>
      <c r="Y377" s="2">
        <f>Table2[[#This Row],[Away EV]]-Table2[[#This Row],[Home EV]]</f>
        <v>-8.7364015954020999</v>
      </c>
      <c r="Z377" s="33"/>
      <c r="AA377" s="34"/>
      <c r="AB377" s="5" t="b">
        <f>IF(VLOOKUP(Table2[[#This Row],[Home/Neutral]],division_lookup,9,FALSE)=VLOOKUP(Table2[[#This Row],[Visitor/Neutral]],division_lookup,9,FALSE),TRUE,FALSE)</f>
        <v>0</v>
      </c>
      <c r="AC377" s="19" t="str">
        <f>VLOOKUP(Table2[[#This Row],[Home/Neutral]],division_lookup,9,FALSE)</f>
        <v>SW</v>
      </c>
      <c r="AD377" s="19"/>
      <c r="AE377" s="19" t="str">
        <f>IF(Table2[[#This Row],[Total EV ®]]&lt;Table2[[#This Row],[Total (V)]],"UNDER","OVER")</f>
        <v>OVER</v>
      </c>
      <c r="AF377" s="30">
        <f>Table2[[#This Row],[(A) Spread]]-Table2[[#This Row],[Spread (V)]]</f>
        <v>0</v>
      </c>
      <c r="AG377" s="19"/>
      <c r="AH377" s="2">
        <f>Table2[[#This Row],[EV]]-Table2[[#This Row],[Spread (V)]]</f>
        <v>-8.7364015954020999</v>
      </c>
      <c r="AI377" s="22">
        <f>Table2[[#This Row],[(A)]]-Table2[[#This Row],[Spread]]</f>
        <v>-9.2551184834123319</v>
      </c>
      <c r="AJ377" s="1">
        <f>Table2[[#This Row],[(A) Err]]^2</f>
        <v>85.657218142000588</v>
      </c>
      <c r="AK377" s="6">
        <f>Table2[[#This Row],[EV]]-Table2[[#This Row],[Spread]]</f>
        <v>-8.7364015954020999</v>
      </c>
      <c r="AL377" s="1">
        <f>Table2[[#This Row],[EV Err]]^2</f>
        <v>76.324712836144357</v>
      </c>
    </row>
    <row r="378" spans="1:38" x14ac:dyDescent="0.25">
      <c r="A378" t="s">
        <v>92</v>
      </c>
      <c r="B378" t="s">
        <v>23</v>
      </c>
      <c r="C378" t="s">
        <v>8</v>
      </c>
      <c r="K378" s="25">
        <f>(Table2[[#This Row],[Home Pace]]/100)*(VLOOKUP(Table2[[#This Row],[Home/Neutral]],home_lookup,8,FALSE)+VLOOKUP(Table2[[#This Row],[Home/Neutral]],OFR_lookup,2,FALSE)+VLOOKUP(Table2[[#This Row],[Visitor/Neutral]],def_diff_lookup,6,FALSE))</f>
        <v>100.1121373587136</v>
      </c>
      <c r="L378" s="25"/>
      <c r="M378" s="25">
        <f>(Table2[[#This Row],[Away Pace]]/100)*(VLOOKUP(Table2[[#This Row],[Visitor/Neutral]],OFR_lookup,2,FALSE)+VLOOKUP(Table2[[#This Row],[Home/Neutral]],def_diff_lookup,6,FALSE))</f>
        <v>103.819968</v>
      </c>
      <c r="N378" s="25"/>
      <c r="O378" s="25"/>
      <c r="P378">
        <f>VLOOKUP(Table2[[#This Row],[Home/Neutral]],pace_lookup,7,FALSE)</f>
        <v>92.5</v>
      </c>
      <c r="Q378" s="5">
        <f>VLOOKUP(Table2[[#This Row],[Visitor/Neutral]],pace_lookup,7,FALSE)</f>
        <v>97.2</v>
      </c>
      <c r="R378" s="9"/>
      <c r="V378" s="2">
        <f>-home-VLOOKUP(Table2[[#This Row],[Home/Neutral]],rtg_vlookup,4,FALSE)+VLOOKUP(Table2[[#This Row],[Visitor/Neutral]],rtg_vlookup,4,FALSE)</f>
        <v>1.7348815165876692</v>
      </c>
      <c r="W378" s="25"/>
      <c r="X378" s="2"/>
      <c r="Y378" s="2">
        <f>Table2[[#This Row],[Away EV]]-Table2[[#This Row],[Home EV]]</f>
        <v>3.7078306412864066</v>
      </c>
      <c r="Z378" s="33"/>
      <c r="AA378" s="34"/>
      <c r="AB378" s="5" t="b">
        <f>IF(VLOOKUP(Table2[[#This Row],[Home/Neutral]],division_lookup,9,FALSE)=VLOOKUP(Table2[[#This Row],[Visitor/Neutral]],division_lookup,9,FALSE),TRUE,FALSE)</f>
        <v>0</v>
      </c>
      <c r="AC378" s="19" t="str">
        <f>VLOOKUP(Table2[[#This Row],[Home/Neutral]],division_lookup,9,FALSE)</f>
        <v>SW</v>
      </c>
      <c r="AD378" s="19"/>
      <c r="AE378" s="19" t="str">
        <f>IF(Table2[[#This Row],[Total EV ®]]&lt;Table2[[#This Row],[Total (V)]],"UNDER","OVER")</f>
        <v>OVER</v>
      </c>
      <c r="AF378" s="30">
        <f>Table2[[#This Row],[(A) Spread]]-Table2[[#This Row],[Spread (V)]]</f>
        <v>0</v>
      </c>
      <c r="AG378" s="19"/>
      <c r="AH378" s="2">
        <f>Table2[[#This Row],[EV]]-Table2[[#This Row],[Spread (V)]]</f>
        <v>3.7078306412864066</v>
      </c>
      <c r="AI378" s="22">
        <f>Table2[[#This Row],[(A)]]-Table2[[#This Row],[Spread]]</f>
        <v>1.7348815165876692</v>
      </c>
      <c r="AJ378" s="1">
        <f>Table2[[#This Row],[(A) Err]]^2</f>
        <v>3.0098138765975313</v>
      </c>
      <c r="AK378" s="6">
        <f>Table2[[#This Row],[EV]]-Table2[[#This Row],[Spread]]</f>
        <v>3.7078306412864066</v>
      </c>
      <c r="AL378" s="1">
        <f>Table2[[#This Row],[EV Err]]^2</f>
        <v>13.748008064462365</v>
      </c>
    </row>
    <row r="379" spans="1:38" x14ac:dyDescent="0.25">
      <c r="A379" t="s">
        <v>92</v>
      </c>
      <c r="B379" t="s">
        <v>21</v>
      </c>
      <c r="C379" t="s">
        <v>33</v>
      </c>
      <c r="K379" s="25">
        <f>(Table2[[#This Row],[Home Pace]]/100)*(VLOOKUP(Table2[[#This Row],[Home/Neutral]],home_lookup,8,FALSE)+VLOOKUP(Table2[[#This Row],[Home/Neutral]],OFR_lookup,2,FALSE)+VLOOKUP(Table2[[#This Row],[Visitor/Neutral]],def_diff_lookup,6,FALSE))</f>
        <v>103.81477117524391</v>
      </c>
      <c r="L379" s="25"/>
      <c r="M379" s="25">
        <f>(Table2[[#This Row],[Away Pace]]/100)*(VLOOKUP(Table2[[#This Row],[Visitor/Neutral]],OFR_lookup,2,FALSE)+VLOOKUP(Table2[[#This Row],[Home/Neutral]],def_diff_lookup,6,FALSE))</f>
        <v>97.984614666666673</v>
      </c>
      <c r="N379" s="25"/>
      <c r="O379" s="25"/>
      <c r="P379">
        <f>VLOOKUP(Table2[[#This Row],[Home/Neutral]],pace_lookup,7,FALSE)</f>
        <v>94.2</v>
      </c>
      <c r="Q379" s="5">
        <f>VLOOKUP(Table2[[#This Row],[Visitor/Neutral]],pace_lookup,7,FALSE)</f>
        <v>98.2</v>
      </c>
      <c r="R379" s="9"/>
      <c r="V379" s="2">
        <f>-home-VLOOKUP(Table2[[#This Row],[Home/Neutral]],rtg_vlookup,4,FALSE)+VLOOKUP(Table2[[#This Row],[Visitor/Neutral]],rtg_vlookup,4,FALSE)</f>
        <v>-7.8751184834123311</v>
      </c>
      <c r="W379" s="25"/>
      <c r="X379" s="2"/>
      <c r="Y379" s="2">
        <f>Table2[[#This Row],[Away EV]]-Table2[[#This Row],[Home EV]]</f>
        <v>-5.8301565085772324</v>
      </c>
      <c r="Z379" s="33"/>
      <c r="AA379" s="34"/>
      <c r="AB379" s="5" t="b">
        <f>IF(VLOOKUP(Table2[[#This Row],[Home/Neutral]],division_lookup,9,FALSE)=VLOOKUP(Table2[[#This Row],[Visitor/Neutral]],division_lookup,9,FALSE),TRUE,FALSE)</f>
        <v>0</v>
      </c>
      <c r="AC379" s="19" t="str">
        <f>VLOOKUP(Table2[[#This Row],[Home/Neutral]],division_lookup,9,FALSE)</f>
        <v>SE</v>
      </c>
      <c r="AD379" s="19"/>
      <c r="AE379" s="19" t="str">
        <f>IF(Table2[[#This Row],[Total EV ®]]&lt;Table2[[#This Row],[Total (V)]],"UNDER","OVER")</f>
        <v>OVER</v>
      </c>
      <c r="AF379" s="30">
        <f>Table2[[#This Row],[(A) Spread]]-Table2[[#This Row],[Spread (V)]]</f>
        <v>0</v>
      </c>
      <c r="AG379" s="19"/>
      <c r="AH379" s="2">
        <f>Table2[[#This Row],[EV]]-Table2[[#This Row],[Spread (V)]]</f>
        <v>-5.8301565085772324</v>
      </c>
      <c r="AI379" s="22">
        <f>Table2[[#This Row],[(A)]]-Table2[[#This Row],[Spread]]</f>
        <v>-7.8751184834123311</v>
      </c>
      <c r="AJ379" s="1">
        <f>Table2[[#This Row],[(A) Err]]^2</f>
        <v>62.017491127782534</v>
      </c>
      <c r="AK379" s="6">
        <f>Table2[[#This Row],[EV]]-Table2[[#This Row],[Spread]]</f>
        <v>-5.8301565085772324</v>
      </c>
      <c r="AL379" s="1">
        <f>Table2[[#This Row],[EV Err]]^2</f>
        <v>33.990724914505464</v>
      </c>
    </row>
    <row r="380" spans="1:38" x14ac:dyDescent="0.25">
      <c r="A380" t="s">
        <v>92</v>
      </c>
      <c r="B380" t="s">
        <v>38</v>
      </c>
      <c r="C380" t="s">
        <v>4</v>
      </c>
      <c r="K380" s="25">
        <f>(Table2[[#This Row],[Home Pace]]/100)*(VLOOKUP(Table2[[#This Row],[Home/Neutral]],home_lookup,8,FALSE)+VLOOKUP(Table2[[#This Row],[Home/Neutral]],OFR_lookup,2,FALSE)+VLOOKUP(Table2[[#This Row],[Visitor/Neutral]],def_diff_lookup,6,FALSE))</f>
        <v>100.2598516789148</v>
      </c>
      <c r="L380" s="25"/>
      <c r="M380" s="25">
        <f>(Table2[[#This Row],[Away Pace]]/100)*(VLOOKUP(Table2[[#This Row],[Visitor/Neutral]],OFR_lookup,2,FALSE)+VLOOKUP(Table2[[#This Row],[Home/Neutral]],def_diff_lookup,6,FALSE))</f>
        <v>112.027664</v>
      </c>
      <c r="N380" s="25"/>
      <c r="O380" s="25"/>
      <c r="P380">
        <f>VLOOKUP(Table2[[#This Row],[Home/Neutral]],pace_lookup,7,FALSE)</f>
        <v>94.2</v>
      </c>
      <c r="Q380" s="5">
        <f>VLOOKUP(Table2[[#This Row],[Visitor/Neutral]],pace_lookup,7,FALSE)</f>
        <v>96.6</v>
      </c>
      <c r="R380" s="9"/>
      <c r="V380" s="2">
        <f>-home-VLOOKUP(Table2[[#This Row],[Home/Neutral]],rtg_vlookup,4,FALSE)+VLOOKUP(Table2[[#This Row],[Visitor/Neutral]],rtg_vlookup,4,FALSE)</f>
        <v>20.604881516587668</v>
      </c>
      <c r="W380" s="25"/>
      <c r="X380" s="2"/>
      <c r="Y380" s="2">
        <f>Table2[[#This Row],[Away EV]]-Table2[[#This Row],[Home EV]]</f>
        <v>11.767812321085202</v>
      </c>
      <c r="Z380" s="33"/>
      <c r="AA380" s="34"/>
      <c r="AB380" s="5" t="b">
        <f>IF(VLOOKUP(Table2[[#This Row],[Home/Neutral]],division_lookup,9,FALSE)=VLOOKUP(Table2[[#This Row],[Visitor/Neutral]],division_lookup,9,FALSE),TRUE,FALSE)</f>
        <v>0</v>
      </c>
      <c r="AC380" s="19" t="str">
        <f>VLOOKUP(Table2[[#This Row],[Home/Neutral]],division_lookup,9,FALSE)</f>
        <v>SE</v>
      </c>
      <c r="AD380" s="19"/>
      <c r="AE380" s="19" t="str">
        <f>IF(Table2[[#This Row],[Total EV ®]]&lt;Table2[[#This Row],[Total (V)]],"UNDER","OVER")</f>
        <v>OVER</v>
      </c>
      <c r="AF380" s="30">
        <f>Table2[[#This Row],[(A) Spread]]-Table2[[#This Row],[Spread (V)]]</f>
        <v>0</v>
      </c>
      <c r="AG380" s="19"/>
      <c r="AH380" s="2">
        <f>Table2[[#This Row],[EV]]-Table2[[#This Row],[Spread (V)]]</f>
        <v>11.767812321085202</v>
      </c>
      <c r="AI380" s="22">
        <f>Table2[[#This Row],[(A)]]-Table2[[#This Row],[Spread]]</f>
        <v>20.604881516587668</v>
      </c>
      <c r="AJ380" s="1">
        <f>Table2[[#This Row],[(A) Err]]^2</f>
        <v>424.56114231261608</v>
      </c>
      <c r="AK380" s="6">
        <f>Table2[[#This Row],[EV]]-Table2[[#This Row],[Spread]]</f>
        <v>11.767812321085202</v>
      </c>
      <c r="AL380" s="1">
        <f>Table2[[#This Row],[EV Err]]^2</f>
        <v>138.4814068242847</v>
      </c>
    </row>
    <row r="381" spans="1:38" x14ac:dyDescent="0.25">
      <c r="A381" t="s">
        <v>92</v>
      </c>
      <c r="B381" t="s">
        <v>39</v>
      </c>
      <c r="C381" t="s">
        <v>14</v>
      </c>
      <c r="K381" s="25">
        <f>(Table2[[#This Row],[Home Pace]]/100)*(VLOOKUP(Table2[[#This Row],[Home/Neutral]],home_lookup,8,FALSE)+VLOOKUP(Table2[[#This Row],[Home/Neutral]],OFR_lookup,2,FALSE)+VLOOKUP(Table2[[#This Row],[Visitor/Neutral]],def_diff_lookup,6,FALSE))</f>
        <v>109.18052211468579</v>
      </c>
      <c r="L381" s="25"/>
      <c r="M381" s="25">
        <f>(Table2[[#This Row],[Away Pace]]/100)*(VLOOKUP(Table2[[#This Row],[Visitor/Neutral]],OFR_lookup,2,FALSE)+VLOOKUP(Table2[[#This Row],[Home/Neutral]],def_diff_lookup,6,FALSE))</f>
        <v>111.43643933333335</v>
      </c>
      <c r="N381" s="25"/>
      <c r="O381" s="25"/>
      <c r="P381">
        <f>VLOOKUP(Table2[[#This Row],[Home/Neutral]],pace_lookup,7,FALSE)</f>
        <v>97.5</v>
      </c>
      <c r="Q381" s="5">
        <f>VLOOKUP(Table2[[#This Row],[Visitor/Neutral]],pace_lookup,7,FALSE)</f>
        <v>95.9</v>
      </c>
      <c r="R381" s="9"/>
      <c r="V381" s="2">
        <f>-home-VLOOKUP(Table2[[#This Row],[Home/Neutral]],rtg_vlookup,4,FALSE)+VLOOKUP(Table2[[#This Row],[Visitor/Neutral]],rtg_vlookup,4,FALSE)</f>
        <v>11.514881516587668</v>
      </c>
      <c r="W381" s="25"/>
      <c r="X381" s="2"/>
      <c r="Y381" s="2">
        <f>Table2[[#This Row],[Away EV]]-Table2[[#This Row],[Home EV]]</f>
        <v>2.2559172186475678</v>
      </c>
      <c r="Z381" s="33"/>
      <c r="AA381" s="34"/>
      <c r="AB381" s="5" t="b">
        <f>IF(VLOOKUP(Table2[[#This Row],[Home/Neutral]],division_lookup,9,FALSE)=VLOOKUP(Table2[[#This Row],[Visitor/Neutral]],division_lookup,9,FALSE),TRUE,FALSE)</f>
        <v>1</v>
      </c>
      <c r="AC381" s="19" t="str">
        <f>VLOOKUP(Table2[[#This Row],[Home/Neutral]],division_lookup,9,FALSE)</f>
        <v>A</v>
      </c>
      <c r="AD381" s="19"/>
      <c r="AE381" s="19" t="str">
        <f>IF(Table2[[#This Row],[Total EV ®]]&lt;Table2[[#This Row],[Total (V)]],"UNDER","OVER")</f>
        <v>OVER</v>
      </c>
      <c r="AF381" s="30">
        <f>Table2[[#This Row],[(A) Spread]]-Table2[[#This Row],[Spread (V)]]</f>
        <v>0</v>
      </c>
      <c r="AG381" s="19"/>
      <c r="AH381" s="2">
        <f>Table2[[#This Row],[EV]]-Table2[[#This Row],[Spread (V)]]</f>
        <v>2.2559172186475678</v>
      </c>
      <c r="AI381" s="22">
        <f>Table2[[#This Row],[(A)]]-Table2[[#This Row],[Spread]]</f>
        <v>11.514881516587668</v>
      </c>
      <c r="AJ381" s="1">
        <f>Table2[[#This Row],[(A) Err]]^2</f>
        <v>132.59249634105231</v>
      </c>
      <c r="AK381" s="6">
        <f>Table2[[#This Row],[EV]]-Table2[[#This Row],[Spread]]</f>
        <v>2.2559172186475678</v>
      </c>
      <c r="AL381" s="1">
        <f>Table2[[#This Row],[EV Err]]^2</f>
        <v>5.0891624973905785</v>
      </c>
    </row>
    <row r="382" spans="1:38" x14ac:dyDescent="0.25">
      <c r="A382" t="s">
        <v>92</v>
      </c>
      <c r="B382" t="s">
        <v>6</v>
      </c>
      <c r="C382" t="s">
        <v>26</v>
      </c>
      <c r="K382" s="25">
        <f>(Table2[[#This Row],[Home Pace]]/100)*(VLOOKUP(Table2[[#This Row],[Home/Neutral]],home_lookup,8,FALSE)+VLOOKUP(Table2[[#This Row],[Home/Neutral]],OFR_lookup,2,FALSE)+VLOOKUP(Table2[[#This Row],[Visitor/Neutral]],def_diff_lookup,6,FALSE))</f>
        <v>104.66081787062244</v>
      </c>
      <c r="L382" s="25"/>
      <c r="M382" s="25">
        <f>(Table2[[#This Row],[Away Pace]]/100)*(VLOOKUP(Table2[[#This Row],[Visitor/Neutral]],OFR_lookup,2,FALSE)+VLOOKUP(Table2[[#This Row],[Home/Neutral]],def_diff_lookup,6,FALSE))</f>
        <v>101.31904000000002</v>
      </c>
      <c r="N382" s="25"/>
      <c r="O382" s="25"/>
      <c r="P382">
        <f>VLOOKUP(Table2[[#This Row],[Home/Neutral]],pace_lookup,7,FALSE)</f>
        <v>93.1</v>
      </c>
      <c r="Q382" s="5">
        <f>VLOOKUP(Table2[[#This Row],[Visitor/Neutral]],pace_lookup,7,FALSE)</f>
        <v>96</v>
      </c>
      <c r="R382" s="9"/>
      <c r="V382" s="2">
        <f>-home-VLOOKUP(Table2[[#This Row],[Home/Neutral]],rtg_vlookup,4,FALSE)+VLOOKUP(Table2[[#This Row],[Visitor/Neutral]],rtg_vlookup,4,FALSE)</f>
        <v>-9.9451184834123314</v>
      </c>
      <c r="W382" s="25"/>
      <c r="X382" s="2"/>
      <c r="Y382" s="2">
        <f>Table2[[#This Row],[Away EV]]-Table2[[#This Row],[Home EV]]</f>
        <v>-3.3417778706224226</v>
      </c>
      <c r="Z382" s="33"/>
      <c r="AA382" s="34"/>
      <c r="AB382" s="5" t="b">
        <f>IF(VLOOKUP(Table2[[#This Row],[Home/Neutral]],division_lookup,9,FALSE)=VLOOKUP(Table2[[#This Row],[Visitor/Neutral]],division_lookup,9,FALSE),TRUE,FALSE)</f>
        <v>0</v>
      </c>
      <c r="AC382" s="19" t="str">
        <f>VLOOKUP(Table2[[#This Row],[Home/Neutral]],division_lookup,9,FALSE)</f>
        <v>SW</v>
      </c>
      <c r="AD382" s="19"/>
      <c r="AE382" s="19" t="str">
        <f>IF(Table2[[#This Row],[Total EV ®]]&lt;Table2[[#This Row],[Total (V)]],"UNDER","OVER")</f>
        <v>OVER</v>
      </c>
      <c r="AF382" s="30">
        <f>Table2[[#This Row],[(A) Spread]]-Table2[[#This Row],[Spread (V)]]</f>
        <v>0</v>
      </c>
      <c r="AG382" s="19"/>
      <c r="AH382" s="2">
        <f>Table2[[#This Row],[EV]]-Table2[[#This Row],[Spread (V)]]</f>
        <v>-3.3417778706224226</v>
      </c>
      <c r="AI382" s="22">
        <f>Table2[[#This Row],[(A)]]-Table2[[#This Row],[Spread]]</f>
        <v>-9.9451184834123314</v>
      </c>
      <c r="AJ382" s="1">
        <f>Table2[[#This Row],[(A) Err]]^2</f>
        <v>98.905381649109586</v>
      </c>
      <c r="AK382" s="6">
        <f>Table2[[#This Row],[EV]]-Table2[[#This Row],[Spread]]</f>
        <v>-3.3417778706224226</v>
      </c>
      <c r="AL382" s="1">
        <f>Table2[[#This Row],[EV Err]]^2</f>
        <v>11.167479336581733</v>
      </c>
    </row>
    <row r="383" spans="1:38" x14ac:dyDescent="0.25">
      <c r="A383" t="s">
        <v>92</v>
      </c>
      <c r="B383" t="s">
        <v>20</v>
      </c>
      <c r="C383" t="s">
        <v>18</v>
      </c>
      <c r="K383" s="25">
        <f>(Table2[[#This Row],[Home Pace]]/100)*(VLOOKUP(Table2[[#This Row],[Home/Neutral]],home_lookup,8,FALSE)+VLOOKUP(Table2[[#This Row],[Home/Neutral]],OFR_lookup,2,FALSE)+VLOOKUP(Table2[[#This Row],[Visitor/Neutral]],def_diff_lookup,6,FALSE))</f>
        <v>100.11098528915177</v>
      </c>
      <c r="L383" s="25"/>
      <c r="M383" s="25">
        <f>(Table2[[#This Row],[Away Pace]]/100)*(VLOOKUP(Table2[[#This Row],[Visitor/Neutral]],OFR_lookup,2,FALSE)+VLOOKUP(Table2[[#This Row],[Home/Neutral]],def_diff_lookup,6,FALSE))</f>
        <v>102.48566333333335</v>
      </c>
      <c r="N383" s="25"/>
      <c r="O383" s="25"/>
      <c r="P383">
        <f>VLOOKUP(Table2[[#This Row],[Home/Neutral]],pace_lookup,7,FALSE)</f>
        <v>90.9</v>
      </c>
      <c r="Q383" s="5">
        <f>VLOOKUP(Table2[[#This Row],[Visitor/Neutral]],pace_lookup,7,FALSE)</f>
        <v>99.5</v>
      </c>
      <c r="R383" s="9"/>
      <c r="V383" s="2">
        <f>-home-VLOOKUP(Table2[[#This Row],[Home/Neutral]],rtg_vlookup,4,FALSE)+VLOOKUP(Table2[[#This Row],[Visitor/Neutral]],rtg_vlookup,4,FALSE)</f>
        <v>-2.1351184834123309</v>
      </c>
      <c r="W383" s="25"/>
      <c r="X383" s="2"/>
      <c r="Y383" s="2">
        <f>Table2[[#This Row],[Away EV]]-Table2[[#This Row],[Home EV]]</f>
        <v>2.3746780441815787</v>
      </c>
      <c r="Z383" s="33"/>
      <c r="AA383" s="34"/>
      <c r="AB383" s="5" t="b">
        <f>IF(VLOOKUP(Table2[[#This Row],[Home/Neutral]],division_lookup,9,FALSE)=VLOOKUP(Table2[[#This Row],[Visitor/Neutral]],division_lookup,9,FALSE),TRUE,FALSE)</f>
        <v>1</v>
      </c>
      <c r="AC383" s="19" t="str">
        <f>VLOOKUP(Table2[[#This Row],[Home/Neutral]],division_lookup,9,FALSE)</f>
        <v>NW</v>
      </c>
      <c r="AD383" s="19"/>
      <c r="AE383" s="19" t="str">
        <f>IF(Table2[[#This Row],[Total EV ®]]&lt;Table2[[#This Row],[Total (V)]],"UNDER","OVER")</f>
        <v>OVER</v>
      </c>
      <c r="AF383" s="30">
        <f>Table2[[#This Row],[(A) Spread]]-Table2[[#This Row],[Spread (V)]]</f>
        <v>0</v>
      </c>
      <c r="AG383" s="19"/>
      <c r="AH383" s="2">
        <f>Table2[[#This Row],[EV]]-Table2[[#This Row],[Spread (V)]]</f>
        <v>2.3746780441815787</v>
      </c>
      <c r="AI383" s="22">
        <f>Table2[[#This Row],[(A)]]-Table2[[#This Row],[Spread]]</f>
        <v>-2.1351184834123309</v>
      </c>
      <c r="AJ383" s="1">
        <f>Table2[[#This Row],[(A) Err]]^2</f>
        <v>4.5587309382089716</v>
      </c>
      <c r="AK383" s="6">
        <f>Table2[[#This Row],[EV]]-Table2[[#This Row],[Spread]]</f>
        <v>2.3746780441815787</v>
      </c>
      <c r="AL383" s="1">
        <f>Table2[[#This Row],[EV Err]]^2</f>
        <v>5.6390958135180478</v>
      </c>
    </row>
    <row r="384" spans="1:38" x14ac:dyDescent="0.25">
      <c r="A384" t="s">
        <v>92</v>
      </c>
      <c r="B384" t="s">
        <v>28</v>
      </c>
      <c r="C384" t="s">
        <v>16</v>
      </c>
      <c r="K384" s="25">
        <f>(Table2[[#This Row],[Home Pace]]/100)*(VLOOKUP(Table2[[#This Row],[Home/Neutral]],home_lookup,8,FALSE)+VLOOKUP(Table2[[#This Row],[Home/Neutral]],OFR_lookup,2,FALSE)+VLOOKUP(Table2[[#This Row],[Visitor/Neutral]],def_diff_lookup,6,FALSE))</f>
        <v>106.62053553204274</v>
      </c>
      <c r="L384" s="25"/>
      <c r="M384" s="25">
        <f>(Table2[[#This Row],[Away Pace]]/100)*(VLOOKUP(Table2[[#This Row],[Visitor/Neutral]],OFR_lookup,2,FALSE)+VLOOKUP(Table2[[#This Row],[Home/Neutral]],def_diff_lookup,6,FALSE))</f>
        <v>107.38715000000001</v>
      </c>
      <c r="N384" s="25"/>
      <c r="O384" s="25"/>
      <c r="P384">
        <f>VLOOKUP(Table2[[#This Row],[Home/Neutral]],pace_lookup,7,FALSE)</f>
        <v>96.3</v>
      </c>
      <c r="Q384" s="5">
        <f>VLOOKUP(Table2[[#This Row],[Visitor/Neutral]],pace_lookup,7,FALSE)</f>
        <v>97.5</v>
      </c>
      <c r="R384" s="9"/>
      <c r="V384" s="2">
        <f>-home-VLOOKUP(Table2[[#This Row],[Home/Neutral]],rtg_vlookup,4,FALSE)+VLOOKUP(Table2[[#This Row],[Visitor/Neutral]],rtg_vlookup,4,FALSE)</f>
        <v>1.8048815165876695</v>
      </c>
      <c r="W384" s="25"/>
      <c r="X384" s="2"/>
      <c r="Y384" s="2">
        <f>Table2[[#This Row],[Away EV]]-Table2[[#This Row],[Home EV]]</f>
        <v>0.76661446795726818</v>
      </c>
      <c r="Z384" s="33"/>
      <c r="AA384" s="34"/>
      <c r="AB384" s="5" t="b">
        <f>IF(VLOOKUP(Table2[[#This Row],[Home/Neutral]],division_lookup,9,FALSE)=VLOOKUP(Table2[[#This Row],[Visitor/Neutral]],division_lookup,9,FALSE),TRUE,FALSE)</f>
        <v>1</v>
      </c>
      <c r="AC384" s="19" t="str">
        <f>VLOOKUP(Table2[[#This Row],[Home/Neutral]],division_lookup,9,FALSE)</f>
        <v>SE</v>
      </c>
      <c r="AD384" s="19"/>
      <c r="AE384" s="19" t="str">
        <f>IF(Table2[[#This Row],[Total EV ®]]&lt;Table2[[#This Row],[Total (V)]],"UNDER","OVER")</f>
        <v>OVER</v>
      </c>
      <c r="AF384" s="30">
        <f>Table2[[#This Row],[(A) Spread]]-Table2[[#This Row],[Spread (V)]]</f>
        <v>0</v>
      </c>
      <c r="AG384" s="19"/>
      <c r="AH384" s="2">
        <f>Table2[[#This Row],[EV]]-Table2[[#This Row],[Spread (V)]]</f>
        <v>0.76661446795726818</v>
      </c>
      <c r="AI384" s="22">
        <f>Table2[[#This Row],[(A)]]-Table2[[#This Row],[Spread]]</f>
        <v>1.8048815165876695</v>
      </c>
      <c r="AJ384" s="1">
        <f>Table2[[#This Row],[(A) Err]]^2</f>
        <v>3.2575972889198059</v>
      </c>
      <c r="AK384" s="6">
        <f>Table2[[#This Row],[EV]]-Table2[[#This Row],[Spread]]</f>
        <v>0.76661446795726818</v>
      </c>
      <c r="AL384" s="1">
        <f>Table2[[#This Row],[EV Err]]^2</f>
        <v>0.58769774248140538</v>
      </c>
    </row>
    <row r="385" spans="1:38" x14ac:dyDescent="0.25">
      <c r="A385" t="s">
        <v>93</v>
      </c>
      <c r="B385" t="s">
        <v>27</v>
      </c>
      <c r="C385" t="s">
        <v>32</v>
      </c>
      <c r="K385" s="25">
        <f>(Table2[[#This Row],[Home Pace]]/100)*(VLOOKUP(Table2[[#This Row],[Home/Neutral]],home_lookup,8,FALSE)+VLOOKUP(Table2[[#This Row],[Home/Neutral]],OFR_lookup,2,FALSE)+VLOOKUP(Table2[[#This Row],[Visitor/Neutral]],def_diff_lookup,6,FALSE))</f>
        <v>109.56465642647258</v>
      </c>
      <c r="L385" s="25"/>
      <c r="M385" s="25">
        <f>(Table2[[#This Row],[Away Pace]]/100)*(VLOOKUP(Table2[[#This Row],[Visitor/Neutral]],OFR_lookup,2,FALSE)+VLOOKUP(Table2[[#This Row],[Home/Neutral]],def_diff_lookup,6,FALSE))</f>
        <v>106.54781733333334</v>
      </c>
      <c r="N385" s="25"/>
      <c r="O385" s="25"/>
      <c r="P385">
        <f>VLOOKUP(Table2[[#This Row],[Home/Neutral]],pace_lookup,7,FALSE)</f>
        <v>99</v>
      </c>
      <c r="Q385" s="5">
        <f>VLOOKUP(Table2[[#This Row],[Visitor/Neutral]],pace_lookup,7,FALSE)</f>
        <v>98.6</v>
      </c>
      <c r="R385" s="9"/>
      <c r="V385" s="2">
        <f>-home-VLOOKUP(Table2[[#This Row],[Home/Neutral]],rtg_vlookup,4,FALSE)+VLOOKUP(Table2[[#This Row],[Visitor/Neutral]],rtg_vlookup,4,FALSE)</f>
        <v>-5.0151184834123308</v>
      </c>
      <c r="W385" s="25"/>
      <c r="X385" s="2"/>
      <c r="Y385" s="2">
        <f>Table2[[#This Row],[Away EV]]-Table2[[#This Row],[Home EV]]</f>
        <v>-3.0168390931392395</v>
      </c>
      <c r="Z385" s="33"/>
      <c r="AA385" s="34"/>
      <c r="AB385" s="5" t="b">
        <f>IF(VLOOKUP(Table2[[#This Row],[Home/Neutral]],division_lookup,9,FALSE)=VLOOKUP(Table2[[#This Row],[Visitor/Neutral]],division_lookup,9,FALSE),TRUE,FALSE)</f>
        <v>1</v>
      </c>
      <c r="AC385" s="19" t="str">
        <f>VLOOKUP(Table2[[#This Row],[Home/Neutral]],division_lookup,9,FALSE)</f>
        <v>NW</v>
      </c>
      <c r="AD385" s="19"/>
      <c r="AE385" s="19" t="str">
        <f>IF(Table2[[#This Row],[Total EV ®]]&lt;Table2[[#This Row],[Total (V)]],"UNDER","OVER")</f>
        <v>OVER</v>
      </c>
      <c r="AF385" s="30">
        <f>Table2[[#This Row],[(A) Spread]]-Table2[[#This Row],[Spread (V)]]</f>
        <v>0</v>
      </c>
      <c r="AG385" s="19"/>
      <c r="AH385" s="2">
        <f>Table2[[#This Row],[EV]]-Table2[[#This Row],[Spread (V)]]</f>
        <v>-3.0168390931392395</v>
      </c>
      <c r="AI385" s="22">
        <f>Table2[[#This Row],[(A)]]-Table2[[#This Row],[Spread]]</f>
        <v>-5.0151184834123308</v>
      </c>
      <c r="AJ385" s="1">
        <f>Table2[[#This Row],[(A) Err]]^2</f>
        <v>25.151413402663998</v>
      </c>
      <c r="AK385" s="6">
        <f>Table2[[#This Row],[EV]]-Table2[[#This Row],[Spread]]</f>
        <v>-3.0168390931392395</v>
      </c>
      <c r="AL385" s="1">
        <f>Table2[[#This Row],[EV Err]]^2</f>
        <v>9.1013181138931891</v>
      </c>
    </row>
    <row r="386" spans="1:38" x14ac:dyDescent="0.25">
      <c r="A386" t="s">
        <v>93</v>
      </c>
      <c r="B386" t="s">
        <v>10</v>
      </c>
      <c r="C386" t="s">
        <v>31</v>
      </c>
      <c r="K386" s="25">
        <f>(Table2[[#This Row],[Home Pace]]/100)*(VLOOKUP(Table2[[#This Row],[Home/Neutral]],home_lookup,8,FALSE)+VLOOKUP(Table2[[#This Row],[Home/Neutral]],OFR_lookup,2,FALSE)+VLOOKUP(Table2[[#This Row],[Visitor/Neutral]],def_diff_lookup,6,FALSE))</f>
        <v>111.93049853790561</v>
      </c>
      <c r="L386" s="25"/>
      <c r="M386" s="25">
        <f>(Table2[[#This Row],[Away Pace]]/100)*(VLOOKUP(Table2[[#This Row],[Visitor/Neutral]],OFR_lookup,2,FALSE)+VLOOKUP(Table2[[#This Row],[Home/Neutral]],def_diff_lookup,6,FALSE))</f>
        <v>105.93664</v>
      </c>
      <c r="N386" s="25"/>
      <c r="O386" s="25"/>
      <c r="P386">
        <f>VLOOKUP(Table2[[#This Row],[Home/Neutral]],pace_lookup,7,FALSE)</f>
        <v>100.3</v>
      </c>
      <c r="Q386" s="5">
        <f>VLOOKUP(Table2[[#This Row],[Visitor/Neutral]],pace_lookup,7,FALSE)</f>
        <v>96</v>
      </c>
      <c r="R386" s="9"/>
      <c r="V386" s="2">
        <f>-home-VLOOKUP(Table2[[#This Row],[Home/Neutral]],rtg_vlookup,4,FALSE)+VLOOKUP(Table2[[#This Row],[Visitor/Neutral]],rtg_vlookup,4,FALSE)</f>
        <v>-13.445118483412331</v>
      </c>
      <c r="W386" s="25"/>
      <c r="X386" s="2"/>
      <c r="Y386" s="2">
        <f>Table2[[#This Row],[Away EV]]-Table2[[#This Row],[Home EV]]</f>
        <v>-5.9938585379056093</v>
      </c>
      <c r="Z386" s="33"/>
      <c r="AA386" s="34"/>
      <c r="AB386" s="5" t="b">
        <f>IF(VLOOKUP(Table2[[#This Row],[Home/Neutral]],division_lookup,9,FALSE)=VLOOKUP(Table2[[#This Row],[Visitor/Neutral]],division_lookup,9,FALSE),TRUE,FALSE)</f>
        <v>0</v>
      </c>
      <c r="AC386" s="19" t="str">
        <f>VLOOKUP(Table2[[#This Row],[Home/Neutral]],division_lookup,9,FALSE)</f>
        <v>P</v>
      </c>
      <c r="AD386" s="19"/>
      <c r="AE386" s="19" t="str">
        <f>IF(Table2[[#This Row],[Total EV ®]]&lt;Table2[[#This Row],[Total (V)]],"UNDER","OVER")</f>
        <v>OVER</v>
      </c>
      <c r="AF386" s="30">
        <f>Table2[[#This Row],[(A) Spread]]-Table2[[#This Row],[Spread (V)]]</f>
        <v>0</v>
      </c>
      <c r="AG386" s="19"/>
      <c r="AH386" s="2">
        <f>Table2[[#This Row],[EV]]-Table2[[#This Row],[Spread (V)]]</f>
        <v>-5.9938585379056093</v>
      </c>
      <c r="AI386" s="22">
        <f>Table2[[#This Row],[(A)]]-Table2[[#This Row],[Spread]]</f>
        <v>-13.445118483412331</v>
      </c>
      <c r="AJ386" s="1">
        <f>Table2[[#This Row],[(A) Err]]^2</f>
        <v>180.77121103299592</v>
      </c>
      <c r="AK386" s="6">
        <f>Table2[[#This Row],[EV]]-Table2[[#This Row],[Spread]]</f>
        <v>-5.9938585379056093</v>
      </c>
      <c r="AL386" s="1">
        <f>Table2[[#This Row],[EV Err]]^2</f>
        <v>35.92634017242397</v>
      </c>
    </row>
    <row r="387" spans="1:38" x14ac:dyDescent="0.25">
      <c r="A387" t="s">
        <v>93</v>
      </c>
      <c r="B387" t="s">
        <v>30</v>
      </c>
      <c r="C387" t="s">
        <v>13</v>
      </c>
      <c r="K387" s="25">
        <f>(Table2[[#This Row],[Home Pace]]/100)*(VLOOKUP(Table2[[#This Row],[Home/Neutral]],home_lookup,8,FALSE)+VLOOKUP(Table2[[#This Row],[Home/Neutral]],OFR_lookup,2,FALSE)+VLOOKUP(Table2[[#This Row],[Visitor/Neutral]],def_diff_lookup,6,FALSE))</f>
        <v>107.44440034993644</v>
      </c>
      <c r="L387" s="25"/>
      <c r="M387" s="25">
        <f>(Table2[[#This Row],[Away Pace]]/100)*(VLOOKUP(Table2[[#This Row],[Visitor/Neutral]],OFR_lookup,2,FALSE)+VLOOKUP(Table2[[#This Row],[Home/Neutral]],def_diff_lookup,6,FALSE))</f>
        <v>106.96518000000002</v>
      </c>
      <c r="N387" s="25"/>
      <c r="O387" s="25"/>
      <c r="P387">
        <f>VLOOKUP(Table2[[#This Row],[Home/Neutral]],pace_lookup,7,FALSE)</f>
        <v>96.8</v>
      </c>
      <c r="Q387" s="5">
        <f>VLOOKUP(Table2[[#This Row],[Visitor/Neutral]],pace_lookup,7,FALSE)</f>
        <v>94.5</v>
      </c>
      <c r="R387" s="9"/>
      <c r="V387" s="2">
        <f>-home-VLOOKUP(Table2[[#This Row],[Home/Neutral]],rtg_vlookup,4,FALSE)+VLOOKUP(Table2[[#This Row],[Visitor/Neutral]],rtg_vlookup,4,FALSE)</f>
        <v>5.4248815165876687</v>
      </c>
      <c r="W387" s="25"/>
      <c r="X387" s="2"/>
      <c r="Y387" s="2">
        <f>Table2[[#This Row],[Away EV]]-Table2[[#This Row],[Home EV]]</f>
        <v>-0.47922034993642626</v>
      </c>
      <c r="Z387" s="33"/>
      <c r="AA387" s="34"/>
      <c r="AB387" s="5" t="b">
        <f>IF(VLOOKUP(Table2[[#This Row],[Home/Neutral]],division_lookup,9,FALSE)=VLOOKUP(Table2[[#This Row],[Visitor/Neutral]],division_lookup,9,FALSE),TRUE,FALSE)</f>
        <v>1</v>
      </c>
      <c r="AC387" s="19" t="str">
        <f>VLOOKUP(Table2[[#This Row],[Home/Neutral]],division_lookup,9,FALSE)</f>
        <v>C</v>
      </c>
      <c r="AD387" s="19"/>
      <c r="AE387" s="19" t="str">
        <f>IF(Table2[[#This Row],[Total EV ®]]&lt;Table2[[#This Row],[Total (V)]],"UNDER","OVER")</f>
        <v>OVER</v>
      </c>
      <c r="AF387" s="30">
        <f>Table2[[#This Row],[(A) Spread]]-Table2[[#This Row],[Spread (V)]]</f>
        <v>0</v>
      </c>
      <c r="AG387" s="19"/>
      <c r="AH387" s="2">
        <f>Table2[[#This Row],[EV]]-Table2[[#This Row],[Spread (V)]]</f>
        <v>-0.47922034993642626</v>
      </c>
      <c r="AI387" s="22">
        <f>Table2[[#This Row],[(A)]]-Table2[[#This Row],[Spread]]</f>
        <v>5.4248815165876687</v>
      </c>
      <c r="AJ387" s="1">
        <f>Table2[[#This Row],[(A) Err]]^2</f>
        <v>29.429339469014526</v>
      </c>
      <c r="AK387" s="6">
        <f>Table2[[#This Row],[EV]]-Table2[[#This Row],[Spread]]</f>
        <v>-0.47922034993642626</v>
      </c>
      <c r="AL387" s="1">
        <f>Table2[[#This Row],[EV Err]]^2</f>
        <v>0.22965214379319085</v>
      </c>
    </row>
    <row r="388" spans="1:38" x14ac:dyDescent="0.25">
      <c r="A388" t="s">
        <v>93</v>
      </c>
      <c r="B388" t="s">
        <v>34</v>
      </c>
      <c r="C388" t="s">
        <v>33</v>
      </c>
      <c r="K388" s="25">
        <f>(Table2[[#This Row],[Home Pace]]/100)*(VLOOKUP(Table2[[#This Row],[Home/Neutral]],home_lookup,8,FALSE)+VLOOKUP(Table2[[#This Row],[Home/Neutral]],OFR_lookup,2,FALSE)+VLOOKUP(Table2[[#This Row],[Visitor/Neutral]],def_diff_lookup,6,FALSE))</f>
        <v>107.34791864565555</v>
      </c>
      <c r="L388" s="25"/>
      <c r="M388" s="25">
        <f>(Table2[[#This Row],[Away Pace]]/100)*(VLOOKUP(Table2[[#This Row],[Visitor/Neutral]],OFR_lookup,2,FALSE)+VLOOKUP(Table2[[#This Row],[Home/Neutral]],def_diff_lookup,6,FALSE))</f>
        <v>101.43143466666666</v>
      </c>
      <c r="N388" s="25"/>
      <c r="O388" s="25"/>
      <c r="P388">
        <f>VLOOKUP(Table2[[#This Row],[Home/Neutral]],pace_lookup,7,FALSE)</f>
        <v>98.8</v>
      </c>
      <c r="Q388" s="5">
        <f>VLOOKUP(Table2[[#This Row],[Visitor/Neutral]],pace_lookup,7,FALSE)</f>
        <v>98.2</v>
      </c>
      <c r="R388" s="9"/>
      <c r="V388" s="2">
        <f>-home-VLOOKUP(Table2[[#This Row],[Home/Neutral]],rtg_vlookup,4,FALSE)+VLOOKUP(Table2[[#This Row],[Visitor/Neutral]],rtg_vlookup,4,FALSE)</f>
        <v>-2.9351184834123307</v>
      </c>
      <c r="W388" s="25"/>
      <c r="X388" s="2"/>
      <c r="Y388" s="2">
        <f>Table2[[#This Row],[Away EV]]-Table2[[#This Row],[Home EV]]</f>
        <v>-5.916483978988893</v>
      </c>
      <c r="Z388" s="33"/>
      <c r="AA388" s="34"/>
      <c r="AB388" s="5" t="b">
        <f>IF(VLOOKUP(Table2[[#This Row],[Home/Neutral]],division_lookup,9,FALSE)=VLOOKUP(Table2[[#This Row],[Visitor/Neutral]],division_lookup,9,FALSE),TRUE,FALSE)</f>
        <v>0</v>
      </c>
      <c r="AC388" s="19" t="str">
        <f>VLOOKUP(Table2[[#This Row],[Home/Neutral]],division_lookup,9,FALSE)</f>
        <v>SW</v>
      </c>
      <c r="AD388" s="19"/>
      <c r="AE388" s="19" t="str">
        <f>IF(Table2[[#This Row],[Total EV ®]]&lt;Table2[[#This Row],[Total (V)]],"UNDER","OVER")</f>
        <v>OVER</v>
      </c>
      <c r="AF388" s="30">
        <f>Table2[[#This Row],[(A) Spread]]-Table2[[#This Row],[Spread (V)]]</f>
        <v>0</v>
      </c>
      <c r="AG388" s="19"/>
      <c r="AH388" s="2">
        <f>Table2[[#This Row],[EV]]-Table2[[#This Row],[Spread (V)]]</f>
        <v>-5.916483978988893</v>
      </c>
      <c r="AI388" s="22">
        <f>Table2[[#This Row],[(A)]]-Table2[[#This Row],[Spread]]</f>
        <v>-2.9351184834123307</v>
      </c>
      <c r="AJ388" s="1">
        <f>Table2[[#This Row],[(A) Err]]^2</f>
        <v>8.6149205116687</v>
      </c>
      <c r="AK388" s="6">
        <f>Table2[[#This Row],[EV]]-Table2[[#This Row],[Spread]]</f>
        <v>-5.916483978988893</v>
      </c>
      <c r="AL388" s="1">
        <f>Table2[[#This Row],[EV Err]]^2</f>
        <v>35.004782673632242</v>
      </c>
    </row>
    <row r="389" spans="1:38" x14ac:dyDescent="0.25">
      <c r="A389" t="s">
        <v>93</v>
      </c>
      <c r="B389" t="s">
        <v>36</v>
      </c>
      <c r="C389" t="s">
        <v>6</v>
      </c>
      <c r="K389" s="25">
        <f>(Table2[[#This Row],[Home Pace]]/100)*(VLOOKUP(Table2[[#This Row],[Home/Neutral]],home_lookup,8,FALSE)+VLOOKUP(Table2[[#This Row],[Home/Neutral]],OFR_lookup,2,FALSE)+VLOOKUP(Table2[[#This Row],[Visitor/Neutral]],def_diff_lookup,6,FALSE))</f>
        <v>105.13179156604043</v>
      </c>
      <c r="L389" s="25"/>
      <c r="M389" s="25">
        <f>(Table2[[#This Row],[Away Pace]]/100)*(VLOOKUP(Table2[[#This Row],[Visitor/Neutral]],OFR_lookup,2,FALSE)+VLOOKUP(Table2[[#This Row],[Home/Neutral]],def_diff_lookup,6,FALSE))</f>
        <v>106.00428066666667</v>
      </c>
      <c r="N389" s="25"/>
      <c r="O389" s="25"/>
      <c r="P389">
        <f>VLOOKUP(Table2[[#This Row],[Home/Neutral]],pace_lookup,7,FALSE)</f>
        <v>102.2</v>
      </c>
      <c r="Q389" s="5">
        <f>VLOOKUP(Table2[[#This Row],[Visitor/Neutral]],pace_lookup,7,FALSE)</f>
        <v>93.1</v>
      </c>
      <c r="R389" s="9"/>
      <c r="V389" s="2">
        <f>-home-VLOOKUP(Table2[[#This Row],[Home/Neutral]],rtg_vlookup,4,FALSE)+VLOOKUP(Table2[[#This Row],[Visitor/Neutral]],rtg_vlookup,4,FALSE)</f>
        <v>10.474881516587669</v>
      </c>
      <c r="W389" s="25"/>
      <c r="X389" s="2"/>
      <c r="Y389" s="2">
        <f>Table2[[#This Row],[Away EV]]-Table2[[#This Row],[Home EV]]</f>
        <v>0.87248910062623963</v>
      </c>
      <c r="Z389" s="33"/>
      <c r="AA389" s="34"/>
      <c r="AB389" s="5" t="b">
        <f>IF(VLOOKUP(Table2[[#This Row],[Home/Neutral]],division_lookup,9,FALSE)=VLOOKUP(Table2[[#This Row],[Visitor/Neutral]],division_lookup,9,FALSE),TRUE,FALSE)</f>
        <v>0</v>
      </c>
      <c r="AC389" s="19" t="str">
        <f>VLOOKUP(Table2[[#This Row],[Home/Neutral]],division_lookup,9,FALSE)</f>
        <v>P</v>
      </c>
      <c r="AD389" s="19"/>
      <c r="AE389" s="19" t="str">
        <f>IF(Table2[[#This Row],[Total EV ®]]&lt;Table2[[#This Row],[Total (V)]],"UNDER","OVER")</f>
        <v>OVER</v>
      </c>
      <c r="AF389" s="30">
        <f>Table2[[#This Row],[(A) Spread]]-Table2[[#This Row],[Spread (V)]]</f>
        <v>0</v>
      </c>
      <c r="AG389" s="19"/>
      <c r="AH389" s="2">
        <f>Table2[[#This Row],[EV]]-Table2[[#This Row],[Spread (V)]]</f>
        <v>0.87248910062623963</v>
      </c>
      <c r="AI389" s="22">
        <f>Table2[[#This Row],[(A)]]-Table2[[#This Row],[Spread]]</f>
        <v>10.474881516587669</v>
      </c>
      <c r="AJ389" s="1">
        <f>Table2[[#This Row],[(A) Err]]^2</f>
        <v>109.72314278654997</v>
      </c>
      <c r="AK389" s="6">
        <f>Table2[[#This Row],[EV]]-Table2[[#This Row],[Spread]]</f>
        <v>0.87248910062623963</v>
      </c>
      <c r="AL389" s="1">
        <f>Table2[[#This Row],[EV Err]]^2</f>
        <v>0.76123723071158456</v>
      </c>
    </row>
    <row r="390" spans="1:38" x14ac:dyDescent="0.25">
      <c r="A390" t="s">
        <v>94</v>
      </c>
      <c r="B390" t="s">
        <v>26</v>
      </c>
      <c r="C390" t="s">
        <v>16</v>
      </c>
      <c r="K390" s="25">
        <f>(Table2[[#This Row],[Home Pace]]/100)*(VLOOKUP(Table2[[#This Row],[Home/Neutral]],home_lookup,8,FALSE)+VLOOKUP(Table2[[#This Row],[Home/Neutral]],OFR_lookup,2,FALSE)+VLOOKUP(Table2[[#This Row],[Visitor/Neutral]],def_diff_lookup,6,FALSE))</f>
        <v>105.1521635891816</v>
      </c>
      <c r="L390" s="25"/>
      <c r="M390" s="25">
        <f>(Table2[[#This Row],[Away Pace]]/100)*(VLOOKUP(Table2[[#This Row],[Visitor/Neutral]],OFR_lookup,2,FALSE)+VLOOKUP(Table2[[#This Row],[Home/Neutral]],def_diff_lookup,6,FALSE))</f>
        <v>106.1879</v>
      </c>
      <c r="N390" s="25"/>
      <c r="O390" s="25"/>
      <c r="P390">
        <f>VLOOKUP(Table2[[#This Row],[Home/Neutral]],pace_lookup,7,FALSE)</f>
        <v>96</v>
      </c>
      <c r="Q390" s="5">
        <f>VLOOKUP(Table2[[#This Row],[Visitor/Neutral]],pace_lookup,7,FALSE)</f>
        <v>97.5</v>
      </c>
      <c r="R390" s="9"/>
      <c r="V390" s="2">
        <f>-home-VLOOKUP(Table2[[#This Row],[Home/Neutral]],rtg_vlookup,4,FALSE)+VLOOKUP(Table2[[#This Row],[Visitor/Neutral]],rtg_vlookup,4,FALSE)</f>
        <v>0.1148815165876691</v>
      </c>
      <c r="W390" s="25"/>
      <c r="X390" s="2"/>
      <c r="Y390" s="2">
        <f>Table2[[#This Row],[Away EV]]-Table2[[#This Row],[Home EV]]</f>
        <v>1.0357364108184015</v>
      </c>
      <c r="Z390" s="33"/>
      <c r="AA390" s="34"/>
      <c r="AB390" s="5" t="b">
        <f>IF(VLOOKUP(Table2[[#This Row],[Home/Neutral]],division_lookup,9,FALSE)=VLOOKUP(Table2[[#This Row],[Visitor/Neutral]],division_lookup,9,FALSE),TRUE,FALSE)</f>
        <v>0</v>
      </c>
      <c r="AC390" s="19" t="str">
        <f>VLOOKUP(Table2[[#This Row],[Home/Neutral]],division_lookup,9,FALSE)</f>
        <v>A</v>
      </c>
      <c r="AD390" s="19"/>
      <c r="AE390" s="19" t="str">
        <f>IF(Table2[[#This Row],[Total EV ®]]&lt;Table2[[#This Row],[Total (V)]],"UNDER","OVER")</f>
        <v>OVER</v>
      </c>
      <c r="AF390" s="30">
        <f>Table2[[#This Row],[(A) Spread]]-Table2[[#This Row],[Spread (V)]]</f>
        <v>0</v>
      </c>
      <c r="AG390" s="19"/>
      <c r="AH390" s="2">
        <f>Table2[[#This Row],[EV]]-Table2[[#This Row],[Spread (V)]]</f>
        <v>1.0357364108184015</v>
      </c>
      <c r="AI390" s="22">
        <f>Table2[[#This Row],[(A)]]-Table2[[#This Row],[Spread]]</f>
        <v>0.1148815165876691</v>
      </c>
      <c r="AJ390" s="1">
        <f>Table2[[#This Row],[(A) Err]]^2</f>
        <v>1.319776285348289E-2</v>
      </c>
      <c r="AK390" s="6">
        <f>Table2[[#This Row],[EV]]-Table2[[#This Row],[Spread]]</f>
        <v>1.0357364108184015</v>
      </c>
      <c r="AL390" s="1">
        <f>Table2[[#This Row],[EV Err]]^2</f>
        <v>1.0727499126949847</v>
      </c>
    </row>
    <row r="391" spans="1:38" x14ac:dyDescent="0.25">
      <c r="A391" t="s">
        <v>94</v>
      </c>
      <c r="B391" t="s">
        <v>13</v>
      </c>
      <c r="C391" t="s">
        <v>30</v>
      </c>
      <c r="K391" s="25">
        <f>(Table2[[#This Row],[Home Pace]]/100)*(VLOOKUP(Table2[[#This Row],[Home/Neutral]],home_lookup,8,FALSE)+VLOOKUP(Table2[[#This Row],[Home/Neutral]],OFR_lookup,2,FALSE)+VLOOKUP(Table2[[#This Row],[Visitor/Neutral]],def_diff_lookup,6,FALSE))</f>
        <v>107.21599108450401</v>
      </c>
      <c r="L391" s="25"/>
      <c r="M391" s="25">
        <f>(Table2[[#This Row],[Away Pace]]/100)*(VLOOKUP(Table2[[#This Row],[Visitor/Neutral]],OFR_lookup,2,FALSE)+VLOOKUP(Table2[[#This Row],[Home/Neutral]],def_diff_lookup,6,FALSE))</f>
        <v>101.67936533333335</v>
      </c>
      <c r="N391" s="25"/>
      <c r="O391" s="25"/>
      <c r="P391">
        <f>VLOOKUP(Table2[[#This Row],[Home/Neutral]],pace_lookup,7,FALSE)</f>
        <v>94.5</v>
      </c>
      <c r="Q391" s="5">
        <f>VLOOKUP(Table2[[#This Row],[Visitor/Neutral]],pace_lookup,7,FALSE)</f>
        <v>96.8</v>
      </c>
      <c r="R391" s="9"/>
      <c r="V391" s="2">
        <f>-home-VLOOKUP(Table2[[#This Row],[Home/Neutral]],rtg_vlookup,4,FALSE)+VLOOKUP(Table2[[#This Row],[Visitor/Neutral]],rtg_vlookup,4,FALSE)</f>
        <v>-10.875118483412331</v>
      </c>
      <c r="W391" s="25"/>
      <c r="X391" s="2"/>
      <c r="Y391" s="2">
        <f>Table2[[#This Row],[Away EV]]-Table2[[#This Row],[Home EV]]</f>
        <v>-5.5366257511706607</v>
      </c>
      <c r="Z391" s="33"/>
      <c r="AA391" s="34"/>
      <c r="AB391" s="5" t="b">
        <f>IF(VLOOKUP(Table2[[#This Row],[Home/Neutral]],division_lookup,9,FALSE)=VLOOKUP(Table2[[#This Row],[Visitor/Neutral]],division_lookup,9,FALSE),TRUE,FALSE)</f>
        <v>1</v>
      </c>
      <c r="AC391" s="19" t="str">
        <f>VLOOKUP(Table2[[#This Row],[Home/Neutral]],division_lookup,9,FALSE)</f>
        <v>C</v>
      </c>
      <c r="AD391" s="19"/>
      <c r="AE391" s="19" t="str">
        <f>IF(Table2[[#This Row],[Total EV ®]]&lt;Table2[[#This Row],[Total (V)]],"UNDER","OVER")</f>
        <v>OVER</v>
      </c>
      <c r="AF391" s="30">
        <f>Table2[[#This Row],[(A) Spread]]-Table2[[#This Row],[Spread (V)]]</f>
        <v>0</v>
      </c>
      <c r="AG391" s="19"/>
      <c r="AH391" s="2">
        <f>Table2[[#This Row],[EV]]-Table2[[#This Row],[Spread (V)]]</f>
        <v>-5.5366257511706607</v>
      </c>
      <c r="AI391" s="22">
        <f>Table2[[#This Row],[(A)]]-Table2[[#This Row],[Spread]]</f>
        <v>-10.875118483412331</v>
      </c>
      <c r="AJ391" s="1">
        <f>Table2[[#This Row],[(A) Err]]^2</f>
        <v>118.26820202825652</v>
      </c>
      <c r="AK391" s="6">
        <f>Table2[[#This Row],[EV]]-Table2[[#This Row],[Spread]]</f>
        <v>-5.5366257511706607</v>
      </c>
      <c r="AL391" s="1">
        <f>Table2[[#This Row],[EV Err]]^2</f>
        <v>30.654224708526083</v>
      </c>
    </row>
    <row r="392" spans="1:38" x14ac:dyDescent="0.25">
      <c r="A392" t="s">
        <v>94</v>
      </c>
      <c r="B392" t="s">
        <v>17</v>
      </c>
      <c r="C392" t="s">
        <v>34</v>
      </c>
      <c r="K392" s="25">
        <f>(Table2[[#This Row],[Home Pace]]/100)*(VLOOKUP(Table2[[#This Row],[Home/Neutral]],home_lookup,8,FALSE)+VLOOKUP(Table2[[#This Row],[Home/Neutral]],OFR_lookup,2,FALSE)+VLOOKUP(Table2[[#This Row],[Visitor/Neutral]],def_diff_lookup,6,FALSE))</f>
        <v>109.04610692873544</v>
      </c>
      <c r="L392" s="25"/>
      <c r="M392" s="25">
        <f>(Table2[[#This Row],[Away Pace]]/100)*(VLOOKUP(Table2[[#This Row],[Visitor/Neutral]],OFR_lookup,2,FALSE)+VLOOKUP(Table2[[#This Row],[Home/Neutral]],def_diff_lookup,6,FALSE))</f>
        <v>103.04905866666667</v>
      </c>
      <c r="N392" s="25"/>
      <c r="O392" s="25"/>
      <c r="P392">
        <f>VLOOKUP(Table2[[#This Row],[Home/Neutral]],pace_lookup,7,FALSE)</f>
        <v>96.7</v>
      </c>
      <c r="Q392" s="5">
        <f>VLOOKUP(Table2[[#This Row],[Visitor/Neutral]],pace_lookup,7,FALSE)</f>
        <v>98.8</v>
      </c>
      <c r="R392" s="9"/>
      <c r="V392" s="2">
        <f>-home-VLOOKUP(Table2[[#This Row],[Home/Neutral]],rtg_vlookup,4,FALSE)+VLOOKUP(Table2[[#This Row],[Visitor/Neutral]],rtg_vlookup,4,FALSE)</f>
        <v>-11.99511848341233</v>
      </c>
      <c r="W392" s="25"/>
      <c r="X392" s="2"/>
      <c r="Y392" s="2">
        <f>Table2[[#This Row],[Away EV]]-Table2[[#This Row],[Home EV]]</f>
        <v>-5.9970482620687733</v>
      </c>
      <c r="Z392" s="33"/>
      <c r="AA392" s="34"/>
      <c r="AB392" s="5" t="b">
        <f>IF(VLOOKUP(Table2[[#This Row],[Home/Neutral]],division_lookup,9,FALSE)=VLOOKUP(Table2[[#This Row],[Visitor/Neutral]],division_lookup,9,FALSE),TRUE,FALSE)</f>
        <v>1</v>
      </c>
      <c r="AC392" s="19" t="str">
        <f>VLOOKUP(Table2[[#This Row],[Home/Neutral]],division_lookup,9,FALSE)</f>
        <v>SW</v>
      </c>
      <c r="AD392" s="19"/>
      <c r="AE392" s="19" t="str">
        <f>IF(Table2[[#This Row],[Total EV ®]]&lt;Table2[[#This Row],[Total (V)]],"UNDER","OVER")</f>
        <v>OVER</v>
      </c>
      <c r="AF392" s="30">
        <f>Table2[[#This Row],[(A) Spread]]-Table2[[#This Row],[Spread (V)]]</f>
        <v>0</v>
      </c>
      <c r="AG392" s="19"/>
      <c r="AH392" s="2">
        <f>Table2[[#This Row],[EV]]-Table2[[#This Row],[Spread (V)]]</f>
        <v>-5.9970482620687733</v>
      </c>
      <c r="AI392" s="22">
        <f>Table2[[#This Row],[(A)]]-Table2[[#This Row],[Spread]]</f>
        <v>-11.99511848341233</v>
      </c>
      <c r="AJ392" s="1">
        <f>Table2[[#This Row],[(A) Err]]^2</f>
        <v>143.88286743110012</v>
      </c>
      <c r="AK392" s="6">
        <f>Table2[[#This Row],[EV]]-Table2[[#This Row],[Spread]]</f>
        <v>-5.9970482620687733</v>
      </c>
      <c r="AL392" s="1">
        <f>Table2[[#This Row],[EV Err]]^2</f>
        <v>35.964587857582096</v>
      </c>
    </row>
    <row r="393" spans="1:38" x14ac:dyDescent="0.25">
      <c r="A393" t="s">
        <v>94</v>
      </c>
      <c r="B393" t="s">
        <v>23</v>
      </c>
      <c r="C393" t="s">
        <v>29</v>
      </c>
      <c r="K393" s="25">
        <f>(Table2[[#This Row],[Home Pace]]/100)*(VLOOKUP(Table2[[#This Row],[Home/Neutral]],home_lookup,8,FALSE)+VLOOKUP(Table2[[#This Row],[Home/Neutral]],OFR_lookup,2,FALSE)+VLOOKUP(Table2[[#This Row],[Visitor/Neutral]],def_diff_lookup,6,FALSE))</f>
        <v>105.00538735871359</v>
      </c>
      <c r="L393" s="25"/>
      <c r="M393" s="25">
        <f>(Table2[[#This Row],[Away Pace]]/100)*(VLOOKUP(Table2[[#This Row],[Visitor/Neutral]],OFR_lookup,2,FALSE)+VLOOKUP(Table2[[#This Row],[Home/Neutral]],def_diff_lookup,6,FALSE))</f>
        <v>96.586485333333343</v>
      </c>
      <c r="N393" s="25"/>
      <c r="O393" s="25"/>
      <c r="P393">
        <f>VLOOKUP(Table2[[#This Row],[Home/Neutral]],pace_lookup,7,FALSE)</f>
        <v>92.5</v>
      </c>
      <c r="Q393" s="5">
        <f>VLOOKUP(Table2[[#This Row],[Visitor/Neutral]],pace_lookup,7,FALSE)</f>
        <v>93.8</v>
      </c>
      <c r="R393" s="9"/>
      <c r="V393" s="2">
        <f>-home-VLOOKUP(Table2[[#This Row],[Home/Neutral]],rtg_vlookup,4,FALSE)+VLOOKUP(Table2[[#This Row],[Visitor/Neutral]],rtg_vlookup,4,FALSE)</f>
        <v>-7.4151184834123312</v>
      </c>
      <c r="W393" s="25"/>
      <c r="X393" s="2"/>
      <c r="Y393" s="2">
        <f>Table2[[#This Row],[Away EV]]-Table2[[#This Row],[Home EV]]</f>
        <v>-8.4189020253802482</v>
      </c>
      <c r="Z393" s="33"/>
      <c r="AA393" s="34"/>
      <c r="AB393" s="5" t="b">
        <f>IF(VLOOKUP(Table2[[#This Row],[Home/Neutral]],division_lookup,9,FALSE)=VLOOKUP(Table2[[#This Row],[Visitor/Neutral]],division_lookup,9,FALSE),TRUE,FALSE)</f>
        <v>0</v>
      </c>
      <c r="AC393" s="19" t="str">
        <f>VLOOKUP(Table2[[#This Row],[Home/Neutral]],division_lookup,9,FALSE)</f>
        <v>SW</v>
      </c>
      <c r="AD393" s="19"/>
      <c r="AE393" s="19" t="str">
        <f>IF(Table2[[#This Row],[Total EV ®]]&lt;Table2[[#This Row],[Total (V)]],"UNDER","OVER")</f>
        <v>OVER</v>
      </c>
      <c r="AF393" s="30">
        <f>Table2[[#This Row],[(A) Spread]]-Table2[[#This Row],[Spread (V)]]</f>
        <v>0</v>
      </c>
      <c r="AG393" s="19"/>
      <c r="AH393" s="2">
        <f>Table2[[#This Row],[EV]]-Table2[[#This Row],[Spread (V)]]</f>
        <v>-8.4189020253802482</v>
      </c>
      <c r="AI393" s="22">
        <f>Table2[[#This Row],[(A)]]-Table2[[#This Row],[Spread]]</f>
        <v>-7.4151184834123312</v>
      </c>
      <c r="AJ393" s="1">
        <f>Table2[[#This Row],[(A) Err]]^2</f>
        <v>54.983982123043191</v>
      </c>
      <c r="AK393" s="6">
        <f>Table2[[#This Row],[EV]]-Table2[[#This Row],[Spread]]</f>
        <v>-8.4189020253802482</v>
      </c>
      <c r="AL393" s="1">
        <f>Table2[[#This Row],[EV Err]]^2</f>
        <v>70.877911312951639</v>
      </c>
    </row>
    <row r="394" spans="1:38" x14ac:dyDescent="0.25">
      <c r="A394" t="s">
        <v>94</v>
      </c>
      <c r="B394" t="s">
        <v>21</v>
      </c>
      <c r="C394" t="s">
        <v>4</v>
      </c>
      <c r="K394" s="25">
        <f>(Table2[[#This Row],[Home Pace]]/100)*(VLOOKUP(Table2[[#This Row],[Home/Neutral]],home_lookup,8,FALSE)+VLOOKUP(Table2[[#This Row],[Home/Neutral]],OFR_lookup,2,FALSE)+VLOOKUP(Table2[[#This Row],[Visitor/Neutral]],def_diff_lookup,6,FALSE))</f>
        <v>95.741831175243902</v>
      </c>
      <c r="L394" s="25"/>
      <c r="M394" s="25">
        <f>(Table2[[#This Row],[Away Pace]]/100)*(VLOOKUP(Table2[[#This Row],[Visitor/Neutral]],OFR_lookup,2,FALSE)+VLOOKUP(Table2[[#This Row],[Home/Neutral]],def_diff_lookup,6,FALSE))</f>
        <v>107.31358400000001</v>
      </c>
      <c r="N394" s="25"/>
      <c r="O394" s="25"/>
      <c r="P394">
        <f>VLOOKUP(Table2[[#This Row],[Home/Neutral]],pace_lookup,7,FALSE)</f>
        <v>94.2</v>
      </c>
      <c r="Q394" s="5">
        <f>VLOOKUP(Table2[[#This Row],[Visitor/Neutral]],pace_lookup,7,FALSE)</f>
        <v>96.6</v>
      </c>
      <c r="R394" s="9"/>
      <c r="V394" s="2">
        <f>-home-VLOOKUP(Table2[[#This Row],[Home/Neutral]],rtg_vlookup,4,FALSE)+VLOOKUP(Table2[[#This Row],[Visitor/Neutral]],rtg_vlookup,4,FALSE)</f>
        <v>12.00488151658767</v>
      </c>
      <c r="W394" s="25"/>
      <c r="X394" s="2"/>
      <c r="Y394" s="2">
        <f>Table2[[#This Row],[Away EV]]-Table2[[#This Row],[Home EV]]</f>
        <v>11.571752824756103</v>
      </c>
      <c r="Z394" s="33"/>
      <c r="AA394" s="34"/>
      <c r="AB394" s="5" t="b">
        <f>IF(VLOOKUP(Table2[[#This Row],[Home/Neutral]],division_lookup,9,FALSE)=VLOOKUP(Table2[[#This Row],[Visitor/Neutral]],division_lookup,9,FALSE),TRUE,FALSE)</f>
        <v>0</v>
      </c>
      <c r="AC394" s="19" t="str">
        <f>VLOOKUP(Table2[[#This Row],[Home/Neutral]],division_lookup,9,FALSE)</f>
        <v>SE</v>
      </c>
      <c r="AD394" s="19"/>
      <c r="AE394" s="19" t="str">
        <f>IF(Table2[[#This Row],[Total EV ®]]&lt;Table2[[#This Row],[Total (V)]],"UNDER","OVER")</f>
        <v>OVER</v>
      </c>
      <c r="AF394" s="30">
        <f>Table2[[#This Row],[(A) Spread]]-Table2[[#This Row],[Spread (V)]]</f>
        <v>0</v>
      </c>
      <c r="AG394" s="19"/>
      <c r="AH394" s="2">
        <f>Table2[[#This Row],[EV]]-Table2[[#This Row],[Spread (V)]]</f>
        <v>11.571752824756103</v>
      </c>
      <c r="AI394" s="22">
        <f>Table2[[#This Row],[(A)]]-Table2[[#This Row],[Spread]]</f>
        <v>12.00488151658767</v>
      </c>
      <c r="AJ394" s="1">
        <f>Table2[[#This Row],[(A) Err]]^2</f>
        <v>144.11718022730827</v>
      </c>
      <c r="AK394" s="6">
        <f>Table2[[#This Row],[EV]]-Table2[[#This Row],[Spread]]</f>
        <v>11.571752824756103</v>
      </c>
      <c r="AL394" s="1">
        <f>Table2[[#This Row],[EV Err]]^2</f>
        <v>133.90546343725086</v>
      </c>
    </row>
    <row r="395" spans="1:38" x14ac:dyDescent="0.25">
      <c r="A395" t="s">
        <v>94</v>
      </c>
      <c r="B395" t="s">
        <v>38</v>
      </c>
      <c r="C395" t="s">
        <v>35</v>
      </c>
      <c r="K395" s="25">
        <f>(Table2[[#This Row],[Home Pace]]/100)*(VLOOKUP(Table2[[#This Row],[Home/Neutral]],home_lookup,8,FALSE)+VLOOKUP(Table2[[#This Row],[Home/Neutral]],OFR_lookup,2,FALSE)+VLOOKUP(Table2[[#This Row],[Visitor/Neutral]],def_diff_lookup,6,FALSE))</f>
        <v>109.35957167891479</v>
      </c>
      <c r="L395" s="25"/>
      <c r="M395" s="25">
        <f>(Table2[[#This Row],[Away Pace]]/100)*(VLOOKUP(Table2[[#This Row],[Visitor/Neutral]],OFR_lookup,2,FALSE)+VLOOKUP(Table2[[#This Row],[Home/Neutral]],def_diff_lookup,6,FALSE))</f>
        <v>106.98364133333335</v>
      </c>
      <c r="N395" s="25"/>
      <c r="O395" s="25"/>
      <c r="P395">
        <f>VLOOKUP(Table2[[#This Row],[Home/Neutral]],pace_lookup,7,FALSE)</f>
        <v>94.2</v>
      </c>
      <c r="Q395" s="5">
        <f>VLOOKUP(Table2[[#This Row],[Visitor/Neutral]],pace_lookup,7,FALSE)</f>
        <v>102.2</v>
      </c>
      <c r="R395" s="9"/>
      <c r="V395" s="2">
        <f>-home-VLOOKUP(Table2[[#This Row],[Home/Neutral]],rtg_vlookup,4,FALSE)+VLOOKUP(Table2[[#This Row],[Visitor/Neutral]],rtg_vlookup,4,FALSE)</f>
        <v>-0.34511848341233087</v>
      </c>
      <c r="W395" s="25"/>
      <c r="X395" s="2"/>
      <c r="Y395" s="2">
        <f>Table2[[#This Row],[Away EV]]-Table2[[#This Row],[Home EV]]</f>
        <v>-2.3759303455814376</v>
      </c>
      <c r="Z395" s="33"/>
      <c r="AA395" s="34"/>
      <c r="AB395" s="5" t="b">
        <f>IF(VLOOKUP(Table2[[#This Row],[Home/Neutral]],division_lookup,9,FALSE)=VLOOKUP(Table2[[#This Row],[Visitor/Neutral]],division_lookup,9,FALSE),TRUE,FALSE)</f>
        <v>0</v>
      </c>
      <c r="AC395" s="19" t="str">
        <f>VLOOKUP(Table2[[#This Row],[Home/Neutral]],division_lookup,9,FALSE)</f>
        <v>SE</v>
      </c>
      <c r="AD395" s="19"/>
      <c r="AE395" s="19" t="str">
        <f>IF(Table2[[#This Row],[Total EV ®]]&lt;Table2[[#This Row],[Total (V)]],"UNDER","OVER")</f>
        <v>OVER</v>
      </c>
      <c r="AF395" s="30">
        <f>Table2[[#This Row],[(A) Spread]]-Table2[[#This Row],[Spread (V)]]</f>
        <v>0</v>
      </c>
      <c r="AG395" s="19"/>
      <c r="AH395" s="2">
        <f>Table2[[#This Row],[EV]]-Table2[[#This Row],[Spread (V)]]</f>
        <v>-2.3759303455814376</v>
      </c>
      <c r="AI395" s="22">
        <f>Table2[[#This Row],[(A)]]-Table2[[#This Row],[Spread]]</f>
        <v>-0.34511848341233087</v>
      </c>
      <c r="AJ395" s="1">
        <f>Table2[[#This Row],[(A) Err]]^2</f>
        <v>0.11910676759282729</v>
      </c>
      <c r="AK395" s="6">
        <f>Table2[[#This Row],[EV]]-Table2[[#This Row],[Spread]]</f>
        <v>-2.3759303455814376</v>
      </c>
      <c r="AL395" s="1">
        <f>Table2[[#This Row],[EV Err]]^2</f>
        <v>5.6450450070547289</v>
      </c>
    </row>
    <row r="396" spans="1:38" x14ac:dyDescent="0.25">
      <c r="A396" t="s">
        <v>94</v>
      </c>
      <c r="B396" t="s">
        <v>39</v>
      </c>
      <c r="C396" t="s">
        <v>24</v>
      </c>
      <c r="K396" s="25">
        <f>(Table2[[#This Row],[Home Pace]]/100)*(VLOOKUP(Table2[[#This Row],[Home/Neutral]],home_lookup,8,FALSE)+VLOOKUP(Table2[[#This Row],[Home/Neutral]],OFR_lookup,2,FALSE)+VLOOKUP(Table2[[#This Row],[Visitor/Neutral]],def_diff_lookup,6,FALSE))</f>
        <v>111.19877211468578</v>
      </c>
      <c r="L396" s="25"/>
      <c r="M396" s="25">
        <f>(Table2[[#This Row],[Away Pace]]/100)*(VLOOKUP(Table2[[#This Row],[Visitor/Neutral]],OFR_lookup,2,FALSE)+VLOOKUP(Table2[[#This Row],[Home/Neutral]],def_diff_lookup,6,FALSE))</f>
        <v>113.43711600000002</v>
      </c>
      <c r="N396" s="25"/>
      <c r="O396" s="25"/>
      <c r="P396">
        <f>VLOOKUP(Table2[[#This Row],[Home/Neutral]],pace_lookup,7,FALSE)</f>
        <v>97.5</v>
      </c>
      <c r="Q396" s="5">
        <f>VLOOKUP(Table2[[#This Row],[Visitor/Neutral]],pace_lookup,7,FALSE)</f>
        <v>99.9</v>
      </c>
      <c r="R396" s="9"/>
      <c r="V396" s="2">
        <f>-home-VLOOKUP(Table2[[#This Row],[Home/Neutral]],rtg_vlookup,4,FALSE)+VLOOKUP(Table2[[#This Row],[Visitor/Neutral]],rtg_vlookup,4,FALSE)</f>
        <v>6.8048815165876686</v>
      </c>
      <c r="W396" s="25"/>
      <c r="X396" s="2"/>
      <c r="Y396" s="2">
        <f>Table2[[#This Row],[Away EV]]-Table2[[#This Row],[Home EV]]</f>
        <v>2.2383438853142366</v>
      </c>
      <c r="Z396" s="33"/>
      <c r="AA396" s="34"/>
      <c r="AB396" s="5" t="b">
        <f>IF(VLOOKUP(Table2[[#This Row],[Home/Neutral]],division_lookup,9,FALSE)=VLOOKUP(Table2[[#This Row],[Visitor/Neutral]],division_lookup,9,FALSE),TRUE,FALSE)</f>
        <v>0</v>
      </c>
      <c r="AC396" s="19" t="str">
        <f>VLOOKUP(Table2[[#This Row],[Home/Neutral]],division_lookup,9,FALSE)</f>
        <v>A</v>
      </c>
      <c r="AD396" s="19"/>
      <c r="AE396" s="19" t="str">
        <f>IF(Table2[[#This Row],[Total EV ®]]&lt;Table2[[#This Row],[Total (V)]],"UNDER","OVER")</f>
        <v>OVER</v>
      </c>
      <c r="AF396" s="30">
        <f>Table2[[#This Row],[(A) Spread]]-Table2[[#This Row],[Spread (V)]]</f>
        <v>0</v>
      </c>
      <c r="AG396" s="19"/>
      <c r="AH396" s="2">
        <f>Table2[[#This Row],[EV]]-Table2[[#This Row],[Spread (V)]]</f>
        <v>2.2383438853142366</v>
      </c>
      <c r="AI396" s="22">
        <f>Table2[[#This Row],[(A)]]-Table2[[#This Row],[Spread]]</f>
        <v>6.8048815165876686</v>
      </c>
      <c r="AJ396" s="1">
        <f>Table2[[#This Row],[(A) Err]]^2</f>
        <v>46.306412454796487</v>
      </c>
      <c r="AK396" s="6">
        <f>Table2[[#This Row],[EV]]-Table2[[#This Row],[Spread]]</f>
        <v>2.2383438853142366</v>
      </c>
      <c r="AL396" s="1">
        <f>Table2[[#This Row],[EV Err]]^2</f>
        <v>5.0101833489236318</v>
      </c>
    </row>
    <row r="397" spans="1:38" x14ac:dyDescent="0.25">
      <c r="A397" t="s">
        <v>94</v>
      </c>
      <c r="B397" t="s">
        <v>14</v>
      </c>
      <c r="C397" t="s">
        <v>11</v>
      </c>
      <c r="K397" s="25">
        <f>(Table2[[#This Row],[Home Pace]]/100)*(VLOOKUP(Table2[[#This Row],[Home/Neutral]],home_lookup,8,FALSE)+VLOOKUP(Table2[[#This Row],[Home/Neutral]],OFR_lookup,2,FALSE)+VLOOKUP(Table2[[#This Row],[Visitor/Neutral]],def_diff_lookup,6,FALSE))</f>
        <v>99.687584142414508</v>
      </c>
      <c r="L397" s="25"/>
      <c r="M397" s="25">
        <f>(Table2[[#This Row],[Away Pace]]/100)*(VLOOKUP(Table2[[#This Row],[Visitor/Neutral]],OFR_lookup,2,FALSE)+VLOOKUP(Table2[[#This Row],[Home/Neutral]],def_diff_lookup,6,FALSE))</f>
        <v>106.40050466666668</v>
      </c>
      <c r="N397" s="25"/>
      <c r="O397" s="25"/>
      <c r="P397">
        <f>VLOOKUP(Table2[[#This Row],[Home/Neutral]],pace_lookup,7,FALSE)</f>
        <v>95.9</v>
      </c>
      <c r="Q397" s="5">
        <f>VLOOKUP(Table2[[#This Row],[Visitor/Neutral]],pace_lookup,7,FALSE)</f>
        <v>99.7</v>
      </c>
      <c r="R397" s="9"/>
      <c r="V397" s="2">
        <f>-home-VLOOKUP(Table2[[#This Row],[Home/Neutral]],rtg_vlookup,4,FALSE)+VLOOKUP(Table2[[#This Row],[Visitor/Neutral]],rtg_vlookup,4,FALSE)</f>
        <v>-1.3751184834123302</v>
      </c>
      <c r="W397" s="25"/>
      <c r="X397" s="2"/>
      <c r="Y397" s="2">
        <f>Table2[[#This Row],[Away EV]]-Table2[[#This Row],[Home EV]]</f>
        <v>6.7129205242521692</v>
      </c>
      <c r="Z397" s="33"/>
      <c r="AA397" s="34"/>
      <c r="AB397" s="5" t="b">
        <f>IF(VLOOKUP(Table2[[#This Row],[Home/Neutral]],division_lookup,9,FALSE)=VLOOKUP(Table2[[#This Row],[Visitor/Neutral]],division_lookup,9,FALSE),TRUE,FALSE)</f>
        <v>0</v>
      </c>
      <c r="AC397" s="19" t="str">
        <f>VLOOKUP(Table2[[#This Row],[Home/Neutral]],division_lookup,9,FALSE)</f>
        <v>A</v>
      </c>
      <c r="AD397" s="19"/>
      <c r="AE397" s="19" t="str">
        <f>IF(Table2[[#This Row],[Total EV ®]]&lt;Table2[[#This Row],[Total (V)]],"UNDER","OVER")</f>
        <v>OVER</v>
      </c>
      <c r="AF397" s="30">
        <f>Table2[[#This Row],[(A) Spread]]-Table2[[#This Row],[Spread (V)]]</f>
        <v>0</v>
      </c>
      <c r="AG397" s="19"/>
      <c r="AH397" s="2">
        <f>Table2[[#This Row],[EV]]-Table2[[#This Row],[Spread (V)]]</f>
        <v>6.7129205242521692</v>
      </c>
      <c r="AI397" s="22">
        <f>Table2[[#This Row],[(A)]]-Table2[[#This Row],[Spread]]</f>
        <v>-1.3751184834123302</v>
      </c>
      <c r="AJ397" s="1">
        <f>Table2[[#This Row],[(A) Err]]^2</f>
        <v>1.8909508434222271</v>
      </c>
      <c r="AK397" s="6">
        <f>Table2[[#This Row],[EV]]-Table2[[#This Row],[Spread]]</f>
        <v>6.7129205242521692</v>
      </c>
      <c r="AL397" s="1">
        <f>Table2[[#This Row],[EV Err]]^2</f>
        <v>45.063301964926019</v>
      </c>
    </row>
    <row r="398" spans="1:38" x14ac:dyDescent="0.25">
      <c r="A398" t="s">
        <v>94</v>
      </c>
      <c r="B398" t="s">
        <v>20</v>
      </c>
      <c r="C398" t="s">
        <v>37</v>
      </c>
      <c r="K398" s="25">
        <f>(Table2[[#This Row],[Home Pace]]/100)*(VLOOKUP(Table2[[#This Row],[Home/Neutral]],home_lookup,8,FALSE)+VLOOKUP(Table2[[#This Row],[Home/Neutral]],OFR_lookup,2,FALSE)+VLOOKUP(Table2[[#This Row],[Visitor/Neutral]],def_diff_lookup,6,FALSE))</f>
        <v>101.12906528915177</v>
      </c>
      <c r="L398" s="25"/>
      <c r="M398" s="25">
        <f>(Table2[[#This Row],[Away Pace]]/100)*(VLOOKUP(Table2[[#This Row],[Visitor/Neutral]],OFR_lookup,2,FALSE)+VLOOKUP(Table2[[#This Row],[Home/Neutral]],def_diff_lookup,6,FALSE))</f>
        <v>86.850914000000017</v>
      </c>
      <c r="N398" s="25"/>
      <c r="O398" s="25"/>
      <c r="P398">
        <f>VLOOKUP(Table2[[#This Row],[Home/Neutral]],pace_lookup,7,FALSE)</f>
        <v>90.9</v>
      </c>
      <c r="Q398" s="5">
        <f>VLOOKUP(Table2[[#This Row],[Visitor/Neutral]],pace_lookup,7,FALSE)</f>
        <v>92.1</v>
      </c>
      <c r="R398" s="9"/>
      <c r="V398" s="2">
        <f>-home-VLOOKUP(Table2[[#This Row],[Home/Neutral]],rtg_vlookup,4,FALSE)+VLOOKUP(Table2[[#This Row],[Visitor/Neutral]],rtg_vlookup,4,FALSE)</f>
        <v>-11.945118483412331</v>
      </c>
      <c r="W398" s="25"/>
      <c r="X398" s="2"/>
      <c r="Y398" s="2">
        <f>Table2[[#This Row],[Away EV]]-Table2[[#This Row],[Home EV]]</f>
        <v>-14.278151289151751</v>
      </c>
      <c r="Z398" s="33"/>
      <c r="AA398" s="34"/>
      <c r="AB398" s="5" t="b">
        <f>IF(VLOOKUP(Table2[[#This Row],[Home/Neutral]],division_lookup,9,FALSE)=VLOOKUP(Table2[[#This Row],[Visitor/Neutral]],division_lookup,9,FALSE),TRUE,FALSE)</f>
        <v>0</v>
      </c>
      <c r="AC398" s="19" t="str">
        <f>VLOOKUP(Table2[[#This Row],[Home/Neutral]],division_lookup,9,FALSE)</f>
        <v>NW</v>
      </c>
      <c r="AD398" s="19"/>
      <c r="AE398" s="19" t="str">
        <f>IF(Table2[[#This Row],[Total EV ®]]&lt;Table2[[#This Row],[Total (V)]],"UNDER","OVER")</f>
        <v>OVER</v>
      </c>
      <c r="AF398" s="30">
        <f>Table2[[#This Row],[(A) Spread]]-Table2[[#This Row],[Spread (V)]]</f>
        <v>0</v>
      </c>
      <c r="AG398" s="19"/>
      <c r="AH398" s="2">
        <f>Table2[[#This Row],[EV]]-Table2[[#This Row],[Spread (V)]]</f>
        <v>-14.278151289151751</v>
      </c>
      <c r="AI398" s="22">
        <f>Table2[[#This Row],[(A)]]-Table2[[#This Row],[Spread]]</f>
        <v>-11.945118483412331</v>
      </c>
      <c r="AJ398" s="1">
        <f>Table2[[#This Row],[(A) Err]]^2</f>
        <v>142.6858555827589</v>
      </c>
      <c r="AK398" s="6">
        <f>Table2[[#This Row],[EV]]-Table2[[#This Row],[Spread]]</f>
        <v>-14.278151289151751</v>
      </c>
      <c r="AL398" s="1">
        <f>Table2[[#This Row],[EV Err]]^2</f>
        <v>203.86560423590581</v>
      </c>
    </row>
    <row r="399" spans="1:38" x14ac:dyDescent="0.25">
      <c r="A399" t="s">
        <v>94</v>
      </c>
      <c r="B399" t="s">
        <v>28</v>
      </c>
      <c r="C399" t="s">
        <v>25</v>
      </c>
      <c r="K399" s="25">
        <f>(Table2[[#This Row],[Home Pace]]/100)*(VLOOKUP(Table2[[#This Row],[Home/Neutral]],home_lookup,8,FALSE)+VLOOKUP(Table2[[#This Row],[Home/Neutral]],OFR_lookup,2,FALSE)+VLOOKUP(Table2[[#This Row],[Visitor/Neutral]],def_diff_lookup,6,FALSE))</f>
        <v>104.77157553204273</v>
      </c>
      <c r="L399" s="25"/>
      <c r="M399" s="25">
        <f>(Table2[[#This Row],[Away Pace]]/100)*(VLOOKUP(Table2[[#This Row],[Visitor/Neutral]],OFR_lookup,2,FALSE)+VLOOKUP(Table2[[#This Row],[Home/Neutral]],def_diff_lookup,6,FALSE))</f>
        <v>99.677589333333344</v>
      </c>
      <c r="N399" s="25"/>
      <c r="O399" s="25"/>
      <c r="P399">
        <f>VLOOKUP(Table2[[#This Row],[Home/Neutral]],pace_lookup,7,FALSE)</f>
        <v>96.3</v>
      </c>
      <c r="Q399" s="5">
        <f>VLOOKUP(Table2[[#This Row],[Visitor/Neutral]],pace_lookup,7,FALSE)</f>
        <v>94.4</v>
      </c>
      <c r="R399" s="9"/>
      <c r="V399" s="2">
        <f>-home-VLOOKUP(Table2[[#This Row],[Home/Neutral]],rtg_vlookup,4,FALSE)+VLOOKUP(Table2[[#This Row],[Visitor/Neutral]],rtg_vlookup,4,FALSE)</f>
        <v>-0.82511848341233063</v>
      </c>
      <c r="W399" s="25"/>
      <c r="X399" s="2"/>
      <c r="Y399" s="2">
        <f>Table2[[#This Row],[Away EV]]-Table2[[#This Row],[Home EV]]</f>
        <v>-5.0939861987093877</v>
      </c>
      <c r="Z399" s="33"/>
      <c r="AA399" s="34"/>
      <c r="AB399" s="5" t="b">
        <f>IF(VLOOKUP(Table2[[#This Row],[Home/Neutral]],division_lookup,9,FALSE)=VLOOKUP(Table2[[#This Row],[Visitor/Neutral]],division_lookup,9,FALSE),TRUE,FALSE)</f>
        <v>0</v>
      </c>
      <c r="AC399" s="19" t="str">
        <f>VLOOKUP(Table2[[#This Row],[Home/Neutral]],division_lookup,9,FALSE)</f>
        <v>SE</v>
      </c>
      <c r="AD399" s="19"/>
      <c r="AE399" s="19" t="str">
        <f>IF(Table2[[#This Row],[Total EV ®]]&lt;Table2[[#This Row],[Total (V)]],"UNDER","OVER")</f>
        <v>OVER</v>
      </c>
      <c r="AF399" s="30">
        <f>Table2[[#This Row],[(A) Spread]]-Table2[[#This Row],[Spread (V)]]</f>
        <v>0</v>
      </c>
      <c r="AG399" s="19"/>
      <c r="AH399" s="2">
        <f>Table2[[#This Row],[EV]]-Table2[[#This Row],[Spread (V)]]</f>
        <v>-5.0939861987093877</v>
      </c>
      <c r="AI399" s="22">
        <f>Table2[[#This Row],[(A)]]-Table2[[#This Row],[Spread]]</f>
        <v>-0.82511848341233063</v>
      </c>
      <c r="AJ399" s="1">
        <f>Table2[[#This Row],[(A) Err]]^2</f>
        <v>0.68082051166866453</v>
      </c>
      <c r="AK399" s="6">
        <f>Table2[[#This Row],[EV]]-Table2[[#This Row],[Spread]]</f>
        <v>-5.0939861987093877</v>
      </c>
      <c r="AL399" s="1">
        <f>Table2[[#This Row],[EV Err]]^2</f>
        <v>25.948695392641717</v>
      </c>
    </row>
    <row r="400" spans="1:38" x14ac:dyDescent="0.25">
      <c r="A400" t="s">
        <v>95</v>
      </c>
      <c r="B400" t="s">
        <v>11</v>
      </c>
      <c r="C400" t="s">
        <v>16</v>
      </c>
      <c r="K400" s="25">
        <f>(Table2[[#This Row],[Home Pace]]/100)*(VLOOKUP(Table2[[#This Row],[Home/Neutral]],home_lookup,8,FALSE)+VLOOKUP(Table2[[#This Row],[Home/Neutral]],OFR_lookup,2,FALSE)+VLOOKUP(Table2[[#This Row],[Visitor/Neutral]],def_diff_lookup,6,FALSE))</f>
        <v>96.745689044072819</v>
      </c>
      <c r="L400" s="25"/>
      <c r="M400" s="25">
        <f>(Table2[[#This Row],[Away Pace]]/100)*(VLOOKUP(Table2[[#This Row],[Visitor/Neutral]],OFR_lookup,2,FALSE)+VLOOKUP(Table2[[#This Row],[Home/Neutral]],def_diff_lookup,6,FALSE))</f>
        <v>96.876649999999998</v>
      </c>
      <c r="N400" s="25"/>
      <c r="O400" s="25"/>
      <c r="P400">
        <f>VLOOKUP(Table2[[#This Row],[Home/Neutral]],pace_lookup,7,FALSE)</f>
        <v>99.7</v>
      </c>
      <c r="Q400" s="5">
        <f>VLOOKUP(Table2[[#This Row],[Visitor/Neutral]],pace_lookup,7,FALSE)</f>
        <v>97.5</v>
      </c>
      <c r="R400" s="9"/>
      <c r="V400" s="2">
        <f>-home-VLOOKUP(Table2[[#This Row],[Home/Neutral]],rtg_vlookup,4,FALSE)+VLOOKUP(Table2[[#This Row],[Visitor/Neutral]],rtg_vlookup,4,FALSE)</f>
        <v>-6.4251184834123309</v>
      </c>
      <c r="W400" s="25"/>
      <c r="X400" s="2"/>
      <c r="Y400" s="2">
        <f>Table2[[#This Row],[Away EV]]-Table2[[#This Row],[Home EV]]</f>
        <v>0.13096095592717916</v>
      </c>
      <c r="Z400" s="33"/>
      <c r="AA400" s="34"/>
      <c r="AB400" s="5" t="b">
        <f>IF(VLOOKUP(Table2[[#This Row],[Home/Neutral]],division_lookup,9,FALSE)=VLOOKUP(Table2[[#This Row],[Visitor/Neutral]],division_lookup,9,FALSE),TRUE,FALSE)</f>
        <v>1</v>
      </c>
      <c r="AC400" s="19" t="str">
        <f>VLOOKUP(Table2[[#This Row],[Home/Neutral]],division_lookup,9,FALSE)</f>
        <v>SE</v>
      </c>
      <c r="AD400" s="19"/>
      <c r="AE400" s="19" t="str">
        <f>IF(Table2[[#This Row],[Total EV ®]]&lt;Table2[[#This Row],[Total (V)]],"UNDER","OVER")</f>
        <v>OVER</v>
      </c>
      <c r="AF400" s="30">
        <f>Table2[[#This Row],[(A) Spread]]-Table2[[#This Row],[Spread (V)]]</f>
        <v>0</v>
      </c>
      <c r="AG400" s="19"/>
      <c r="AH400" s="2">
        <f>Table2[[#This Row],[EV]]-Table2[[#This Row],[Spread (V)]]</f>
        <v>0.13096095592717916</v>
      </c>
      <c r="AI400" s="22">
        <f>Table2[[#This Row],[(A)]]-Table2[[#This Row],[Spread]]</f>
        <v>-6.4251184834123309</v>
      </c>
      <c r="AJ400" s="1">
        <f>Table2[[#This Row],[(A) Err]]^2</f>
        <v>41.282147525886771</v>
      </c>
      <c r="AK400" s="6">
        <f>Table2[[#This Row],[EV]]-Table2[[#This Row],[Spread]]</f>
        <v>0.13096095592717916</v>
      </c>
      <c r="AL400" s="1">
        <f>Table2[[#This Row],[EV Err]]^2</f>
        <v>1.7150771977360563E-2</v>
      </c>
    </row>
    <row r="401" spans="1:38" x14ac:dyDescent="0.25">
      <c r="A401" t="s">
        <v>95</v>
      </c>
      <c r="B401" t="s">
        <v>8</v>
      </c>
      <c r="C401" t="s">
        <v>24</v>
      </c>
      <c r="K401" s="25">
        <f>(Table2[[#This Row],[Home Pace]]/100)*(VLOOKUP(Table2[[#This Row],[Home/Neutral]],home_lookup,8,FALSE)+VLOOKUP(Table2[[#This Row],[Home/Neutral]],OFR_lookup,2,FALSE)+VLOOKUP(Table2[[#This Row],[Visitor/Neutral]],def_diff_lookup,6,FALSE))</f>
        <v>108.6358203689818</v>
      </c>
      <c r="L401" s="25"/>
      <c r="M401" s="25">
        <f>(Table2[[#This Row],[Away Pace]]/100)*(VLOOKUP(Table2[[#This Row],[Visitor/Neutral]],OFR_lookup,2,FALSE)+VLOOKUP(Table2[[#This Row],[Home/Neutral]],def_diff_lookup,6,FALSE))</f>
        <v>108.45210600000003</v>
      </c>
      <c r="N401" s="25"/>
      <c r="O401" s="25"/>
      <c r="P401">
        <f>VLOOKUP(Table2[[#This Row],[Home/Neutral]],pace_lookup,7,FALSE)</f>
        <v>97.2</v>
      </c>
      <c r="Q401" s="5">
        <f>VLOOKUP(Table2[[#This Row],[Visitor/Neutral]],pace_lookup,7,FALSE)</f>
        <v>99.9</v>
      </c>
      <c r="R401" s="9"/>
      <c r="V401" s="2">
        <f>-home-VLOOKUP(Table2[[#This Row],[Home/Neutral]],rtg_vlookup,4,FALSE)+VLOOKUP(Table2[[#This Row],[Visitor/Neutral]],rtg_vlookup,4,FALSE)</f>
        <v>-9.3251184834123304</v>
      </c>
      <c r="W401" s="25"/>
      <c r="X401" s="2"/>
      <c r="Y401" s="2">
        <f>Table2[[#This Row],[Away EV]]-Table2[[#This Row],[Home EV]]</f>
        <v>-0.18371436898176796</v>
      </c>
      <c r="Z401" s="33"/>
      <c r="AA401" s="34"/>
      <c r="AB401" s="5" t="b">
        <f>IF(VLOOKUP(Table2[[#This Row],[Home/Neutral]],division_lookup,9,FALSE)=VLOOKUP(Table2[[#This Row],[Visitor/Neutral]],division_lookup,9,FALSE),TRUE,FALSE)</f>
        <v>0</v>
      </c>
      <c r="AC401" s="19" t="str">
        <f>VLOOKUP(Table2[[#This Row],[Home/Neutral]],division_lookup,9,FALSE)</f>
        <v>C</v>
      </c>
      <c r="AD401" s="19"/>
      <c r="AE401" s="19" t="str">
        <f>IF(Table2[[#This Row],[Total EV ®]]&lt;Table2[[#This Row],[Total (V)]],"UNDER","OVER")</f>
        <v>OVER</v>
      </c>
      <c r="AF401" s="30">
        <f>Table2[[#This Row],[(A) Spread]]-Table2[[#This Row],[Spread (V)]]</f>
        <v>0</v>
      </c>
      <c r="AG401" s="19"/>
      <c r="AH401" s="2">
        <f>Table2[[#This Row],[EV]]-Table2[[#This Row],[Spread (V)]]</f>
        <v>-0.18371436898176796</v>
      </c>
      <c r="AI401" s="22">
        <f>Table2[[#This Row],[(A)]]-Table2[[#This Row],[Spread]]</f>
        <v>-9.3251184834123304</v>
      </c>
      <c r="AJ401" s="1">
        <f>Table2[[#This Row],[(A) Err]]^2</f>
        <v>86.957834729678282</v>
      </c>
      <c r="AK401" s="6">
        <f>Table2[[#This Row],[EV]]-Table2[[#This Row],[Spread]]</f>
        <v>-0.18371436898176796</v>
      </c>
      <c r="AL401" s="1">
        <f>Table2[[#This Row],[EV Err]]^2</f>
        <v>3.3750969370369185E-2</v>
      </c>
    </row>
    <row r="402" spans="1:38" x14ac:dyDescent="0.25">
      <c r="A402" t="s">
        <v>95</v>
      </c>
      <c r="B402" t="s">
        <v>27</v>
      </c>
      <c r="C402" t="s">
        <v>31</v>
      </c>
      <c r="K402" s="25">
        <f>(Table2[[#This Row],[Home Pace]]/100)*(VLOOKUP(Table2[[#This Row],[Home/Neutral]],home_lookup,8,FALSE)+VLOOKUP(Table2[[#This Row],[Home/Neutral]],OFR_lookup,2,FALSE)+VLOOKUP(Table2[[#This Row],[Visitor/Neutral]],def_diff_lookup,6,FALSE))</f>
        <v>109.22805642647258</v>
      </c>
      <c r="L402" s="25"/>
      <c r="M402" s="25">
        <f>(Table2[[#This Row],[Away Pace]]/100)*(VLOOKUP(Table2[[#This Row],[Visitor/Neutral]],OFR_lookup,2,FALSE)+VLOOKUP(Table2[[#This Row],[Home/Neutral]],def_diff_lookup,6,FALSE))</f>
        <v>104.02624</v>
      </c>
      <c r="N402" s="25"/>
      <c r="O402" s="25"/>
      <c r="P402">
        <f>VLOOKUP(Table2[[#This Row],[Home/Neutral]],pace_lookup,7,FALSE)</f>
        <v>99</v>
      </c>
      <c r="Q402" s="5">
        <f>VLOOKUP(Table2[[#This Row],[Visitor/Neutral]],pace_lookup,7,FALSE)</f>
        <v>96</v>
      </c>
      <c r="R402" s="9"/>
      <c r="V402" s="2">
        <f>-home-VLOOKUP(Table2[[#This Row],[Home/Neutral]],rtg_vlookup,4,FALSE)+VLOOKUP(Table2[[#This Row],[Visitor/Neutral]],rtg_vlookup,4,FALSE)</f>
        <v>-4.3751184834123311</v>
      </c>
      <c r="W402" s="25"/>
      <c r="X402" s="2"/>
      <c r="Y402" s="2">
        <f>Table2[[#This Row],[Away EV]]-Table2[[#This Row],[Home EV]]</f>
        <v>-5.2018164264725755</v>
      </c>
      <c r="Z402" s="33"/>
      <c r="AA402" s="34"/>
      <c r="AB402" s="5" t="b">
        <f>IF(VLOOKUP(Table2[[#This Row],[Home/Neutral]],division_lookup,9,FALSE)=VLOOKUP(Table2[[#This Row],[Visitor/Neutral]],division_lookup,9,FALSE),TRUE,FALSE)</f>
        <v>0</v>
      </c>
      <c r="AC402" s="19" t="str">
        <f>VLOOKUP(Table2[[#This Row],[Home/Neutral]],division_lookup,9,FALSE)</f>
        <v>NW</v>
      </c>
      <c r="AD402" s="19"/>
      <c r="AE402" s="19" t="str">
        <f>IF(Table2[[#This Row],[Total EV ®]]&lt;Table2[[#This Row],[Total (V)]],"UNDER","OVER")</f>
        <v>OVER</v>
      </c>
      <c r="AF402" s="30">
        <f>Table2[[#This Row],[(A) Spread]]-Table2[[#This Row],[Spread (V)]]</f>
        <v>0</v>
      </c>
      <c r="AG402" s="19"/>
      <c r="AH402" s="2">
        <f>Table2[[#This Row],[EV]]-Table2[[#This Row],[Spread (V)]]</f>
        <v>-5.2018164264725755</v>
      </c>
      <c r="AI402" s="22">
        <f>Table2[[#This Row],[(A)]]-Table2[[#This Row],[Spread]]</f>
        <v>-4.3751184834123311</v>
      </c>
      <c r="AJ402" s="1">
        <f>Table2[[#This Row],[(A) Err]]^2</f>
        <v>19.141661743896215</v>
      </c>
      <c r="AK402" s="6">
        <f>Table2[[#This Row],[EV]]-Table2[[#This Row],[Spread]]</f>
        <v>-5.2018164264725755</v>
      </c>
      <c r="AL402" s="1">
        <f>Table2[[#This Row],[EV Err]]^2</f>
        <v>27.058894134719914</v>
      </c>
    </row>
    <row r="403" spans="1:38" x14ac:dyDescent="0.25">
      <c r="A403" t="s">
        <v>95</v>
      </c>
      <c r="B403" t="s">
        <v>25</v>
      </c>
      <c r="C403" t="s">
        <v>33</v>
      </c>
      <c r="K403" s="25">
        <f>(Table2[[#This Row],[Home Pace]]/100)*(VLOOKUP(Table2[[#This Row],[Home/Neutral]],home_lookup,8,FALSE)+VLOOKUP(Table2[[#This Row],[Home/Neutral]],OFR_lookup,2,FALSE)+VLOOKUP(Table2[[#This Row],[Visitor/Neutral]],def_diff_lookup,6,FALSE))</f>
        <v>105.61326444427257</v>
      </c>
      <c r="L403" s="25"/>
      <c r="M403" s="25">
        <f>(Table2[[#This Row],[Away Pace]]/100)*(VLOOKUP(Table2[[#This Row],[Visitor/Neutral]],OFR_lookup,2,FALSE)+VLOOKUP(Table2[[#This Row],[Home/Neutral]],def_diff_lookup,6,FALSE))</f>
        <v>98.063174666666669</v>
      </c>
      <c r="N403" s="25"/>
      <c r="O403" s="25"/>
      <c r="P403">
        <f>VLOOKUP(Table2[[#This Row],[Home/Neutral]],pace_lookup,7,FALSE)</f>
        <v>94.4</v>
      </c>
      <c r="Q403" s="5">
        <f>VLOOKUP(Table2[[#This Row],[Visitor/Neutral]],pace_lookup,7,FALSE)</f>
        <v>98.2</v>
      </c>
      <c r="R403" s="9"/>
      <c r="V403" s="2">
        <f>-home-VLOOKUP(Table2[[#This Row],[Home/Neutral]],rtg_vlookup,4,FALSE)+VLOOKUP(Table2[[#This Row],[Visitor/Neutral]],rtg_vlookup,4,FALSE)</f>
        <v>-7.9551184834123312</v>
      </c>
      <c r="W403" s="25"/>
      <c r="X403" s="2"/>
      <c r="Y403" s="2">
        <f>Table2[[#This Row],[Away EV]]-Table2[[#This Row],[Home EV]]</f>
        <v>-7.5500897776059048</v>
      </c>
      <c r="Z403" s="33"/>
      <c r="AA403" s="34"/>
      <c r="AB403" s="5" t="b">
        <f>IF(VLOOKUP(Table2[[#This Row],[Home/Neutral]],division_lookup,9,FALSE)=VLOOKUP(Table2[[#This Row],[Visitor/Neutral]],division_lookup,9,FALSE),TRUE,FALSE)</f>
        <v>1</v>
      </c>
      <c r="AC403" s="19" t="str">
        <f>VLOOKUP(Table2[[#This Row],[Home/Neutral]],division_lookup,9,FALSE)</f>
        <v>C</v>
      </c>
      <c r="AD403" s="19"/>
      <c r="AE403" s="19" t="str">
        <f>IF(Table2[[#This Row],[Total EV ®]]&lt;Table2[[#This Row],[Total (V)]],"UNDER","OVER")</f>
        <v>OVER</v>
      </c>
      <c r="AF403" s="30">
        <f>Table2[[#This Row],[(A) Spread]]-Table2[[#This Row],[Spread (V)]]</f>
        <v>0</v>
      </c>
      <c r="AG403" s="19"/>
      <c r="AH403" s="2">
        <f>Table2[[#This Row],[EV]]-Table2[[#This Row],[Spread (V)]]</f>
        <v>-7.5500897776059048</v>
      </c>
      <c r="AI403" s="22">
        <f>Table2[[#This Row],[(A)]]-Table2[[#This Row],[Spread]]</f>
        <v>-7.9551184834123312</v>
      </c>
      <c r="AJ403" s="1">
        <f>Table2[[#This Row],[(A) Err]]^2</f>
        <v>63.283910085128511</v>
      </c>
      <c r="AK403" s="6">
        <f>Table2[[#This Row],[EV]]-Table2[[#This Row],[Spread]]</f>
        <v>-7.5500897776059048</v>
      </c>
      <c r="AL403" s="1">
        <f>Table2[[#This Row],[EV Err]]^2</f>
        <v>57.003855649909184</v>
      </c>
    </row>
    <row r="404" spans="1:38" x14ac:dyDescent="0.25">
      <c r="A404" t="s">
        <v>95</v>
      </c>
      <c r="B404" t="s">
        <v>10</v>
      </c>
      <c r="C404" t="s">
        <v>32</v>
      </c>
      <c r="K404" s="25">
        <f>(Table2[[#This Row],[Home Pace]]/100)*(VLOOKUP(Table2[[#This Row],[Home/Neutral]],home_lookup,8,FALSE)+VLOOKUP(Table2[[#This Row],[Home/Neutral]],OFR_lookup,2,FALSE)+VLOOKUP(Table2[[#This Row],[Visitor/Neutral]],def_diff_lookup,6,FALSE))</f>
        <v>112.27151853790561</v>
      </c>
      <c r="L404" s="25"/>
      <c r="M404" s="25">
        <f>(Table2[[#This Row],[Away Pace]]/100)*(VLOOKUP(Table2[[#This Row],[Visitor/Neutral]],OFR_lookup,2,FALSE)+VLOOKUP(Table2[[#This Row],[Home/Neutral]],def_diff_lookup,6,FALSE))</f>
        <v>108.50995733333333</v>
      </c>
      <c r="N404" s="25"/>
      <c r="O404" s="25"/>
      <c r="P404">
        <f>VLOOKUP(Table2[[#This Row],[Home/Neutral]],pace_lookup,7,FALSE)</f>
        <v>100.3</v>
      </c>
      <c r="Q404" s="5">
        <f>VLOOKUP(Table2[[#This Row],[Visitor/Neutral]],pace_lookup,7,FALSE)</f>
        <v>98.6</v>
      </c>
      <c r="R404" s="9"/>
      <c r="V404" s="2">
        <f>-home-VLOOKUP(Table2[[#This Row],[Home/Neutral]],rtg_vlookup,4,FALSE)+VLOOKUP(Table2[[#This Row],[Visitor/Neutral]],rtg_vlookup,4,FALSE)</f>
        <v>-14.08511848341233</v>
      </c>
      <c r="W404" s="25"/>
      <c r="X404" s="2"/>
      <c r="Y404" s="2">
        <f>Table2[[#This Row],[Away EV]]-Table2[[#This Row],[Home EV]]</f>
        <v>-3.7615612045722742</v>
      </c>
      <c r="Z404" s="33"/>
      <c r="AA404" s="34"/>
      <c r="AB404" s="5" t="b">
        <f>IF(VLOOKUP(Table2[[#This Row],[Home/Neutral]],division_lookup,9,FALSE)=VLOOKUP(Table2[[#This Row],[Visitor/Neutral]],division_lookup,9,FALSE),TRUE,FALSE)</f>
        <v>0</v>
      </c>
      <c r="AC404" s="19" t="str">
        <f>VLOOKUP(Table2[[#This Row],[Home/Neutral]],division_lookup,9,FALSE)</f>
        <v>P</v>
      </c>
      <c r="AD404" s="19"/>
      <c r="AE404" s="19" t="str">
        <f>IF(Table2[[#This Row],[Total EV ®]]&lt;Table2[[#This Row],[Total (V)]],"UNDER","OVER")</f>
        <v>OVER</v>
      </c>
      <c r="AF404" s="30">
        <f>Table2[[#This Row],[(A) Spread]]-Table2[[#This Row],[Spread (V)]]</f>
        <v>0</v>
      </c>
      <c r="AG404" s="19"/>
      <c r="AH404" s="2">
        <f>Table2[[#This Row],[EV]]-Table2[[#This Row],[Spread (V)]]</f>
        <v>-3.7615612045722742</v>
      </c>
      <c r="AI404" s="22">
        <f>Table2[[#This Row],[(A)]]-Table2[[#This Row],[Spread]]</f>
        <v>-14.08511848341233</v>
      </c>
      <c r="AJ404" s="1">
        <f>Table2[[#This Row],[(A) Err]]^2</f>
        <v>198.39056269176365</v>
      </c>
      <c r="AK404" s="6">
        <f>Table2[[#This Row],[EV]]-Table2[[#This Row],[Spread]]</f>
        <v>-3.7615612045722742</v>
      </c>
      <c r="AL404" s="1">
        <f>Table2[[#This Row],[EV Err]]^2</f>
        <v>14.149342695743218</v>
      </c>
    </row>
    <row r="405" spans="1:38" x14ac:dyDescent="0.25">
      <c r="A405" t="s">
        <v>95</v>
      </c>
      <c r="B405" t="s">
        <v>22</v>
      </c>
      <c r="C405" t="s">
        <v>17</v>
      </c>
      <c r="K405" s="25">
        <f>(Table2[[#This Row],[Home Pace]]/100)*(VLOOKUP(Table2[[#This Row],[Home/Neutral]],home_lookup,8,FALSE)+VLOOKUP(Table2[[#This Row],[Home/Neutral]],OFR_lookup,2,FALSE)+VLOOKUP(Table2[[#This Row],[Visitor/Neutral]],def_diff_lookup,6,FALSE))</f>
        <v>114.03156922968977</v>
      </c>
      <c r="L405" s="25"/>
      <c r="M405" s="25">
        <f>(Table2[[#This Row],[Away Pace]]/100)*(VLOOKUP(Table2[[#This Row],[Visitor/Neutral]],OFR_lookup,2,FALSE)+VLOOKUP(Table2[[#This Row],[Home/Neutral]],def_diff_lookup,6,FALSE))</f>
        <v>113.97126466666668</v>
      </c>
      <c r="N405" s="25"/>
      <c r="O405" s="25"/>
      <c r="P405">
        <f>VLOOKUP(Table2[[#This Row],[Home/Neutral]],pace_lookup,7,FALSE)</f>
        <v>94.7</v>
      </c>
      <c r="Q405" s="5">
        <f>VLOOKUP(Table2[[#This Row],[Visitor/Neutral]],pace_lookup,7,FALSE)</f>
        <v>96.7</v>
      </c>
      <c r="R405" s="9"/>
      <c r="V405" s="2">
        <f>-home-VLOOKUP(Table2[[#This Row],[Home/Neutral]],rtg_vlookup,4,FALSE)+VLOOKUP(Table2[[#This Row],[Visitor/Neutral]],rtg_vlookup,4,FALSE)</f>
        <v>0.60488151658766931</v>
      </c>
      <c r="W405" s="25"/>
      <c r="X405" s="2"/>
      <c r="Y405" s="2">
        <f>Table2[[#This Row],[Away EV]]-Table2[[#This Row],[Home EV]]</f>
        <v>-6.0304563023080959E-2</v>
      </c>
      <c r="Z405" s="33"/>
      <c r="AA405" s="34"/>
      <c r="AB405" s="5" t="b">
        <f>IF(VLOOKUP(Table2[[#This Row],[Home/Neutral]],division_lookup,9,FALSE)=VLOOKUP(Table2[[#This Row],[Visitor/Neutral]],division_lookup,9,FALSE),TRUE,FALSE)</f>
        <v>0</v>
      </c>
      <c r="AC405" s="19" t="str">
        <f>VLOOKUP(Table2[[#This Row],[Home/Neutral]],division_lookup,9,FALSE)</f>
        <v>NW</v>
      </c>
      <c r="AD405" s="19"/>
      <c r="AE405" s="19" t="str">
        <f>IF(Table2[[#This Row],[Total EV ®]]&lt;Table2[[#This Row],[Total (V)]],"UNDER","OVER")</f>
        <v>OVER</v>
      </c>
      <c r="AF405" s="30">
        <f>Table2[[#This Row],[(A) Spread]]-Table2[[#This Row],[Spread (V)]]</f>
        <v>0</v>
      </c>
      <c r="AG405" s="19"/>
      <c r="AH405" s="2">
        <f>Table2[[#This Row],[EV]]-Table2[[#This Row],[Spread (V)]]</f>
        <v>-6.0304563023080959E-2</v>
      </c>
      <c r="AI405" s="22">
        <f>Table2[[#This Row],[(A)]]-Table2[[#This Row],[Spread]]</f>
        <v>0.60488151658766931</v>
      </c>
      <c r="AJ405" s="1">
        <f>Table2[[#This Row],[(A) Err]]^2</f>
        <v>0.36588164910939885</v>
      </c>
      <c r="AK405" s="6">
        <f>Table2[[#This Row],[EV]]-Table2[[#This Row],[Spread]]</f>
        <v>-6.0304563023080959E-2</v>
      </c>
      <c r="AL405" s="1">
        <f>Table2[[#This Row],[EV Err]]^2</f>
        <v>3.6366403214047435E-3</v>
      </c>
    </row>
    <row r="406" spans="1:38" x14ac:dyDescent="0.25">
      <c r="A406" t="s">
        <v>95</v>
      </c>
      <c r="B406" t="s">
        <v>18</v>
      </c>
      <c r="C406" t="s">
        <v>36</v>
      </c>
      <c r="K406" s="25">
        <f>(Table2[[#This Row],[Home Pace]]/100)*(VLOOKUP(Table2[[#This Row],[Home/Neutral]],home_lookup,8,FALSE)+VLOOKUP(Table2[[#This Row],[Home/Neutral]],OFR_lookup,2,FALSE)+VLOOKUP(Table2[[#This Row],[Visitor/Neutral]],def_diff_lookup,6,FALSE))</f>
        <v>105.71100616021131</v>
      </c>
      <c r="L406" s="25"/>
      <c r="M406" s="25">
        <f>(Table2[[#This Row],[Away Pace]]/100)*(VLOOKUP(Table2[[#This Row],[Visitor/Neutral]],OFR_lookup,2,FALSE)+VLOOKUP(Table2[[#This Row],[Home/Neutral]],def_diff_lookup,6,FALSE))</f>
        <v>100.95384133333334</v>
      </c>
      <c r="N406" s="25"/>
      <c r="O406" s="25"/>
      <c r="P406">
        <f>VLOOKUP(Table2[[#This Row],[Home/Neutral]],pace_lookup,7,FALSE)</f>
        <v>99.5</v>
      </c>
      <c r="Q406" s="5">
        <f>VLOOKUP(Table2[[#This Row],[Visitor/Neutral]],pace_lookup,7,FALSE)</f>
        <v>102.2</v>
      </c>
      <c r="R406" s="9"/>
      <c r="V406" s="2">
        <f>-home-VLOOKUP(Table2[[#This Row],[Home/Neutral]],rtg_vlookup,4,FALSE)+VLOOKUP(Table2[[#This Row],[Visitor/Neutral]],rtg_vlookup,4,FALSE)</f>
        <v>-11.255118483412332</v>
      </c>
      <c r="W406" s="25"/>
      <c r="X406" s="2"/>
      <c r="Y406" s="2">
        <f>Table2[[#This Row],[Away EV]]-Table2[[#This Row],[Home EV]]</f>
        <v>-4.7571648268779683</v>
      </c>
      <c r="Z406" s="33"/>
      <c r="AA406" s="34"/>
      <c r="AB406" s="5" t="b">
        <f>IF(VLOOKUP(Table2[[#This Row],[Home/Neutral]],division_lookup,9,FALSE)=VLOOKUP(Table2[[#This Row],[Visitor/Neutral]],division_lookup,9,FALSE),TRUE,FALSE)</f>
        <v>0</v>
      </c>
      <c r="AC406" s="19" t="str">
        <f>VLOOKUP(Table2[[#This Row],[Home/Neutral]],division_lookup,9,FALSE)</f>
        <v>NW</v>
      </c>
      <c r="AD406" s="19"/>
      <c r="AE406" s="19" t="str">
        <f>IF(Table2[[#This Row],[Total EV ®]]&lt;Table2[[#This Row],[Total (V)]],"UNDER","OVER")</f>
        <v>OVER</v>
      </c>
      <c r="AF406" s="30">
        <f>Table2[[#This Row],[(A) Spread]]-Table2[[#This Row],[Spread (V)]]</f>
        <v>0</v>
      </c>
      <c r="AG406" s="19"/>
      <c r="AH406" s="2">
        <f>Table2[[#This Row],[EV]]-Table2[[#This Row],[Spread (V)]]</f>
        <v>-4.7571648268779683</v>
      </c>
      <c r="AI406" s="22">
        <f>Table2[[#This Row],[(A)]]-Table2[[#This Row],[Spread]]</f>
        <v>-11.255118483412332</v>
      </c>
      <c r="AJ406" s="1">
        <f>Table2[[#This Row],[(A) Err]]^2</f>
        <v>126.67769207564992</v>
      </c>
      <c r="AK406" s="6">
        <f>Table2[[#This Row],[EV]]-Table2[[#This Row],[Spread]]</f>
        <v>-4.7571648268779683</v>
      </c>
      <c r="AL406" s="1">
        <f>Table2[[#This Row],[EV Err]]^2</f>
        <v>22.630617190084891</v>
      </c>
    </row>
    <row r="407" spans="1:38" x14ac:dyDescent="0.25">
      <c r="A407" t="s">
        <v>96</v>
      </c>
      <c r="B407" t="s">
        <v>37</v>
      </c>
      <c r="C407" t="s">
        <v>29</v>
      </c>
      <c r="K407" s="25">
        <f>(Table2[[#This Row],[Home Pace]]/100)*(VLOOKUP(Table2[[#This Row],[Home/Neutral]],home_lookup,8,FALSE)+VLOOKUP(Table2[[#This Row],[Home/Neutral]],OFR_lookup,2,FALSE)+VLOOKUP(Table2[[#This Row],[Visitor/Neutral]],def_diff_lookup,6,FALSE))</f>
        <v>105.43433809362122</v>
      </c>
      <c r="L407" s="25"/>
      <c r="M407" s="25">
        <f>(Table2[[#This Row],[Away Pace]]/100)*(VLOOKUP(Table2[[#This Row],[Visitor/Neutral]],OFR_lookup,2,FALSE)+VLOOKUP(Table2[[#This Row],[Home/Neutral]],def_diff_lookup,6,FALSE))</f>
        <v>97.824645333333336</v>
      </c>
      <c r="N407" s="25"/>
      <c r="O407" s="25"/>
      <c r="P407">
        <f>VLOOKUP(Table2[[#This Row],[Home/Neutral]],pace_lookup,7,FALSE)</f>
        <v>92.1</v>
      </c>
      <c r="Q407" s="5">
        <f>VLOOKUP(Table2[[#This Row],[Visitor/Neutral]],pace_lookup,7,FALSE)</f>
        <v>93.8</v>
      </c>
      <c r="R407" s="9"/>
      <c r="V407" s="2">
        <f>-home-VLOOKUP(Table2[[#This Row],[Home/Neutral]],rtg_vlookup,4,FALSE)+VLOOKUP(Table2[[#This Row],[Visitor/Neutral]],rtg_vlookup,4,FALSE)</f>
        <v>2.4648815165876696</v>
      </c>
      <c r="W407" s="25"/>
      <c r="X407" s="2"/>
      <c r="Y407" s="2">
        <f>Table2[[#This Row],[Away EV]]-Table2[[#This Row],[Home EV]]</f>
        <v>-7.609692760287885</v>
      </c>
      <c r="Z407" s="33"/>
      <c r="AA407" s="34"/>
      <c r="AB407" s="5" t="b">
        <f>IF(VLOOKUP(Table2[[#This Row],[Home/Neutral]],division_lookup,9,FALSE)=VLOOKUP(Table2[[#This Row],[Visitor/Neutral]],division_lookup,9,FALSE),TRUE,FALSE)</f>
        <v>0</v>
      </c>
      <c r="AC407" s="19" t="str">
        <f>VLOOKUP(Table2[[#This Row],[Home/Neutral]],division_lookup,9,FALSE)</f>
        <v>SW</v>
      </c>
      <c r="AD407" s="19"/>
      <c r="AE407" s="19" t="str">
        <f>IF(Table2[[#This Row],[Total EV ®]]&lt;Table2[[#This Row],[Total (V)]],"UNDER","OVER")</f>
        <v>OVER</v>
      </c>
      <c r="AF407" s="30">
        <f>Table2[[#This Row],[(A) Spread]]-Table2[[#This Row],[Spread (V)]]</f>
        <v>0</v>
      </c>
      <c r="AG407" s="19"/>
      <c r="AH407" s="2">
        <f>Table2[[#This Row],[EV]]-Table2[[#This Row],[Spread (V)]]</f>
        <v>-7.609692760287885</v>
      </c>
      <c r="AI407" s="22">
        <f>Table2[[#This Row],[(A)]]-Table2[[#This Row],[Spread]]</f>
        <v>2.4648815165876696</v>
      </c>
      <c r="AJ407" s="1">
        <f>Table2[[#This Row],[(A) Err]]^2</f>
        <v>6.0756408908155306</v>
      </c>
      <c r="AK407" s="6">
        <f>Table2[[#This Row],[EV]]-Table2[[#This Row],[Spread]]</f>
        <v>-7.609692760287885</v>
      </c>
      <c r="AL407" s="1">
        <f>Table2[[#This Row],[EV Err]]^2</f>
        <v>57.907423905977851</v>
      </c>
    </row>
    <row r="408" spans="1:38" x14ac:dyDescent="0.25">
      <c r="A408" t="s">
        <v>96</v>
      </c>
      <c r="B408" t="s">
        <v>23</v>
      </c>
      <c r="C408" t="s">
        <v>20</v>
      </c>
      <c r="K408" s="25">
        <f>(Table2[[#This Row],[Home Pace]]/100)*(VLOOKUP(Table2[[#This Row],[Home/Neutral]],home_lookup,8,FALSE)+VLOOKUP(Table2[[#This Row],[Home/Neutral]],OFR_lookup,2,FALSE)+VLOOKUP(Table2[[#This Row],[Visitor/Neutral]],def_diff_lookup,6,FALSE))</f>
        <v>100.5838873587136</v>
      </c>
      <c r="L408" s="25"/>
      <c r="M408" s="25">
        <f>(Table2[[#This Row],[Away Pace]]/100)*(VLOOKUP(Table2[[#This Row],[Visitor/Neutral]],OFR_lookup,2,FALSE)+VLOOKUP(Table2[[#This Row],[Home/Neutral]],def_diff_lookup,6,FALSE))</f>
        <v>92.918586000000019</v>
      </c>
      <c r="N408" s="25"/>
      <c r="O408" s="25"/>
      <c r="P408">
        <f>VLOOKUP(Table2[[#This Row],[Home/Neutral]],pace_lookup,7,FALSE)</f>
        <v>92.5</v>
      </c>
      <c r="Q408" s="5">
        <f>VLOOKUP(Table2[[#This Row],[Visitor/Neutral]],pace_lookup,7,FALSE)</f>
        <v>90.9</v>
      </c>
      <c r="R408" s="9"/>
      <c r="V408" s="2">
        <f>-home-VLOOKUP(Table2[[#This Row],[Home/Neutral]],rtg_vlookup,4,FALSE)+VLOOKUP(Table2[[#This Row],[Visitor/Neutral]],rtg_vlookup,4,FALSE)</f>
        <v>-3.3851184834123309</v>
      </c>
      <c r="W408" s="25"/>
      <c r="X408" s="2"/>
      <c r="Y408" s="2">
        <f>Table2[[#This Row],[Away EV]]-Table2[[#This Row],[Home EV]]</f>
        <v>-7.6653013587135774</v>
      </c>
      <c r="Z408" s="33"/>
      <c r="AA408" s="34"/>
      <c r="AB408" s="5" t="b">
        <f>IF(VLOOKUP(Table2[[#This Row],[Home/Neutral]],division_lookup,9,FALSE)=VLOOKUP(Table2[[#This Row],[Visitor/Neutral]],division_lookup,9,FALSE),TRUE,FALSE)</f>
        <v>0</v>
      </c>
      <c r="AC408" s="19" t="str">
        <f>VLOOKUP(Table2[[#This Row],[Home/Neutral]],division_lookup,9,FALSE)</f>
        <v>SW</v>
      </c>
      <c r="AD408" s="19"/>
      <c r="AE408" s="19" t="str">
        <f>IF(Table2[[#This Row],[Total EV ®]]&lt;Table2[[#This Row],[Total (V)]],"UNDER","OVER")</f>
        <v>OVER</v>
      </c>
      <c r="AF408" s="30">
        <f>Table2[[#This Row],[(A) Spread]]-Table2[[#This Row],[Spread (V)]]</f>
        <v>0</v>
      </c>
      <c r="AG408" s="19"/>
      <c r="AH408" s="2">
        <f>Table2[[#This Row],[EV]]-Table2[[#This Row],[Spread (V)]]</f>
        <v>-7.6653013587135774</v>
      </c>
      <c r="AI408" s="22">
        <f>Table2[[#This Row],[(A)]]-Table2[[#This Row],[Spread]]</f>
        <v>-3.3851184834123309</v>
      </c>
      <c r="AJ408" s="1">
        <f>Table2[[#This Row],[(A) Err]]^2</f>
        <v>11.4590271467398</v>
      </c>
      <c r="AK408" s="6">
        <f>Table2[[#This Row],[EV]]-Table2[[#This Row],[Spread]]</f>
        <v>-7.6653013587135774</v>
      </c>
      <c r="AL408" s="1">
        <f>Table2[[#This Row],[EV Err]]^2</f>
        <v>58.756844919896217</v>
      </c>
    </row>
    <row r="409" spans="1:38" x14ac:dyDescent="0.25">
      <c r="A409" t="s">
        <v>96</v>
      </c>
      <c r="B409" t="s">
        <v>21</v>
      </c>
      <c r="C409" t="s">
        <v>26</v>
      </c>
      <c r="K409" s="25">
        <f>(Table2[[#This Row],[Home Pace]]/100)*(VLOOKUP(Table2[[#This Row],[Home/Neutral]],home_lookup,8,FALSE)+VLOOKUP(Table2[[#This Row],[Home/Neutral]],OFR_lookup,2,FALSE)+VLOOKUP(Table2[[#This Row],[Visitor/Neutral]],def_diff_lookup,6,FALSE))</f>
        <v>103.1271111752439</v>
      </c>
      <c r="L409" s="25"/>
      <c r="M409" s="25">
        <f>(Table2[[#This Row],[Away Pace]]/100)*(VLOOKUP(Table2[[#This Row],[Visitor/Neutral]],OFR_lookup,2,FALSE)+VLOOKUP(Table2[[#This Row],[Home/Neutral]],def_diff_lookup,6,FALSE))</f>
        <v>99.907840000000007</v>
      </c>
      <c r="N409" s="25"/>
      <c r="O409" s="25"/>
      <c r="P409">
        <f>VLOOKUP(Table2[[#This Row],[Home/Neutral]],pace_lookup,7,FALSE)</f>
        <v>94.2</v>
      </c>
      <c r="Q409" s="5">
        <f>VLOOKUP(Table2[[#This Row],[Visitor/Neutral]],pace_lookup,7,FALSE)</f>
        <v>96</v>
      </c>
      <c r="R409" s="9"/>
      <c r="V409" s="2">
        <f>-home-VLOOKUP(Table2[[#This Row],[Home/Neutral]],rtg_vlookup,4,FALSE)+VLOOKUP(Table2[[#This Row],[Visitor/Neutral]],rtg_vlookup,4,FALSE)</f>
        <v>-2.8551184834123307</v>
      </c>
      <c r="W409" s="25"/>
      <c r="X409" s="2"/>
      <c r="Y409" s="2">
        <f>Table2[[#This Row],[Away EV]]-Table2[[#This Row],[Home EV]]</f>
        <v>-3.2192711752438896</v>
      </c>
      <c r="Z409" s="33"/>
      <c r="AA409" s="34"/>
      <c r="AB409" s="5" t="b">
        <f>IF(VLOOKUP(Table2[[#This Row],[Home/Neutral]],division_lookup,9,FALSE)=VLOOKUP(Table2[[#This Row],[Visitor/Neutral]],division_lookup,9,FALSE),TRUE,FALSE)</f>
        <v>0</v>
      </c>
      <c r="AC409" s="19" t="str">
        <f>VLOOKUP(Table2[[#This Row],[Home/Neutral]],division_lookup,9,FALSE)</f>
        <v>SE</v>
      </c>
      <c r="AD409" s="19"/>
      <c r="AE409" s="19" t="str">
        <f>IF(Table2[[#This Row],[Total EV ®]]&lt;Table2[[#This Row],[Total (V)]],"UNDER","OVER")</f>
        <v>OVER</v>
      </c>
      <c r="AF409" s="30">
        <f>Table2[[#This Row],[(A) Spread]]-Table2[[#This Row],[Spread (V)]]</f>
        <v>0</v>
      </c>
      <c r="AG409" s="19"/>
      <c r="AH409" s="2">
        <f>Table2[[#This Row],[EV]]-Table2[[#This Row],[Spread (V)]]</f>
        <v>-3.2192711752438896</v>
      </c>
      <c r="AI409" s="22">
        <f>Table2[[#This Row],[(A)]]-Table2[[#This Row],[Spread]]</f>
        <v>-2.8551184834123307</v>
      </c>
      <c r="AJ409" s="1">
        <f>Table2[[#This Row],[(A) Err]]^2</f>
        <v>8.1517015543227274</v>
      </c>
      <c r="AK409" s="6">
        <f>Table2[[#This Row],[EV]]-Table2[[#This Row],[Spread]]</f>
        <v>-3.2192711752438896</v>
      </c>
      <c r="AL409" s="1">
        <f>Table2[[#This Row],[EV Err]]^2</f>
        <v>10.363706899756174</v>
      </c>
    </row>
    <row r="410" spans="1:38" x14ac:dyDescent="0.25">
      <c r="A410" t="s">
        <v>96</v>
      </c>
      <c r="B410" t="s">
        <v>38</v>
      </c>
      <c r="C410" t="s">
        <v>14</v>
      </c>
      <c r="K410" s="25">
        <f>(Table2[[#This Row],[Home Pace]]/100)*(VLOOKUP(Table2[[#This Row],[Home/Neutral]],home_lookup,8,FALSE)+VLOOKUP(Table2[[#This Row],[Home/Neutral]],OFR_lookup,2,FALSE)+VLOOKUP(Table2[[#This Row],[Visitor/Neutral]],def_diff_lookup,6,FALSE))</f>
        <v>107.7770116789148</v>
      </c>
      <c r="L410" s="25"/>
      <c r="M410" s="25">
        <f>(Table2[[#This Row],[Away Pace]]/100)*(VLOOKUP(Table2[[#This Row],[Visitor/Neutral]],OFR_lookup,2,FALSE)+VLOOKUP(Table2[[#This Row],[Home/Neutral]],def_diff_lookup,6,FALSE))</f>
        <v>109.60474933333336</v>
      </c>
      <c r="N410" s="25"/>
      <c r="O410" s="25"/>
      <c r="P410">
        <f>VLOOKUP(Table2[[#This Row],[Home/Neutral]],pace_lookup,7,FALSE)</f>
        <v>94.2</v>
      </c>
      <c r="Q410" s="5">
        <f>VLOOKUP(Table2[[#This Row],[Visitor/Neutral]],pace_lookup,7,FALSE)</f>
        <v>95.9</v>
      </c>
      <c r="R410" s="9"/>
      <c r="V410" s="2">
        <f>-home-VLOOKUP(Table2[[#This Row],[Home/Neutral]],rtg_vlookup,4,FALSE)+VLOOKUP(Table2[[#This Row],[Visitor/Neutral]],rtg_vlookup,4,FALSE)</f>
        <v>10.934881516587669</v>
      </c>
      <c r="W410" s="25"/>
      <c r="X410" s="2"/>
      <c r="Y410" s="2">
        <f>Table2[[#This Row],[Away EV]]-Table2[[#This Row],[Home EV]]</f>
        <v>1.8277376544185557</v>
      </c>
      <c r="Z410" s="33"/>
      <c r="AA410" s="34"/>
      <c r="AB410" s="5" t="b">
        <f>IF(VLOOKUP(Table2[[#This Row],[Home/Neutral]],division_lookup,9,FALSE)=VLOOKUP(Table2[[#This Row],[Visitor/Neutral]],division_lookup,9,FALSE),TRUE,FALSE)</f>
        <v>0</v>
      </c>
      <c r="AC410" s="19" t="str">
        <f>VLOOKUP(Table2[[#This Row],[Home/Neutral]],division_lookup,9,FALSE)</f>
        <v>SE</v>
      </c>
      <c r="AD410" s="19"/>
      <c r="AE410" s="19" t="str">
        <f>IF(Table2[[#This Row],[Total EV ®]]&lt;Table2[[#This Row],[Total (V)]],"UNDER","OVER")</f>
        <v>OVER</v>
      </c>
      <c r="AF410" s="30">
        <f>Table2[[#This Row],[(A) Spread]]-Table2[[#This Row],[Spread (V)]]</f>
        <v>0</v>
      </c>
      <c r="AG410" s="19"/>
      <c r="AH410" s="2">
        <f>Table2[[#This Row],[EV]]-Table2[[#This Row],[Spread (V)]]</f>
        <v>1.8277376544185557</v>
      </c>
      <c r="AI410" s="22">
        <f>Table2[[#This Row],[(A)]]-Table2[[#This Row],[Spread]]</f>
        <v>10.934881516587669</v>
      </c>
      <c r="AJ410" s="1">
        <f>Table2[[#This Row],[(A) Err]]^2</f>
        <v>119.57163378181065</v>
      </c>
      <c r="AK410" s="6">
        <f>Table2[[#This Row],[EV]]-Table2[[#This Row],[Spread]]</f>
        <v>1.8277376544185557</v>
      </c>
      <c r="AL410" s="1">
        <f>Table2[[#This Row],[EV Err]]^2</f>
        <v>3.340624933379444</v>
      </c>
    </row>
    <row r="411" spans="1:38" x14ac:dyDescent="0.25">
      <c r="A411" t="s">
        <v>96</v>
      </c>
      <c r="B411" t="s">
        <v>39</v>
      </c>
      <c r="C411" t="s">
        <v>35</v>
      </c>
      <c r="K411" s="25">
        <f>(Table2[[#This Row],[Home Pace]]/100)*(VLOOKUP(Table2[[#This Row],[Home/Neutral]],home_lookup,8,FALSE)+VLOOKUP(Table2[[#This Row],[Home/Neutral]],OFR_lookup,2,FALSE)+VLOOKUP(Table2[[#This Row],[Visitor/Neutral]],def_diff_lookup,6,FALSE))</f>
        <v>110.81852211468578</v>
      </c>
      <c r="L411" s="25"/>
      <c r="M411" s="25">
        <f>(Table2[[#This Row],[Away Pace]]/100)*(VLOOKUP(Table2[[#This Row],[Visitor/Neutral]],OFR_lookup,2,FALSE)+VLOOKUP(Table2[[#This Row],[Home/Neutral]],def_diff_lookup,6,FALSE))</f>
        <v>108.93566133333334</v>
      </c>
      <c r="N411" s="25"/>
      <c r="O411" s="25"/>
      <c r="P411">
        <f>VLOOKUP(Table2[[#This Row],[Home/Neutral]],pace_lookup,7,FALSE)</f>
        <v>97.5</v>
      </c>
      <c r="Q411" s="5">
        <f>VLOOKUP(Table2[[#This Row],[Visitor/Neutral]],pace_lookup,7,FALSE)</f>
        <v>102.2</v>
      </c>
      <c r="R411" s="9"/>
      <c r="V411" s="2">
        <f>-home-VLOOKUP(Table2[[#This Row],[Home/Neutral]],rtg_vlookup,4,FALSE)+VLOOKUP(Table2[[#This Row],[Visitor/Neutral]],rtg_vlookup,4,FALSE)</f>
        <v>0.2348815165876692</v>
      </c>
      <c r="W411" s="25"/>
      <c r="X411" s="2"/>
      <c r="Y411" s="2">
        <f>Table2[[#This Row],[Away EV]]-Table2[[#This Row],[Home EV]]</f>
        <v>-1.8828607813524343</v>
      </c>
      <c r="Z411" s="33"/>
      <c r="AA411" s="34"/>
      <c r="AB411" s="5" t="b">
        <f>IF(VLOOKUP(Table2[[#This Row],[Home/Neutral]],division_lookup,9,FALSE)=VLOOKUP(Table2[[#This Row],[Visitor/Neutral]],division_lookup,9,FALSE),TRUE,FALSE)</f>
        <v>1</v>
      </c>
      <c r="AC411" s="19" t="str">
        <f>VLOOKUP(Table2[[#This Row],[Home/Neutral]],division_lookup,9,FALSE)</f>
        <v>A</v>
      </c>
      <c r="AD411" s="19"/>
      <c r="AE411" s="19" t="str">
        <f>IF(Table2[[#This Row],[Total EV ®]]&lt;Table2[[#This Row],[Total (V)]],"UNDER","OVER")</f>
        <v>OVER</v>
      </c>
      <c r="AF411" s="30">
        <f>Table2[[#This Row],[(A) Spread]]-Table2[[#This Row],[Spread (V)]]</f>
        <v>0</v>
      </c>
      <c r="AG411" s="19"/>
      <c r="AH411" s="2">
        <f>Table2[[#This Row],[EV]]-Table2[[#This Row],[Spread (V)]]</f>
        <v>-1.8828607813524343</v>
      </c>
      <c r="AI411" s="22">
        <f>Table2[[#This Row],[(A)]]-Table2[[#This Row],[Spread]]</f>
        <v>0.2348815165876692</v>
      </c>
      <c r="AJ411" s="1">
        <f>Table2[[#This Row],[(A) Err]]^2</f>
        <v>5.5169326834523524E-2</v>
      </c>
      <c r="AK411" s="6">
        <f>Table2[[#This Row],[EV]]-Table2[[#This Row],[Spread]]</f>
        <v>-1.8828607813524343</v>
      </c>
      <c r="AL411" s="1">
        <f>Table2[[#This Row],[EV Err]]^2</f>
        <v>3.5451647219550995</v>
      </c>
    </row>
    <row r="412" spans="1:38" x14ac:dyDescent="0.25">
      <c r="A412" t="s">
        <v>96</v>
      </c>
      <c r="B412" t="s">
        <v>6</v>
      </c>
      <c r="C412" t="s">
        <v>34</v>
      </c>
      <c r="K412" s="25">
        <f>(Table2[[#This Row],[Home Pace]]/100)*(VLOOKUP(Table2[[#This Row],[Home/Neutral]],home_lookup,8,FALSE)+VLOOKUP(Table2[[#This Row],[Home/Neutral]],OFR_lookup,2,FALSE)+VLOOKUP(Table2[[#This Row],[Visitor/Neutral]],def_diff_lookup,6,FALSE))</f>
        <v>102.78950787062243</v>
      </c>
      <c r="L412" s="25"/>
      <c r="M412" s="25">
        <f>(Table2[[#This Row],[Away Pace]]/100)*(VLOOKUP(Table2[[#This Row],[Visitor/Neutral]],OFR_lookup,2,FALSE)+VLOOKUP(Table2[[#This Row],[Home/Neutral]],def_diff_lookup,6,FALSE))</f>
        <v>97.536018666666678</v>
      </c>
      <c r="N412" s="25"/>
      <c r="O412" s="25"/>
      <c r="P412">
        <f>VLOOKUP(Table2[[#This Row],[Home/Neutral]],pace_lookup,7,FALSE)</f>
        <v>93.1</v>
      </c>
      <c r="Q412" s="5">
        <f>VLOOKUP(Table2[[#This Row],[Visitor/Neutral]],pace_lookup,7,FALSE)</f>
        <v>98.8</v>
      </c>
      <c r="R412" s="9"/>
      <c r="V412" s="2">
        <f>-home-VLOOKUP(Table2[[#This Row],[Home/Neutral]],rtg_vlookup,4,FALSE)+VLOOKUP(Table2[[#This Row],[Visitor/Neutral]],rtg_vlookup,4,FALSE)</f>
        <v>-14.755118483412332</v>
      </c>
      <c r="W412" s="25"/>
      <c r="X412" s="2"/>
      <c r="Y412" s="2">
        <f>Table2[[#This Row],[Away EV]]-Table2[[#This Row],[Home EV]]</f>
        <v>-5.2534892039557519</v>
      </c>
      <c r="Z412" s="33"/>
      <c r="AA412" s="34"/>
      <c r="AB412" s="5" t="b">
        <f>IF(VLOOKUP(Table2[[#This Row],[Home/Neutral]],division_lookup,9,FALSE)=VLOOKUP(Table2[[#This Row],[Visitor/Neutral]],division_lookup,9,FALSE),TRUE,FALSE)</f>
        <v>1</v>
      </c>
      <c r="AC412" s="19" t="str">
        <f>VLOOKUP(Table2[[#This Row],[Home/Neutral]],division_lookup,9,FALSE)</f>
        <v>SW</v>
      </c>
      <c r="AD412" s="19"/>
      <c r="AE412" s="19" t="str">
        <f>IF(Table2[[#This Row],[Total EV ®]]&lt;Table2[[#This Row],[Total (V)]],"UNDER","OVER")</f>
        <v>OVER</v>
      </c>
      <c r="AF412" s="30">
        <f>Table2[[#This Row],[(A) Spread]]-Table2[[#This Row],[Spread (V)]]</f>
        <v>0</v>
      </c>
      <c r="AG412" s="19"/>
      <c r="AH412" s="2">
        <f>Table2[[#This Row],[EV]]-Table2[[#This Row],[Spread (V)]]</f>
        <v>-5.2534892039557519</v>
      </c>
      <c r="AI412" s="22">
        <f>Table2[[#This Row],[(A)]]-Table2[[#This Row],[Spread]]</f>
        <v>-14.755118483412332</v>
      </c>
      <c r="AJ412" s="1">
        <f>Table2[[#This Row],[(A) Err]]^2</f>
        <v>217.71352145953622</v>
      </c>
      <c r="AK412" s="6">
        <f>Table2[[#This Row],[EV]]-Table2[[#This Row],[Spread]]</f>
        <v>-5.2534892039557519</v>
      </c>
      <c r="AL412" s="1">
        <f>Table2[[#This Row],[EV Err]]^2</f>
        <v>27.599148816079641</v>
      </c>
    </row>
    <row r="413" spans="1:38" x14ac:dyDescent="0.25">
      <c r="A413" t="s">
        <v>96</v>
      </c>
      <c r="B413" t="s">
        <v>28</v>
      </c>
      <c r="C413" t="s">
        <v>4</v>
      </c>
      <c r="K413" s="25">
        <f>(Table2[[#This Row],[Home Pace]]/100)*(VLOOKUP(Table2[[#This Row],[Home/Neutral]],home_lookup,8,FALSE)+VLOOKUP(Table2[[#This Row],[Home/Neutral]],OFR_lookup,2,FALSE)+VLOOKUP(Table2[[#This Row],[Visitor/Neutral]],def_diff_lookup,6,FALSE))</f>
        <v>102.46037553204273</v>
      </c>
      <c r="L413" s="25"/>
      <c r="M413" s="25">
        <f>(Table2[[#This Row],[Away Pace]]/100)*(VLOOKUP(Table2[[#This Row],[Visitor/Neutral]],OFR_lookup,2,FALSE)+VLOOKUP(Table2[[#This Row],[Home/Neutral]],def_diff_lookup,6,FALSE))</f>
        <v>113.834084</v>
      </c>
      <c r="N413" s="25"/>
      <c r="O413" s="25"/>
      <c r="P413">
        <f>VLOOKUP(Table2[[#This Row],[Home/Neutral]],pace_lookup,7,FALSE)</f>
        <v>96.3</v>
      </c>
      <c r="Q413" s="5">
        <f>VLOOKUP(Table2[[#This Row],[Visitor/Neutral]],pace_lookup,7,FALSE)</f>
        <v>96.6</v>
      </c>
      <c r="R413" s="9"/>
      <c r="V413" s="2">
        <f>-home-VLOOKUP(Table2[[#This Row],[Home/Neutral]],rtg_vlookup,4,FALSE)+VLOOKUP(Table2[[#This Row],[Visitor/Neutral]],rtg_vlookup,4,FALSE)</f>
        <v>13.82488151658767</v>
      </c>
      <c r="W413" s="25"/>
      <c r="X413" s="2"/>
      <c r="Y413" s="2">
        <f>Table2[[#This Row],[Away EV]]-Table2[[#This Row],[Home EV]]</f>
        <v>11.373708467957272</v>
      </c>
      <c r="Z413" s="33"/>
      <c r="AA413" s="34"/>
      <c r="AB413" s="5" t="b">
        <f>IF(VLOOKUP(Table2[[#This Row],[Home/Neutral]],division_lookup,9,FALSE)=VLOOKUP(Table2[[#This Row],[Visitor/Neutral]],division_lookup,9,FALSE),TRUE,FALSE)</f>
        <v>0</v>
      </c>
      <c r="AC413" s="19" t="str">
        <f>VLOOKUP(Table2[[#This Row],[Home/Neutral]],division_lookup,9,FALSE)</f>
        <v>SE</v>
      </c>
      <c r="AD413" s="19"/>
      <c r="AE413" s="19" t="str">
        <f>IF(Table2[[#This Row],[Total EV ®]]&lt;Table2[[#This Row],[Total (V)]],"UNDER","OVER")</f>
        <v>OVER</v>
      </c>
      <c r="AF413" s="30">
        <f>Table2[[#This Row],[(A) Spread]]-Table2[[#This Row],[Spread (V)]]</f>
        <v>0</v>
      </c>
      <c r="AG413" s="19"/>
      <c r="AH413" s="2">
        <f>Table2[[#This Row],[EV]]-Table2[[#This Row],[Spread (V)]]</f>
        <v>11.373708467957272</v>
      </c>
      <c r="AI413" s="22">
        <f>Table2[[#This Row],[(A)]]-Table2[[#This Row],[Spread]]</f>
        <v>13.82488151658767</v>
      </c>
      <c r="AJ413" s="1">
        <f>Table2[[#This Row],[(A) Err]]^2</f>
        <v>191.12734894768738</v>
      </c>
      <c r="AK413" s="6">
        <f>Table2[[#This Row],[EV]]-Table2[[#This Row],[Spread]]</f>
        <v>11.373708467957272</v>
      </c>
      <c r="AL413" s="1">
        <f>Table2[[#This Row],[EV Err]]^2</f>
        <v>129.36124431408294</v>
      </c>
    </row>
    <row r="414" spans="1:38" x14ac:dyDescent="0.25">
      <c r="A414" t="s">
        <v>97</v>
      </c>
      <c r="B414" t="s">
        <v>13</v>
      </c>
      <c r="C414" t="s">
        <v>25</v>
      </c>
      <c r="K414" s="25">
        <f>(Table2[[#This Row],[Home Pace]]/100)*(VLOOKUP(Table2[[#This Row],[Home/Neutral]],home_lookup,8,FALSE)+VLOOKUP(Table2[[#This Row],[Home/Neutral]],OFR_lookup,2,FALSE)+VLOOKUP(Table2[[#This Row],[Visitor/Neutral]],def_diff_lookup,6,FALSE))</f>
        <v>101.90509108450401</v>
      </c>
      <c r="L414" s="25"/>
      <c r="M414" s="25">
        <f>(Table2[[#This Row],[Away Pace]]/100)*(VLOOKUP(Table2[[#This Row],[Visitor/Neutral]],OFR_lookup,2,FALSE)+VLOOKUP(Table2[[#This Row],[Home/Neutral]],def_diff_lookup,6,FALSE))</f>
        <v>96.21310933333335</v>
      </c>
      <c r="N414" s="25"/>
      <c r="O414" s="25"/>
      <c r="P414">
        <f>VLOOKUP(Table2[[#This Row],[Home/Neutral]],pace_lookup,7,FALSE)</f>
        <v>94.5</v>
      </c>
      <c r="Q414" s="5">
        <f>VLOOKUP(Table2[[#This Row],[Visitor/Neutral]],pace_lookup,7,FALSE)</f>
        <v>94.4</v>
      </c>
      <c r="R414" s="9"/>
      <c r="V414" s="2">
        <f>-home-VLOOKUP(Table2[[#This Row],[Home/Neutral]],rtg_vlookup,4,FALSE)+VLOOKUP(Table2[[#This Row],[Visitor/Neutral]],rtg_vlookup,4,FALSE)</f>
        <v>-8.3751184834123311</v>
      </c>
      <c r="W414" s="25"/>
      <c r="X414" s="2"/>
      <c r="Y414" s="2">
        <f>Table2[[#This Row],[Away EV]]-Table2[[#This Row],[Home EV]]</f>
        <v>-5.6919817511706583</v>
      </c>
      <c r="Z414" s="33"/>
      <c r="AA414" s="34"/>
      <c r="AB414" s="5" t="b">
        <f>IF(VLOOKUP(Table2[[#This Row],[Home/Neutral]],division_lookup,9,FALSE)=VLOOKUP(Table2[[#This Row],[Visitor/Neutral]],division_lookup,9,FALSE),TRUE,FALSE)</f>
        <v>1</v>
      </c>
      <c r="AC414" s="19" t="str">
        <f>VLOOKUP(Table2[[#This Row],[Home/Neutral]],division_lookup,9,FALSE)</f>
        <v>C</v>
      </c>
      <c r="AD414" s="19"/>
      <c r="AE414" s="19" t="str">
        <f>IF(Table2[[#This Row],[Total EV ®]]&lt;Table2[[#This Row],[Total (V)]],"UNDER","OVER")</f>
        <v>OVER</v>
      </c>
      <c r="AF414" s="30">
        <f>Table2[[#This Row],[(A) Spread]]-Table2[[#This Row],[Spread (V)]]</f>
        <v>0</v>
      </c>
      <c r="AG414" s="19"/>
      <c r="AH414" s="2">
        <f>Table2[[#This Row],[EV]]-Table2[[#This Row],[Spread (V)]]</f>
        <v>-5.6919817511706583</v>
      </c>
      <c r="AI414" s="22">
        <f>Table2[[#This Row],[(A)]]-Table2[[#This Row],[Spread]]</f>
        <v>-8.3751184834123311</v>
      </c>
      <c r="AJ414" s="1">
        <f>Table2[[#This Row],[(A) Err]]^2</f>
        <v>70.142609611194871</v>
      </c>
      <c r="AK414" s="6">
        <f>Table2[[#This Row],[EV]]-Table2[[#This Row],[Spread]]</f>
        <v>-5.6919817511706583</v>
      </c>
      <c r="AL414" s="1">
        <f>Table2[[#This Row],[EV Err]]^2</f>
        <v>32.398656255659795</v>
      </c>
    </row>
    <row r="415" spans="1:38" x14ac:dyDescent="0.25">
      <c r="A415" t="s">
        <v>97</v>
      </c>
      <c r="B415" t="s">
        <v>27</v>
      </c>
      <c r="C415" t="s">
        <v>37</v>
      </c>
      <c r="K415" s="25">
        <f>(Table2[[#This Row],[Home Pace]]/100)*(VLOOKUP(Table2[[#This Row],[Home/Neutral]],home_lookup,8,FALSE)+VLOOKUP(Table2[[#This Row],[Home/Neutral]],OFR_lookup,2,FALSE)+VLOOKUP(Table2[[#This Row],[Visitor/Neutral]],def_diff_lookup,6,FALSE))</f>
        <v>101.52585642647257</v>
      </c>
      <c r="L415" s="25"/>
      <c r="M415" s="25">
        <f>(Table2[[#This Row],[Away Pace]]/100)*(VLOOKUP(Table2[[#This Row],[Visitor/Neutral]],OFR_lookup,2,FALSE)+VLOOKUP(Table2[[#This Row],[Home/Neutral]],def_diff_lookup,6,FALSE))</f>
        <v>87.808754000000008</v>
      </c>
      <c r="N415" s="25"/>
      <c r="O415" s="25"/>
      <c r="P415">
        <f>VLOOKUP(Table2[[#This Row],[Home/Neutral]],pace_lookup,7,FALSE)</f>
        <v>99</v>
      </c>
      <c r="Q415" s="5">
        <f>VLOOKUP(Table2[[#This Row],[Visitor/Neutral]],pace_lookup,7,FALSE)</f>
        <v>92.1</v>
      </c>
      <c r="R415" s="9"/>
      <c r="V415" s="2">
        <f>-home-VLOOKUP(Table2[[#This Row],[Home/Neutral]],rtg_vlookup,4,FALSE)+VLOOKUP(Table2[[#This Row],[Visitor/Neutral]],rtg_vlookup,4,FALSE)</f>
        <v>-9.6151184834123313</v>
      </c>
      <c r="W415" s="25"/>
      <c r="X415" s="2"/>
      <c r="Y415" s="2">
        <f>Table2[[#This Row],[Away EV]]-Table2[[#This Row],[Home EV]]</f>
        <v>-13.717102426472565</v>
      </c>
      <c r="Z415" s="33"/>
      <c r="AA415" s="34"/>
      <c r="AB415" s="5" t="b">
        <f>IF(VLOOKUP(Table2[[#This Row],[Home/Neutral]],division_lookup,9,FALSE)=VLOOKUP(Table2[[#This Row],[Visitor/Neutral]],division_lookup,9,FALSE),TRUE,FALSE)</f>
        <v>0</v>
      </c>
      <c r="AC415" s="19" t="str">
        <f>VLOOKUP(Table2[[#This Row],[Home/Neutral]],division_lookup,9,FALSE)</f>
        <v>NW</v>
      </c>
      <c r="AD415" s="19"/>
      <c r="AE415" s="19" t="str">
        <f>IF(Table2[[#This Row],[Total EV ®]]&lt;Table2[[#This Row],[Total (V)]],"UNDER","OVER")</f>
        <v>OVER</v>
      </c>
      <c r="AF415" s="30">
        <f>Table2[[#This Row],[(A) Spread]]-Table2[[#This Row],[Spread (V)]]</f>
        <v>0</v>
      </c>
      <c r="AG415" s="19"/>
      <c r="AH415" s="2">
        <f>Table2[[#This Row],[EV]]-Table2[[#This Row],[Spread (V)]]</f>
        <v>-13.717102426472565</v>
      </c>
      <c r="AI415" s="22">
        <f>Table2[[#This Row],[(A)]]-Table2[[#This Row],[Spread]]</f>
        <v>-9.6151184834123313</v>
      </c>
      <c r="AJ415" s="1">
        <f>Table2[[#This Row],[(A) Err]]^2</f>
        <v>92.450503450057454</v>
      </c>
      <c r="AK415" s="6">
        <f>Table2[[#This Row],[EV]]-Table2[[#This Row],[Spread]]</f>
        <v>-13.717102426472565</v>
      </c>
      <c r="AL415" s="1">
        <f>Table2[[#This Row],[EV Err]]^2</f>
        <v>188.15889897833952</v>
      </c>
    </row>
    <row r="416" spans="1:38" x14ac:dyDescent="0.25">
      <c r="A416" t="s">
        <v>97</v>
      </c>
      <c r="B416" t="s">
        <v>33</v>
      </c>
      <c r="C416" t="s">
        <v>28</v>
      </c>
      <c r="K416" s="25">
        <f>(Table2[[#This Row],[Home Pace]]/100)*(VLOOKUP(Table2[[#This Row],[Home/Neutral]],home_lookup,8,FALSE)+VLOOKUP(Table2[[#This Row],[Home/Neutral]],OFR_lookup,2,FALSE)+VLOOKUP(Table2[[#This Row],[Visitor/Neutral]],def_diff_lookup,6,FALSE))</f>
        <v>110.44535852057507</v>
      </c>
      <c r="L416" s="25"/>
      <c r="M416" s="25">
        <f>(Table2[[#This Row],[Away Pace]]/100)*(VLOOKUP(Table2[[#This Row],[Visitor/Neutral]],OFR_lookup,2,FALSE)+VLOOKUP(Table2[[#This Row],[Home/Neutral]],def_diff_lookup,6,FALSE))</f>
        <v>105.795822</v>
      </c>
      <c r="N416" s="25"/>
      <c r="O416" s="25"/>
      <c r="P416">
        <f>VLOOKUP(Table2[[#This Row],[Home/Neutral]],pace_lookup,7,FALSE)</f>
        <v>98.2</v>
      </c>
      <c r="Q416" s="5">
        <f>VLOOKUP(Table2[[#This Row],[Visitor/Neutral]],pace_lookup,7,FALSE)</f>
        <v>96.3</v>
      </c>
      <c r="R416" s="9"/>
      <c r="V416" s="2">
        <f>-home-VLOOKUP(Table2[[#This Row],[Home/Neutral]],rtg_vlookup,4,FALSE)+VLOOKUP(Table2[[#This Row],[Visitor/Neutral]],rtg_vlookup,4,FALSE)</f>
        <v>0.60488151658766931</v>
      </c>
      <c r="W416" s="25"/>
      <c r="X416" s="2"/>
      <c r="Y416" s="2">
        <f>Table2[[#This Row],[Away EV]]-Table2[[#This Row],[Home EV]]</f>
        <v>-4.6495365205750687</v>
      </c>
      <c r="Z416" s="33"/>
      <c r="AA416" s="34"/>
      <c r="AB416" s="5" t="b">
        <f>IF(VLOOKUP(Table2[[#This Row],[Home/Neutral]],division_lookup,9,FALSE)=VLOOKUP(Table2[[#This Row],[Visitor/Neutral]],division_lookup,9,FALSE),TRUE,FALSE)</f>
        <v>0</v>
      </c>
      <c r="AC416" s="19" t="str">
        <f>VLOOKUP(Table2[[#This Row],[Home/Neutral]],division_lookup,9,FALSE)</f>
        <v>C</v>
      </c>
      <c r="AD416" s="19"/>
      <c r="AE416" s="19" t="str">
        <f>IF(Table2[[#This Row],[Total EV ®]]&lt;Table2[[#This Row],[Total (V)]],"UNDER","OVER")</f>
        <v>OVER</v>
      </c>
      <c r="AF416" s="30">
        <f>Table2[[#This Row],[(A) Spread]]-Table2[[#This Row],[Spread (V)]]</f>
        <v>0</v>
      </c>
      <c r="AG416" s="19"/>
      <c r="AH416" s="2">
        <f>Table2[[#This Row],[EV]]-Table2[[#This Row],[Spread (V)]]</f>
        <v>-4.6495365205750687</v>
      </c>
      <c r="AI416" s="22">
        <f>Table2[[#This Row],[(A)]]-Table2[[#This Row],[Spread]]</f>
        <v>0.60488151658766931</v>
      </c>
      <c r="AJ416" s="1">
        <f>Table2[[#This Row],[(A) Err]]^2</f>
        <v>0.36588164910939885</v>
      </c>
      <c r="AK416" s="6">
        <f>Table2[[#This Row],[EV]]-Table2[[#This Row],[Spread]]</f>
        <v>-4.6495365205750687</v>
      </c>
      <c r="AL416" s="1">
        <f>Table2[[#This Row],[EV Err]]^2</f>
        <v>21.618189856161315</v>
      </c>
    </row>
    <row r="417" spans="1:38" x14ac:dyDescent="0.25">
      <c r="A417" t="s">
        <v>97</v>
      </c>
      <c r="B417" t="s">
        <v>22</v>
      </c>
      <c r="C417" t="s">
        <v>36</v>
      </c>
      <c r="K417" s="25">
        <f>(Table2[[#This Row],[Home Pace]]/100)*(VLOOKUP(Table2[[#This Row],[Home/Neutral]],home_lookup,8,FALSE)+VLOOKUP(Table2[[#This Row],[Home/Neutral]],OFR_lookup,2,FALSE)+VLOOKUP(Table2[[#This Row],[Visitor/Neutral]],def_diff_lookup,6,FALSE))</f>
        <v>113.62435922968976</v>
      </c>
      <c r="L417" s="25"/>
      <c r="M417" s="25">
        <f>(Table2[[#This Row],[Away Pace]]/100)*(VLOOKUP(Table2[[#This Row],[Visitor/Neutral]],OFR_lookup,2,FALSE)+VLOOKUP(Table2[[#This Row],[Home/Neutral]],def_diff_lookup,6,FALSE))</f>
        <v>109.34446133333336</v>
      </c>
      <c r="N417" s="25"/>
      <c r="O417" s="25"/>
      <c r="P417">
        <f>VLOOKUP(Table2[[#This Row],[Home/Neutral]],pace_lookup,7,FALSE)</f>
        <v>94.7</v>
      </c>
      <c r="Q417" s="5">
        <f>VLOOKUP(Table2[[#This Row],[Visitor/Neutral]],pace_lookup,7,FALSE)</f>
        <v>102.2</v>
      </c>
      <c r="R417" s="9"/>
      <c r="V417" s="2">
        <f>-home-VLOOKUP(Table2[[#This Row],[Home/Neutral]],rtg_vlookup,4,FALSE)+VLOOKUP(Table2[[#This Row],[Visitor/Neutral]],rtg_vlookup,4,FALSE)</f>
        <v>-9.8351184834123302</v>
      </c>
      <c r="W417" s="25"/>
      <c r="X417" s="2"/>
      <c r="Y417" s="2">
        <f>Table2[[#This Row],[Away EV]]-Table2[[#This Row],[Home EV]]</f>
        <v>-4.2798978963564025</v>
      </c>
      <c r="Z417" s="33"/>
      <c r="AA417" s="34"/>
      <c r="AB417" s="5" t="b">
        <f>IF(VLOOKUP(Table2[[#This Row],[Home/Neutral]],division_lookup,9,FALSE)=VLOOKUP(Table2[[#This Row],[Visitor/Neutral]],division_lookup,9,FALSE),TRUE,FALSE)</f>
        <v>0</v>
      </c>
      <c r="AC417" s="19" t="str">
        <f>VLOOKUP(Table2[[#This Row],[Home/Neutral]],division_lookup,9,FALSE)</f>
        <v>NW</v>
      </c>
      <c r="AD417" s="19"/>
      <c r="AE417" s="19" t="str">
        <f>IF(Table2[[#This Row],[Total EV ®]]&lt;Table2[[#This Row],[Total (V)]],"UNDER","OVER")</f>
        <v>OVER</v>
      </c>
      <c r="AF417" s="30">
        <f>Table2[[#This Row],[(A) Spread]]-Table2[[#This Row],[Spread (V)]]</f>
        <v>0</v>
      </c>
      <c r="AG417" s="19"/>
      <c r="AH417" s="2">
        <f>Table2[[#This Row],[EV]]-Table2[[#This Row],[Spread (V)]]</f>
        <v>-4.2798978963564025</v>
      </c>
      <c r="AI417" s="22">
        <f>Table2[[#This Row],[(A)]]-Table2[[#This Row],[Spread]]</f>
        <v>-9.8351184834123302</v>
      </c>
      <c r="AJ417" s="1">
        <f>Table2[[#This Row],[(A) Err]]^2</f>
        <v>96.729555582758849</v>
      </c>
      <c r="AK417" s="6">
        <f>Table2[[#This Row],[EV]]-Table2[[#This Row],[Spread]]</f>
        <v>-4.2798978963564025</v>
      </c>
      <c r="AL417" s="1">
        <f>Table2[[#This Row],[EV Err]]^2</f>
        <v>18.317526003235958</v>
      </c>
    </row>
    <row r="418" spans="1:38" x14ac:dyDescent="0.25">
      <c r="A418" t="s">
        <v>97</v>
      </c>
      <c r="B418" t="s">
        <v>18</v>
      </c>
      <c r="C418" t="s">
        <v>11</v>
      </c>
      <c r="K418" s="25">
        <f>(Table2[[#This Row],[Home Pace]]/100)*(VLOOKUP(Table2[[#This Row],[Home/Neutral]],home_lookup,8,FALSE)+VLOOKUP(Table2[[#This Row],[Home/Neutral]],OFR_lookup,2,FALSE)+VLOOKUP(Table2[[#This Row],[Visitor/Neutral]],def_diff_lookup,6,FALSE))</f>
        <v>95.114256160211326</v>
      </c>
      <c r="L418" s="25"/>
      <c r="M418" s="25">
        <f>(Table2[[#This Row],[Away Pace]]/100)*(VLOOKUP(Table2[[#This Row],[Visitor/Neutral]],OFR_lookup,2,FALSE)+VLOOKUP(Table2[[#This Row],[Home/Neutral]],def_diff_lookup,6,FALSE))</f>
        <v>100.34871466666667</v>
      </c>
      <c r="N418" s="25"/>
      <c r="O418" s="25"/>
      <c r="P418">
        <f>VLOOKUP(Table2[[#This Row],[Home/Neutral]],pace_lookup,7,FALSE)</f>
        <v>99.5</v>
      </c>
      <c r="Q418" s="5">
        <f>VLOOKUP(Table2[[#This Row],[Visitor/Neutral]],pace_lookup,7,FALSE)</f>
        <v>99.7</v>
      </c>
      <c r="R418" s="9"/>
      <c r="V418" s="2">
        <f>-home-VLOOKUP(Table2[[#This Row],[Home/Neutral]],rtg_vlookup,4,FALSE)+VLOOKUP(Table2[[#This Row],[Visitor/Neutral]],rtg_vlookup,4,FALSE)</f>
        <v>1.2648815165876695</v>
      </c>
      <c r="W418" s="25"/>
      <c r="X418" s="2"/>
      <c r="Y418" s="2">
        <f>Table2[[#This Row],[Away EV]]-Table2[[#This Row],[Home EV]]</f>
        <v>5.2344585064553399</v>
      </c>
      <c r="Z418" s="33"/>
      <c r="AA418" s="34"/>
      <c r="AB418" s="5" t="b">
        <f>IF(VLOOKUP(Table2[[#This Row],[Home/Neutral]],division_lookup,9,FALSE)=VLOOKUP(Table2[[#This Row],[Visitor/Neutral]],division_lookup,9,FALSE),TRUE,FALSE)</f>
        <v>0</v>
      </c>
      <c r="AC418" s="19" t="str">
        <f>VLOOKUP(Table2[[#This Row],[Home/Neutral]],division_lookup,9,FALSE)</f>
        <v>NW</v>
      </c>
      <c r="AD418" s="19"/>
      <c r="AE418" s="19" t="str">
        <f>IF(Table2[[#This Row],[Total EV ®]]&lt;Table2[[#This Row],[Total (V)]],"UNDER","OVER")</f>
        <v>OVER</v>
      </c>
      <c r="AF418" s="30">
        <f>Table2[[#This Row],[(A) Spread]]-Table2[[#This Row],[Spread (V)]]</f>
        <v>0</v>
      </c>
      <c r="AG418" s="19"/>
      <c r="AH418" s="2">
        <f>Table2[[#This Row],[EV]]-Table2[[#This Row],[Spread (V)]]</f>
        <v>5.2344585064553399</v>
      </c>
      <c r="AI418" s="22">
        <f>Table2[[#This Row],[(A)]]-Table2[[#This Row],[Spread]]</f>
        <v>1.2648815165876695</v>
      </c>
      <c r="AJ418" s="1">
        <f>Table2[[#This Row],[(A) Err]]^2</f>
        <v>1.5999252510051227</v>
      </c>
      <c r="AK418" s="6">
        <f>Table2[[#This Row],[EV]]-Table2[[#This Row],[Spread]]</f>
        <v>5.2344585064553399</v>
      </c>
      <c r="AL418" s="1">
        <f>Table2[[#This Row],[EV Err]]^2</f>
        <v>27.399555855802667</v>
      </c>
    </row>
    <row r="419" spans="1:38" x14ac:dyDescent="0.25">
      <c r="A419" t="s">
        <v>98</v>
      </c>
      <c r="B419" t="s">
        <v>16</v>
      </c>
      <c r="C419" t="s">
        <v>24</v>
      </c>
      <c r="K419" s="25">
        <f>(Table2[[#This Row],[Home Pace]]/100)*(VLOOKUP(Table2[[#This Row],[Home/Neutral]],home_lookup,8,FALSE)+VLOOKUP(Table2[[#This Row],[Home/Neutral]],OFR_lookup,2,FALSE)+VLOOKUP(Table2[[#This Row],[Visitor/Neutral]],def_diff_lookup,6,FALSE))</f>
        <v>107.57510601115951</v>
      </c>
      <c r="L419" s="25"/>
      <c r="M419" s="25">
        <f>(Table2[[#This Row],[Away Pace]]/100)*(VLOOKUP(Table2[[#This Row],[Visitor/Neutral]],OFR_lookup,2,FALSE)+VLOOKUP(Table2[[#This Row],[Home/Neutral]],def_diff_lookup,6,FALSE))</f>
        <v>108.65190600000003</v>
      </c>
      <c r="N419" s="25"/>
      <c r="O419" s="25"/>
      <c r="P419">
        <f>VLOOKUP(Table2[[#This Row],[Home/Neutral]],pace_lookup,7,FALSE)</f>
        <v>97.5</v>
      </c>
      <c r="Q419" s="5">
        <f>VLOOKUP(Table2[[#This Row],[Visitor/Neutral]],pace_lookup,7,FALSE)</f>
        <v>99.9</v>
      </c>
      <c r="R419" s="9"/>
      <c r="V419" s="2">
        <f>-home-VLOOKUP(Table2[[#This Row],[Home/Neutral]],rtg_vlookup,4,FALSE)+VLOOKUP(Table2[[#This Row],[Visitor/Neutral]],rtg_vlookup,4,FALSE)</f>
        <v>-5.0851184834123311</v>
      </c>
      <c r="W419" s="25"/>
      <c r="X419" s="2"/>
      <c r="Y419" s="2">
        <f>Table2[[#This Row],[Away EV]]-Table2[[#This Row],[Home EV]]</f>
        <v>1.07679998884052</v>
      </c>
      <c r="Z419" s="33"/>
      <c r="AA419" s="34"/>
      <c r="AB419" s="5" t="b">
        <f>IF(VLOOKUP(Table2[[#This Row],[Home/Neutral]],division_lookup,9,FALSE)=VLOOKUP(Table2[[#This Row],[Visitor/Neutral]],division_lookup,9,FALSE),TRUE,FALSE)</f>
        <v>0</v>
      </c>
      <c r="AC419" s="19" t="str">
        <f>VLOOKUP(Table2[[#This Row],[Home/Neutral]],division_lookup,9,FALSE)</f>
        <v>SE</v>
      </c>
      <c r="AD419" s="19"/>
      <c r="AE419" s="19" t="str">
        <f>IF(Table2[[#This Row],[Total EV ®]]&lt;Table2[[#This Row],[Total (V)]],"UNDER","OVER")</f>
        <v>OVER</v>
      </c>
      <c r="AF419" s="30">
        <f>Table2[[#This Row],[(A) Spread]]-Table2[[#This Row],[Spread (V)]]</f>
        <v>0</v>
      </c>
      <c r="AG419" s="19"/>
      <c r="AH419" s="2">
        <f>Table2[[#This Row],[EV]]-Table2[[#This Row],[Spread (V)]]</f>
        <v>1.07679998884052</v>
      </c>
      <c r="AI419" s="22">
        <f>Table2[[#This Row],[(A)]]-Table2[[#This Row],[Spread]]</f>
        <v>-5.0851184834123311</v>
      </c>
      <c r="AJ419" s="1">
        <f>Table2[[#This Row],[(A) Err]]^2</f>
        <v>25.858429990341726</v>
      </c>
      <c r="AK419" s="6">
        <f>Table2[[#This Row],[EV]]-Table2[[#This Row],[Spread]]</f>
        <v>1.07679998884052</v>
      </c>
      <c r="AL419" s="1">
        <f>Table2[[#This Row],[EV Err]]^2</f>
        <v>1.159498215966944</v>
      </c>
    </row>
    <row r="420" spans="1:38" x14ac:dyDescent="0.25">
      <c r="A420" t="s">
        <v>98</v>
      </c>
      <c r="B420" t="s">
        <v>10</v>
      </c>
      <c r="C420" t="s">
        <v>20</v>
      </c>
      <c r="K420" s="25">
        <f>(Table2[[#This Row],[Home Pace]]/100)*(VLOOKUP(Table2[[#This Row],[Home/Neutral]],home_lookup,8,FALSE)+VLOOKUP(Table2[[#This Row],[Home/Neutral]],OFR_lookup,2,FALSE)+VLOOKUP(Table2[[#This Row],[Visitor/Neutral]],def_diff_lookup,6,FALSE))</f>
        <v>105.73195853790561</v>
      </c>
      <c r="L420" s="25"/>
      <c r="M420" s="25">
        <f>(Table2[[#This Row],[Away Pace]]/100)*(VLOOKUP(Table2[[#This Row],[Visitor/Neutral]],OFR_lookup,2,FALSE)+VLOOKUP(Table2[[#This Row],[Home/Neutral]],def_diff_lookup,6,FALSE))</f>
        <v>98.32713600000001</v>
      </c>
      <c r="N420" s="25"/>
      <c r="O420" s="25"/>
      <c r="P420">
        <f>VLOOKUP(Table2[[#This Row],[Home/Neutral]],pace_lookup,7,FALSE)</f>
        <v>100.3</v>
      </c>
      <c r="Q420" s="5">
        <f>VLOOKUP(Table2[[#This Row],[Visitor/Neutral]],pace_lookup,7,FALSE)</f>
        <v>90.9</v>
      </c>
      <c r="R420" s="9"/>
      <c r="V420" s="2">
        <f>-home-VLOOKUP(Table2[[#This Row],[Home/Neutral]],rtg_vlookup,4,FALSE)+VLOOKUP(Table2[[#This Row],[Visitor/Neutral]],rtg_vlookup,4,FALSE)</f>
        <v>-9.465118483412331</v>
      </c>
      <c r="W420" s="25"/>
      <c r="X420" s="2"/>
      <c r="Y420" s="2">
        <f>Table2[[#This Row],[Away EV]]-Table2[[#This Row],[Home EV]]</f>
        <v>-7.4048225379056021</v>
      </c>
      <c r="Z420" s="33"/>
      <c r="AA420" s="34"/>
      <c r="AB420" s="5" t="b">
        <f>IF(VLOOKUP(Table2[[#This Row],[Home/Neutral]],division_lookup,9,FALSE)=VLOOKUP(Table2[[#This Row],[Visitor/Neutral]],division_lookup,9,FALSE),TRUE,FALSE)</f>
        <v>0</v>
      </c>
      <c r="AC420" s="19" t="str">
        <f>VLOOKUP(Table2[[#This Row],[Home/Neutral]],division_lookup,9,FALSE)</f>
        <v>P</v>
      </c>
      <c r="AD420" s="19"/>
      <c r="AE420" s="19" t="str">
        <f>IF(Table2[[#This Row],[Total EV ®]]&lt;Table2[[#This Row],[Total (V)]],"UNDER","OVER")</f>
        <v>OVER</v>
      </c>
      <c r="AF420" s="30">
        <f>Table2[[#This Row],[(A) Spread]]-Table2[[#This Row],[Spread (V)]]</f>
        <v>0</v>
      </c>
      <c r="AG420" s="19"/>
      <c r="AH420" s="2">
        <f>Table2[[#This Row],[EV]]-Table2[[#This Row],[Spread (V)]]</f>
        <v>-7.4048225379056021</v>
      </c>
      <c r="AI420" s="22">
        <f>Table2[[#This Row],[(A)]]-Table2[[#This Row],[Spread]]</f>
        <v>-9.465118483412331</v>
      </c>
      <c r="AJ420" s="1">
        <f>Table2[[#This Row],[(A) Err]]^2</f>
        <v>89.588467905033738</v>
      </c>
      <c r="AK420" s="6">
        <f>Table2[[#This Row],[EV]]-Table2[[#This Row],[Spread]]</f>
        <v>-7.4048225379056021</v>
      </c>
      <c r="AL420" s="1">
        <f>Table2[[#This Row],[EV Err]]^2</f>
        <v>54.831396817874761</v>
      </c>
    </row>
    <row r="421" spans="1:38" x14ac:dyDescent="0.25">
      <c r="A421" t="s">
        <v>98</v>
      </c>
      <c r="B421" t="s">
        <v>17</v>
      </c>
      <c r="C421" t="s">
        <v>6</v>
      </c>
      <c r="K421" s="25">
        <f>(Table2[[#This Row],[Home Pace]]/100)*(VLOOKUP(Table2[[#This Row],[Home/Neutral]],home_lookup,8,FALSE)+VLOOKUP(Table2[[#This Row],[Home/Neutral]],OFR_lookup,2,FALSE)+VLOOKUP(Table2[[#This Row],[Visitor/Neutral]],def_diff_lookup,6,FALSE))</f>
        <v>107.07342692873544</v>
      </c>
      <c r="L421" s="25"/>
      <c r="M421" s="25">
        <f>(Table2[[#This Row],[Away Pace]]/100)*(VLOOKUP(Table2[[#This Row],[Visitor/Neutral]],OFR_lookup,2,FALSE)+VLOOKUP(Table2[[#This Row],[Home/Neutral]],def_diff_lookup,6,FALSE))</f>
        <v>106.40461066666667</v>
      </c>
      <c r="N421" s="25"/>
      <c r="O421" s="25"/>
      <c r="P421">
        <f>VLOOKUP(Table2[[#This Row],[Home/Neutral]],pace_lookup,7,FALSE)</f>
        <v>96.7</v>
      </c>
      <c r="Q421" s="5">
        <f>VLOOKUP(Table2[[#This Row],[Visitor/Neutral]],pace_lookup,7,FALSE)</f>
        <v>93.1</v>
      </c>
      <c r="R421" s="9"/>
      <c r="V421" s="2">
        <f>-home-VLOOKUP(Table2[[#This Row],[Home/Neutral]],rtg_vlookup,4,FALSE)+VLOOKUP(Table2[[#This Row],[Visitor/Neutral]],rtg_vlookup,4,FALSE)</f>
        <v>3.4881516587669026E-2</v>
      </c>
      <c r="W421" s="25"/>
      <c r="X421" s="2"/>
      <c r="Y421" s="2">
        <f>Table2[[#This Row],[Away EV]]-Table2[[#This Row],[Home EV]]</f>
        <v>-0.66881626206877343</v>
      </c>
      <c r="Z421" s="33"/>
      <c r="AA421" s="34"/>
      <c r="AB421" s="5" t="b">
        <f>IF(VLOOKUP(Table2[[#This Row],[Home/Neutral]],division_lookup,9,FALSE)=VLOOKUP(Table2[[#This Row],[Visitor/Neutral]],division_lookup,9,FALSE),TRUE,FALSE)</f>
        <v>1</v>
      </c>
      <c r="AC421" s="19" t="str">
        <f>VLOOKUP(Table2[[#This Row],[Home/Neutral]],division_lookup,9,FALSE)</f>
        <v>SW</v>
      </c>
      <c r="AD421" s="19"/>
      <c r="AE421" s="19" t="str">
        <f>IF(Table2[[#This Row],[Total EV ®]]&lt;Table2[[#This Row],[Total (V)]],"UNDER","OVER")</f>
        <v>OVER</v>
      </c>
      <c r="AF421" s="30">
        <f>Table2[[#This Row],[(A) Spread]]-Table2[[#This Row],[Spread (V)]]</f>
        <v>0</v>
      </c>
      <c r="AG421" s="19"/>
      <c r="AH421" s="2">
        <f>Table2[[#This Row],[EV]]-Table2[[#This Row],[Spread (V)]]</f>
        <v>-0.66881626206877343</v>
      </c>
      <c r="AI421" s="22">
        <f>Table2[[#This Row],[(A)]]-Table2[[#This Row],[Spread]]</f>
        <v>3.4881516587669026E-2</v>
      </c>
      <c r="AJ421" s="1">
        <f>Table2[[#This Row],[(A) Err]]^2</f>
        <v>1.2167201994558294E-3</v>
      </c>
      <c r="AK421" s="6">
        <f>Table2[[#This Row],[EV]]-Table2[[#This Row],[Spread]]</f>
        <v>-0.66881626206877343</v>
      </c>
      <c r="AL421" s="1">
        <f>Table2[[#This Row],[EV Err]]^2</f>
        <v>0.44731519240764622</v>
      </c>
    </row>
    <row r="422" spans="1:38" x14ac:dyDescent="0.25">
      <c r="A422" t="s">
        <v>98</v>
      </c>
      <c r="B422" t="s">
        <v>4</v>
      </c>
      <c r="C422" t="s">
        <v>27</v>
      </c>
      <c r="K422" s="25">
        <f>(Table2[[#This Row],[Home Pace]]/100)*(VLOOKUP(Table2[[#This Row],[Home/Neutral]],home_lookup,8,FALSE)+VLOOKUP(Table2[[#This Row],[Home/Neutral]],OFR_lookup,2,FALSE)+VLOOKUP(Table2[[#This Row],[Visitor/Neutral]],def_diff_lookup,6,FALSE))</f>
        <v>101.90502781393445</v>
      </c>
      <c r="L422" s="25"/>
      <c r="M422" s="25">
        <f>(Table2[[#This Row],[Away Pace]]/100)*(VLOOKUP(Table2[[#This Row],[Visitor/Neutral]],OFR_lookup,2,FALSE)+VLOOKUP(Table2[[#This Row],[Home/Neutral]],def_diff_lookup,6,FALSE))</f>
        <v>98.218559999999997</v>
      </c>
      <c r="N422" s="25"/>
      <c r="O422" s="25"/>
      <c r="P422">
        <f>VLOOKUP(Table2[[#This Row],[Home/Neutral]],pace_lookup,7,FALSE)</f>
        <v>96.6</v>
      </c>
      <c r="Q422" s="5">
        <f>VLOOKUP(Table2[[#This Row],[Visitor/Neutral]],pace_lookup,7,FALSE)</f>
        <v>99</v>
      </c>
      <c r="R422" s="9"/>
      <c r="V422" s="2">
        <f>-home-VLOOKUP(Table2[[#This Row],[Home/Neutral]],rtg_vlookup,4,FALSE)+VLOOKUP(Table2[[#This Row],[Visitor/Neutral]],rtg_vlookup,4,FALSE)</f>
        <v>-17.955118483412331</v>
      </c>
      <c r="W422" s="25"/>
      <c r="X422" s="2"/>
      <c r="Y422" s="2">
        <f>Table2[[#This Row],[Away EV]]-Table2[[#This Row],[Home EV]]</f>
        <v>-3.6864678139344562</v>
      </c>
      <c r="Z422" s="33"/>
      <c r="AA422" s="34"/>
      <c r="AB422" s="5" t="b">
        <f>IF(VLOOKUP(Table2[[#This Row],[Home/Neutral]],division_lookup,9,FALSE)=VLOOKUP(Table2[[#This Row],[Visitor/Neutral]],division_lookup,9,FALSE),TRUE,FALSE)</f>
        <v>0</v>
      </c>
      <c r="AC422" s="19" t="str">
        <f>VLOOKUP(Table2[[#This Row],[Home/Neutral]],division_lookup,9,FALSE)</f>
        <v>P</v>
      </c>
      <c r="AD422" s="19"/>
      <c r="AE422" s="19" t="str">
        <f>IF(Table2[[#This Row],[Total EV ®]]&lt;Table2[[#This Row],[Total (V)]],"UNDER","OVER")</f>
        <v>OVER</v>
      </c>
      <c r="AF422" s="30">
        <f>Table2[[#This Row],[(A) Spread]]-Table2[[#This Row],[Spread (V)]]</f>
        <v>0</v>
      </c>
      <c r="AG422" s="19"/>
      <c r="AH422" s="2">
        <f>Table2[[#This Row],[EV]]-Table2[[#This Row],[Spread (V)]]</f>
        <v>-3.6864678139344562</v>
      </c>
      <c r="AI422" s="22">
        <f>Table2[[#This Row],[(A)]]-Table2[[#This Row],[Spread]]</f>
        <v>-17.955118483412331</v>
      </c>
      <c r="AJ422" s="1">
        <f>Table2[[#This Row],[(A) Err]]^2</f>
        <v>322.38627975337511</v>
      </c>
      <c r="AK422" s="6">
        <f>Table2[[#This Row],[EV]]-Table2[[#This Row],[Spread]]</f>
        <v>-3.6864678139344562</v>
      </c>
      <c r="AL422" s="1">
        <f>Table2[[#This Row],[EV Err]]^2</f>
        <v>13.590044943174689</v>
      </c>
    </row>
    <row r="423" spans="1:38" x14ac:dyDescent="0.25">
      <c r="A423" t="s">
        <v>98</v>
      </c>
      <c r="B423" t="s">
        <v>23</v>
      </c>
      <c r="C423" t="s">
        <v>26</v>
      </c>
      <c r="K423" s="25">
        <f>(Table2[[#This Row],[Home Pace]]/100)*(VLOOKUP(Table2[[#This Row],[Home/Neutral]],home_lookup,8,FALSE)+VLOOKUP(Table2[[#This Row],[Home/Neutral]],OFR_lookup,2,FALSE)+VLOOKUP(Table2[[#This Row],[Visitor/Neutral]],def_diff_lookup,6,FALSE))</f>
        <v>103.5531373587136</v>
      </c>
      <c r="L423" s="25"/>
      <c r="M423" s="25">
        <f>(Table2[[#This Row],[Away Pace]]/100)*(VLOOKUP(Table2[[#This Row],[Visitor/Neutral]],OFR_lookup,2,FALSE)+VLOOKUP(Table2[[#This Row],[Home/Neutral]],def_diff_lookup,6,FALSE))</f>
        <v>99.322240000000008</v>
      </c>
      <c r="N423" s="25"/>
      <c r="O423" s="25"/>
      <c r="P423">
        <f>VLOOKUP(Table2[[#This Row],[Home/Neutral]],pace_lookup,7,FALSE)</f>
        <v>92.5</v>
      </c>
      <c r="Q423" s="5">
        <f>VLOOKUP(Table2[[#This Row],[Visitor/Neutral]],pace_lookup,7,FALSE)</f>
        <v>96</v>
      </c>
      <c r="R423" s="9"/>
      <c r="V423" s="2">
        <f>-home-VLOOKUP(Table2[[#This Row],[Home/Neutral]],rtg_vlookup,4,FALSE)+VLOOKUP(Table2[[#This Row],[Visitor/Neutral]],rtg_vlookup,4,FALSE)</f>
        <v>-5.3451184834123309</v>
      </c>
      <c r="W423" s="25"/>
      <c r="X423" s="2"/>
      <c r="Y423" s="2">
        <f>Table2[[#This Row],[Away EV]]-Table2[[#This Row],[Home EV]]</f>
        <v>-4.230897358713591</v>
      </c>
      <c r="Z423" s="33"/>
      <c r="AA423" s="34"/>
      <c r="AB423" s="5" t="b">
        <f>IF(VLOOKUP(Table2[[#This Row],[Home/Neutral]],division_lookup,9,FALSE)=VLOOKUP(Table2[[#This Row],[Visitor/Neutral]],division_lookup,9,FALSE),TRUE,FALSE)</f>
        <v>0</v>
      </c>
      <c r="AC423" s="19" t="str">
        <f>VLOOKUP(Table2[[#This Row],[Home/Neutral]],division_lookup,9,FALSE)</f>
        <v>SW</v>
      </c>
      <c r="AD423" s="19"/>
      <c r="AE423" s="19" t="str">
        <f>IF(Table2[[#This Row],[Total EV ®]]&lt;Table2[[#This Row],[Total (V)]],"UNDER","OVER")</f>
        <v>OVER</v>
      </c>
      <c r="AF423" s="30">
        <f>Table2[[#This Row],[(A) Spread]]-Table2[[#This Row],[Spread (V)]]</f>
        <v>0</v>
      </c>
      <c r="AG423" s="19"/>
      <c r="AH423" s="2">
        <f>Table2[[#This Row],[EV]]-Table2[[#This Row],[Spread (V)]]</f>
        <v>-4.230897358713591</v>
      </c>
      <c r="AI423" s="22">
        <f>Table2[[#This Row],[(A)]]-Table2[[#This Row],[Spread]]</f>
        <v>-5.3451184834123309</v>
      </c>
      <c r="AJ423" s="1">
        <f>Table2[[#This Row],[(A) Err]]^2</f>
        <v>28.570291601716136</v>
      </c>
      <c r="AK423" s="6">
        <f>Table2[[#This Row],[EV]]-Table2[[#This Row],[Spread]]</f>
        <v>-4.230897358713591</v>
      </c>
      <c r="AL423" s="1">
        <f>Table2[[#This Row],[EV Err]]^2</f>
        <v>17.900492459969641</v>
      </c>
    </row>
    <row r="424" spans="1:38" x14ac:dyDescent="0.25">
      <c r="A424" t="s">
        <v>98</v>
      </c>
      <c r="B424" t="s">
        <v>21</v>
      </c>
      <c r="C424" t="s">
        <v>38</v>
      </c>
      <c r="K424" s="25">
        <f>(Table2[[#This Row],[Home Pace]]/100)*(VLOOKUP(Table2[[#This Row],[Home/Neutral]],home_lookup,8,FALSE)+VLOOKUP(Table2[[#This Row],[Home/Neutral]],OFR_lookup,2,FALSE)+VLOOKUP(Table2[[#This Row],[Visitor/Neutral]],def_diff_lookup,6,FALSE))</f>
        <v>102.5242311752439</v>
      </c>
      <c r="L424" s="25"/>
      <c r="M424" s="25">
        <f>(Table2[[#This Row],[Away Pace]]/100)*(VLOOKUP(Table2[[#This Row],[Visitor/Neutral]],OFR_lookup,2,FALSE)+VLOOKUP(Table2[[#This Row],[Home/Neutral]],def_diff_lookup,6,FALSE))</f>
        <v>89.462368000000026</v>
      </c>
      <c r="N424" s="25"/>
      <c r="O424" s="25"/>
      <c r="P424">
        <f>VLOOKUP(Table2[[#This Row],[Home/Neutral]],pace_lookup,7,FALSE)</f>
        <v>94.2</v>
      </c>
      <c r="Q424" s="5">
        <f>VLOOKUP(Table2[[#This Row],[Visitor/Neutral]],pace_lookup,7,FALSE)</f>
        <v>94.2</v>
      </c>
      <c r="R424" s="9"/>
      <c r="V424" s="2">
        <f>-home-VLOOKUP(Table2[[#This Row],[Home/Neutral]],rtg_vlookup,4,FALSE)+VLOOKUP(Table2[[#This Row],[Visitor/Neutral]],rtg_vlookup,4,FALSE)</f>
        <v>-11.32511848341233</v>
      </c>
      <c r="W424" s="25"/>
      <c r="X424" s="2"/>
      <c r="Y424" s="2">
        <f>Table2[[#This Row],[Away EV]]-Table2[[#This Row],[Home EV]]</f>
        <v>-13.061863175243872</v>
      </c>
      <c r="Z424" s="33"/>
      <c r="AA424" s="34"/>
      <c r="AB424" s="5" t="b">
        <f>IF(VLOOKUP(Table2[[#This Row],[Home/Neutral]],division_lookup,9,FALSE)=VLOOKUP(Table2[[#This Row],[Visitor/Neutral]],division_lookup,9,FALSE),TRUE,FALSE)</f>
        <v>1</v>
      </c>
      <c r="AC424" s="19" t="str">
        <f>VLOOKUP(Table2[[#This Row],[Home/Neutral]],division_lookup,9,FALSE)</f>
        <v>SE</v>
      </c>
      <c r="AD424" s="19"/>
      <c r="AE424" s="19" t="str">
        <f>IF(Table2[[#This Row],[Total EV ®]]&lt;Table2[[#This Row],[Total (V)]],"UNDER","OVER")</f>
        <v>OVER</v>
      </c>
      <c r="AF424" s="30">
        <f>Table2[[#This Row],[(A) Spread]]-Table2[[#This Row],[Spread (V)]]</f>
        <v>0</v>
      </c>
      <c r="AG424" s="19"/>
      <c r="AH424" s="2">
        <f>Table2[[#This Row],[EV]]-Table2[[#This Row],[Spread (V)]]</f>
        <v>-13.061863175243872</v>
      </c>
      <c r="AI424" s="22">
        <f>Table2[[#This Row],[(A)]]-Table2[[#This Row],[Spread]]</f>
        <v>-11.32511848341233</v>
      </c>
      <c r="AJ424" s="1">
        <f>Table2[[#This Row],[(A) Err]]^2</f>
        <v>128.2583086633276</v>
      </c>
      <c r="AK424" s="6">
        <f>Table2[[#This Row],[EV]]-Table2[[#This Row],[Spread]]</f>
        <v>-13.061863175243872</v>
      </c>
      <c r="AL424" s="1">
        <f>Table2[[#This Row],[EV Err]]^2</f>
        <v>170.61226960879191</v>
      </c>
    </row>
    <row r="425" spans="1:38" x14ac:dyDescent="0.25">
      <c r="A425" t="s">
        <v>98</v>
      </c>
      <c r="B425" t="s">
        <v>30</v>
      </c>
      <c r="C425" t="s">
        <v>8</v>
      </c>
      <c r="K425" s="25">
        <f>(Table2[[#This Row],[Home Pace]]/100)*(VLOOKUP(Table2[[#This Row],[Home/Neutral]],home_lookup,8,FALSE)+VLOOKUP(Table2[[#This Row],[Home/Neutral]],OFR_lookup,2,FALSE)+VLOOKUP(Table2[[#This Row],[Visitor/Neutral]],def_diff_lookup,6,FALSE))</f>
        <v>106.20536034993644</v>
      </c>
      <c r="L425" s="25"/>
      <c r="M425" s="25">
        <f>(Table2[[#This Row],[Away Pace]]/100)*(VLOOKUP(Table2[[#This Row],[Visitor/Neutral]],OFR_lookup,2,FALSE)+VLOOKUP(Table2[[#This Row],[Home/Neutral]],def_diff_lookup,6,FALSE))</f>
        <v>109.95328800000001</v>
      </c>
      <c r="N425" s="25"/>
      <c r="O425" s="25"/>
      <c r="P425">
        <f>VLOOKUP(Table2[[#This Row],[Home/Neutral]],pace_lookup,7,FALSE)</f>
        <v>96.8</v>
      </c>
      <c r="Q425" s="5">
        <f>VLOOKUP(Table2[[#This Row],[Visitor/Neutral]],pace_lookup,7,FALSE)</f>
        <v>97.2</v>
      </c>
      <c r="R425" s="9"/>
      <c r="V425" s="2">
        <f>-home-VLOOKUP(Table2[[#This Row],[Home/Neutral]],rtg_vlookup,4,FALSE)+VLOOKUP(Table2[[#This Row],[Visitor/Neutral]],rtg_vlookup,4,FALSE)</f>
        <v>6.6448815165876693</v>
      </c>
      <c r="W425" s="25"/>
      <c r="X425" s="2"/>
      <c r="Y425" s="2">
        <f>Table2[[#This Row],[Away EV]]-Table2[[#This Row],[Home EV]]</f>
        <v>3.7479276500635734</v>
      </c>
      <c r="Z425" s="33"/>
      <c r="AA425" s="34"/>
      <c r="AB425" s="5" t="b">
        <f>IF(VLOOKUP(Table2[[#This Row],[Home/Neutral]],division_lookup,9,FALSE)=VLOOKUP(Table2[[#This Row],[Visitor/Neutral]],division_lookup,9,FALSE),TRUE,FALSE)</f>
        <v>1</v>
      </c>
      <c r="AC425" s="19" t="str">
        <f>VLOOKUP(Table2[[#This Row],[Home/Neutral]],division_lookup,9,FALSE)</f>
        <v>C</v>
      </c>
      <c r="AD425" s="19"/>
      <c r="AE425" s="19" t="str">
        <f>IF(Table2[[#This Row],[Total EV ®]]&lt;Table2[[#This Row],[Total (V)]],"UNDER","OVER")</f>
        <v>OVER</v>
      </c>
      <c r="AF425" s="30">
        <f>Table2[[#This Row],[(A) Spread]]-Table2[[#This Row],[Spread (V)]]</f>
        <v>0</v>
      </c>
      <c r="AG425" s="19"/>
      <c r="AH425" s="2">
        <f>Table2[[#This Row],[EV]]-Table2[[#This Row],[Spread (V)]]</f>
        <v>3.7479276500635734</v>
      </c>
      <c r="AI425" s="22">
        <f>Table2[[#This Row],[(A)]]-Table2[[#This Row],[Spread]]</f>
        <v>6.6448815165876693</v>
      </c>
      <c r="AJ425" s="1">
        <f>Table2[[#This Row],[(A) Err]]^2</f>
        <v>44.154450369488444</v>
      </c>
      <c r="AK425" s="6">
        <f>Table2[[#This Row],[EV]]-Table2[[#This Row],[Spread]]</f>
        <v>3.7479276500635734</v>
      </c>
      <c r="AL425" s="1">
        <f>Table2[[#This Row],[EV Err]]^2</f>
        <v>14.04696167011106</v>
      </c>
    </row>
    <row r="426" spans="1:38" x14ac:dyDescent="0.25">
      <c r="A426" t="s">
        <v>98</v>
      </c>
      <c r="B426" t="s">
        <v>31</v>
      </c>
      <c r="C426" t="s">
        <v>33</v>
      </c>
      <c r="K426" s="25">
        <f>(Table2[[#This Row],[Home Pace]]/100)*(VLOOKUP(Table2[[#This Row],[Home/Neutral]],home_lookup,8,FALSE)+VLOOKUP(Table2[[#This Row],[Home/Neutral]],OFR_lookup,2,FALSE)+VLOOKUP(Table2[[#This Row],[Visitor/Neutral]],def_diff_lookup,6,FALSE))</f>
        <v>112.7325743021789</v>
      </c>
      <c r="L426" s="25"/>
      <c r="M426" s="25">
        <f>(Table2[[#This Row],[Away Pace]]/100)*(VLOOKUP(Table2[[#This Row],[Visitor/Neutral]],OFR_lookup,2,FALSE)+VLOOKUP(Table2[[#This Row],[Home/Neutral]],def_diff_lookup,6,FALSE))</f>
        <v>106.32179466666666</v>
      </c>
      <c r="N426" s="25"/>
      <c r="O426" s="25"/>
      <c r="P426">
        <f>VLOOKUP(Table2[[#This Row],[Home/Neutral]],pace_lookup,7,FALSE)</f>
        <v>96</v>
      </c>
      <c r="Q426" s="5">
        <f>VLOOKUP(Table2[[#This Row],[Visitor/Neutral]],pace_lookup,7,FALSE)</f>
        <v>98.2</v>
      </c>
      <c r="R426" s="9"/>
      <c r="V426" s="2">
        <f>-home-VLOOKUP(Table2[[#This Row],[Home/Neutral]],rtg_vlookup,4,FALSE)+VLOOKUP(Table2[[#This Row],[Visitor/Neutral]],rtg_vlookup,4,FALSE)</f>
        <v>-5.7251184834123308</v>
      </c>
      <c r="W426" s="25"/>
      <c r="X426" s="2"/>
      <c r="Y426" s="2">
        <f>Table2[[#This Row],[Away EV]]-Table2[[#This Row],[Home EV]]</f>
        <v>-6.4107796355122417</v>
      </c>
      <c r="Z426" s="33"/>
      <c r="AA426" s="34"/>
      <c r="AB426" s="5" t="b">
        <f>IF(VLOOKUP(Table2[[#This Row],[Home/Neutral]],division_lookup,9,FALSE)=VLOOKUP(Table2[[#This Row],[Visitor/Neutral]],division_lookup,9,FALSE),TRUE,FALSE)</f>
        <v>0</v>
      </c>
      <c r="AC426" s="19" t="str">
        <f>VLOOKUP(Table2[[#This Row],[Home/Neutral]],division_lookup,9,FALSE)</f>
        <v>A</v>
      </c>
      <c r="AD426" s="19"/>
      <c r="AE426" s="19" t="str">
        <f>IF(Table2[[#This Row],[Total EV ®]]&lt;Table2[[#This Row],[Total (V)]],"UNDER","OVER")</f>
        <v>OVER</v>
      </c>
      <c r="AF426" s="30">
        <f>Table2[[#This Row],[(A) Spread]]-Table2[[#This Row],[Spread (V)]]</f>
        <v>0</v>
      </c>
      <c r="AG426" s="19"/>
      <c r="AH426" s="2">
        <f>Table2[[#This Row],[EV]]-Table2[[#This Row],[Spread (V)]]</f>
        <v>-6.4107796355122417</v>
      </c>
      <c r="AI426" s="22">
        <f>Table2[[#This Row],[(A)]]-Table2[[#This Row],[Spread]]</f>
        <v>-5.7251184834123308</v>
      </c>
      <c r="AJ426" s="1">
        <f>Table2[[#This Row],[(A) Err]]^2</f>
        <v>32.776981649109509</v>
      </c>
      <c r="AK426" s="6">
        <f>Table2[[#This Row],[EV]]-Table2[[#This Row],[Spread]]</f>
        <v>-6.4107796355122417</v>
      </c>
      <c r="AL426" s="1">
        <f>Table2[[#This Row],[EV Err]]^2</f>
        <v>41.098095535098473</v>
      </c>
    </row>
    <row r="427" spans="1:38" x14ac:dyDescent="0.25">
      <c r="A427" t="s">
        <v>98</v>
      </c>
      <c r="B427" t="s">
        <v>39</v>
      </c>
      <c r="C427" t="s">
        <v>34</v>
      </c>
      <c r="K427" s="25">
        <f>(Table2[[#This Row],[Home Pace]]/100)*(VLOOKUP(Table2[[#This Row],[Home/Neutral]],home_lookup,8,FALSE)+VLOOKUP(Table2[[#This Row],[Home/Neutral]],OFR_lookup,2,FALSE)+VLOOKUP(Table2[[#This Row],[Visitor/Neutral]],def_diff_lookup,6,FALSE))</f>
        <v>107.08427211468577</v>
      </c>
      <c r="L427" s="25"/>
      <c r="M427" s="25">
        <f>(Table2[[#This Row],[Away Pace]]/100)*(VLOOKUP(Table2[[#This Row],[Visitor/Neutral]],OFR_lookup,2,FALSE)+VLOOKUP(Table2[[#This Row],[Home/Neutral]],def_diff_lookup,6,FALSE))</f>
        <v>102.79217866666667</v>
      </c>
      <c r="N427" s="25"/>
      <c r="O427" s="25"/>
      <c r="P427">
        <f>VLOOKUP(Table2[[#This Row],[Home/Neutral]],pace_lookup,7,FALSE)</f>
        <v>97.5</v>
      </c>
      <c r="Q427" s="5">
        <f>VLOOKUP(Table2[[#This Row],[Visitor/Neutral]],pace_lookup,7,FALSE)</f>
        <v>98.8</v>
      </c>
      <c r="R427" s="9"/>
      <c r="V427" s="2">
        <f>-home-VLOOKUP(Table2[[#This Row],[Home/Neutral]],rtg_vlookup,4,FALSE)+VLOOKUP(Table2[[#This Row],[Visitor/Neutral]],rtg_vlookup,4,FALSE)</f>
        <v>1.5148815165876686</v>
      </c>
      <c r="W427" s="25"/>
      <c r="X427" s="2"/>
      <c r="Y427" s="2">
        <f>Table2[[#This Row],[Away EV]]-Table2[[#This Row],[Home EV]]</f>
        <v>-4.2920934480191022</v>
      </c>
      <c r="Z427" s="33"/>
      <c r="AA427" s="34"/>
      <c r="AB427" s="5" t="b">
        <f>IF(VLOOKUP(Table2[[#This Row],[Home/Neutral]],division_lookup,9,FALSE)=VLOOKUP(Table2[[#This Row],[Visitor/Neutral]],division_lookup,9,FALSE),TRUE,FALSE)</f>
        <v>0</v>
      </c>
      <c r="AC427" s="19" t="str">
        <f>VLOOKUP(Table2[[#This Row],[Home/Neutral]],division_lookup,9,FALSE)</f>
        <v>A</v>
      </c>
      <c r="AD427" s="19"/>
      <c r="AE427" s="19" t="str">
        <f>IF(Table2[[#This Row],[Total EV ®]]&lt;Table2[[#This Row],[Total (V)]],"UNDER","OVER")</f>
        <v>OVER</v>
      </c>
      <c r="AF427" s="30">
        <f>Table2[[#This Row],[(A) Spread]]-Table2[[#This Row],[Spread (V)]]</f>
        <v>0</v>
      </c>
      <c r="AG427" s="19"/>
      <c r="AH427" s="2">
        <f>Table2[[#This Row],[EV]]-Table2[[#This Row],[Spread (V)]]</f>
        <v>-4.2920934480191022</v>
      </c>
      <c r="AI427" s="22">
        <f>Table2[[#This Row],[(A)]]-Table2[[#This Row],[Spread]]</f>
        <v>1.5148815165876686</v>
      </c>
      <c r="AJ427" s="1">
        <f>Table2[[#This Row],[(A) Err]]^2</f>
        <v>2.2948660092989548</v>
      </c>
      <c r="AK427" s="6">
        <f>Table2[[#This Row],[EV]]-Table2[[#This Row],[Spread]]</f>
        <v>-4.2920934480191022</v>
      </c>
      <c r="AL427" s="1">
        <f>Table2[[#This Row],[EV Err]]^2</f>
        <v>18.422066166528506</v>
      </c>
    </row>
    <row r="428" spans="1:38" x14ac:dyDescent="0.25">
      <c r="A428" t="s">
        <v>98</v>
      </c>
      <c r="B428" t="s">
        <v>29</v>
      </c>
      <c r="C428" t="s">
        <v>32</v>
      </c>
      <c r="K428" s="25">
        <f>(Table2[[#This Row],[Home Pace]]/100)*(VLOOKUP(Table2[[#This Row],[Home/Neutral]],home_lookup,8,FALSE)+VLOOKUP(Table2[[#This Row],[Home/Neutral]],OFR_lookup,2,FALSE)+VLOOKUP(Table2[[#This Row],[Visitor/Neutral]],def_diff_lookup,6,FALSE))</f>
        <v>113.70736926898523</v>
      </c>
      <c r="L428" s="25"/>
      <c r="M428" s="25">
        <f>(Table2[[#This Row],[Away Pace]]/100)*(VLOOKUP(Table2[[#This Row],[Visitor/Neutral]],OFR_lookup,2,FALSE)+VLOOKUP(Table2[[#This Row],[Home/Neutral]],def_diff_lookup,6,FALSE))</f>
        <v>110.23545733333334</v>
      </c>
      <c r="N428" s="25"/>
      <c r="O428" s="25"/>
      <c r="P428">
        <f>VLOOKUP(Table2[[#This Row],[Home/Neutral]],pace_lookup,7,FALSE)</f>
        <v>93.8</v>
      </c>
      <c r="Q428" s="5">
        <f>VLOOKUP(Table2[[#This Row],[Visitor/Neutral]],pace_lookup,7,FALSE)</f>
        <v>98.6</v>
      </c>
      <c r="R428" s="9"/>
      <c r="V428" s="2">
        <f>-home-VLOOKUP(Table2[[#This Row],[Home/Neutral]],rtg_vlookup,4,FALSE)+VLOOKUP(Table2[[#This Row],[Visitor/Neutral]],rtg_vlookup,4,FALSE)</f>
        <v>-3.3151184834123306</v>
      </c>
      <c r="W428" s="25"/>
      <c r="X428" s="2"/>
      <c r="Y428" s="2">
        <f>Table2[[#This Row],[Away EV]]-Table2[[#This Row],[Home EV]]</f>
        <v>-3.4719119356518888</v>
      </c>
      <c r="Z428" s="33"/>
      <c r="AA428" s="34"/>
      <c r="AB428" s="5" t="b">
        <f>IF(VLOOKUP(Table2[[#This Row],[Home/Neutral]],division_lookup,9,FALSE)=VLOOKUP(Table2[[#This Row],[Visitor/Neutral]],division_lookup,9,FALSE),TRUE,FALSE)</f>
        <v>0</v>
      </c>
      <c r="AC428" s="19" t="str">
        <f>VLOOKUP(Table2[[#This Row],[Home/Neutral]],division_lookup,9,FALSE)</f>
        <v>P</v>
      </c>
      <c r="AD428" s="19"/>
      <c r="AE428" s="19" t="str">
        <f>IF(Table2[[#This Row],[Total EV ®]]&lt;Table2[[#This Row],[Total (V)]],"UNDER","OVER")</f>
        <v>OVER</v>
      </c>
      <c r="AF428" s="30">
        <f>Table2[[#This Row],[(A) Spread]]-Table2[[#This Row],[Spread (V)]]</f>
        <v>0</v>
      </c>
      <c r="AG428" s="19"/>
      <c r="AH428" s="2">
        <f>Table2[[#This Row],[EV]]-Table2[[#This Row],[Spread (V)]]</f>
        <v>-3.4719119356518888</v>
      </c>
      <c r="AI428" s="22">
        <f>Table2[[#This Row],[(A)]]-Table2[[#This Row],[Spread]]</f>
        <v>-3.3151184834123306</v>
      </c>
      <c r="AJ428" s="1">
        <f>Table2[[#This Row],[(A) Err]]^2</f>
        <v>10.990010559062071</v>
      </c>
      <c r="AK428" s="6">
        <f>Table2[[#This Row],[EV]]-Table2[[#This Row],[Spread]]</f>
        <v>-3.4719119356518888</v>
      </c>
      <c r="AL428" s="1">
        <f>Table2[[#This Row],[EV Err]]^2</f>
        <v>12.054172488922045</v>
      </c>
    </row>
    <row r="429" spans="1:38" x14ac:dyDescent="0.25">
      <c r="A429" t="s">
        <v>98</v>
      </c>
      <c r="B429" t="s">
        <v>14</v>
      </c>
      <c r="C429" t="s">
        <v>35</v>
      </c>
      <c r="K429" s="25">
        <f>(Table2[[#This Row],[Home Pace]]/100)*(VLOOKUP(Table2[[#This Row],[Home/Neutral]],home_lookup,8,FALSE)+VLOOKUP(Table2[[#This Row],[Home/Neutral]],OFR_lookup,2,FALSE)+VLOOKUP(Table2[[#This Row],[Visitor/Neutral]],def_diff_lookup,6,FALSE))</f>
        <v>110.59141414241451</v>
      </c>
      <c r="L429" s="25"/>
      <c r="M429" s="25">
        <f>(Table2[[#This Row],[Away Pace]]/100)*(VLOOKUP(Table2[[#This Row],[Visitor/Neutral]],OFR_lookup,2,FALSE)+VLOOKUP(Table2[[#This Row],[Home/Neutral]],def_diff_lookup,6,FALSE))</f>
        <v>107.78080133333336</v>
      </c>
      <c r="N429" s="25"/>
      <c r="O429" s="25"/>
      <c r="P429">
        <f>VLOOKUP(Table2[[#This Row],[Home/Neutral]],pace_lookup,7,FALSE)</f>
        <v>95.9</v>
      </c>
      <c r="Q429" s="5">
        <f>VLOOKUP(Table2[[#This Row],[Visitor/Neutral]],pace_lookup,7,FALSE)</f>
        <v>102.2</v>
      </c>
      <c r="R429" s="9"/>
      <c r="V429" s="2">
        <f>-home-VLOOKUP(Table2[[#This Row],[Home/Neutral]],rtg_vlookup,4,FALSE)+VLOOKUP(Table2[[#This Row],[Visitor/Neutral]],rtg_vlookup,4,FALSE)</f>
        <v>-14.00511848341233</v>
      </c>
      <c r="W429" s="25"/>
      <c r="X429" s="2"/>
      <c r="Y429" s="2">
        <f>Table2[[#This Row],[Away EV]]-Table2[[#This Row],[Home EV]]</f>
        <v>-2.8106128090811495</v>
      </c>
      <c r="Z429" s="33"/>
      <c r="AA429" s="34"/>
      <c r="AB429" s="5" t="b">
        <f>IF(VLOOKUP(Table2[[#This Row],[Home/Neutral]],division_lookup,9,FALSE)=VLOOKUP(Table2[[#This Row],[Visitor/Neutral]],division_lookup,9,FALSE),TRUE,FALSE)</f>
        <v>1</v>
      </c>
      <c r="AC429" s="19" t="str">
        <f>VLOOKUP(Table2[[#This Row],[Home/Neutral]],division_lookup,9,FALSE)</f>
        <v>A</v>
      </c>
      <c r="AD429" s="19"/>
      <c r="AE429" s="19" t="str">
        <f>IF(Table2[[#This Row],[Total EV ®]]&lt;Table2[[#This Row],[Total (V)]],"UNDER","OVER")</f>
        <v>OVER</v>
      </c>
      <c r="AF429" s="30">
        <f>Table2[[#This Row],[(A) Spread]]-Table2[[#This Row],[Spread (V)]]</f>
        <v>0</v>
      </c>
      <c r="AG429" s="19"/>
      <c r="AH429" s="2">
        <f>Table2[[#This Row],[EV]]-Table2[[#This Row],[Spread (V)]]</f>
        <v>-2.8106128090811495</v>
      </c>
      <c r="AI429" s="22">
        <f>Table2[[#This Row],[(A)]]-Table2[[#This Row],[Spread]]</f>
        <v>-14.00511848341233</v>
      </c>
      <c r="AJ429" s="1">
        <f>Table2[[#This Row],[(A) Err]]^2</f>
        <v>196.1433437344177</v>
      </c>
      <c r="AK429" s="6">
        <f>Table2[[#This Row],[EV]]-Table2[[#This Row],[Spread]]</f>
        <v>-2.8106128090811495</v>
      </c>
      <c r="AL429" s="1">
        <f>Table2[[#This Row],[EV Err]]^2</f>
        <v>7.8995443625710307</v>
      </c>
    </row>
    <row r="430" spans="1:38" x14ac:dyDescent="0.25">
      <c r="A430" t="s">
        <v>99</v>
      </c>
      <c r="B430" t="s">
        <v>11</v>
      </c>
      <c r="C430" t="s">
        <v>22</v>
      </c>
      <c r="K430" s="25">
        <f>(Table2[[#This Row],[Home Pace]]/100)*(VLOOKUP(Table2[[#This Row],[Home/Neutral]],home_lookup,8,FALSE)+VLOOKUP(Table2[[#This Row],[Home/Neutral]],OFR_lookup,2,FALSE)+VLOOKUP(Table2[[#This Row],[Visitor/Neutral]],def_diff_lookup,6,FALSE))</f>
        <v>102.52828904407282</v>
      </c>
      <c r="L430" s="25"/>
      <c r="M430" s="25">
        <f>(Table2[[#This Row],[Away Pace]]/100)*(VLOOKUP(Table2[[#This Row],[Visitor/Neutral]],OFR_lookup,2,FALSE)+VLOOKUP(Table2[[#This Row],[Home/Neutral]],def_diff_lookup,6,FALSE))</f>
        <v>97.958311333333356</v>
      </c>
      <c r="N430" s="25"/>
      <c r="O430" s="25"/>
      <c r="P430">
        <f>VLOOKUP(Table2[[#This Row],[Home/Neutral]],pace_lookup,7,FALSE)</f>
        <v>99.7</v>
      </c>
      <c r="Q430" s="5">
        <f>VLOOKUP(Table2[[#This Row],[Visitor/Neutral]],pace_lookup,7,FALSE)</f>
        <v>94.7</v>
      </c>
      <c r="R430" s="9"/>
      <c r="V430" s="2">
        <f>-home-VLOOKUP(Table2[[#This Row],[Home/Neutral]],rtg_vlookup,4,FALSE)+VLOOKUP(Table2[[#This Row],[Visitor/Neutral]],rtg_vlookup,4,FALSE)</f>
        <v>-8.1351184834123309</v>
      </c>
      <c r="W430" s="25"/>
      <c r="X430" s="2"/>
      <c r="Y430" s="2">
        <f>Table2[[#This Row],[Away EV]]-Table2[[#This Row],[Home EV]]</f>
        <v>-4.5699777107394652</v>
      </c>
      <c r="Z430" s="33"/>
      <c r="AA430" s="34"/>
      <c r="AB430" s="5" t="b">
        <f>IF(VLOOKUP(Table2[[#This Row],[Home/Neutral]],division_lookup,9,FALSE)=VLOOKUP(Table2[[#This Row],[Visitor/Neutral]],division_lookup,9,FALSE),TRUE,FALSE)</f>
        <v>0</v>
      </c>
      <c r="AC430" s="19" t="str">
        <f>VLOOKUP(Table2[[#This Row],[Home/Neutral]],division_lookup,9,FALSE)</f>
        <v>SE</v>
      </c>
      <c r="AD430" s="19"/>
      <c r="AE430" s="19" t="str">
        <f>IF(Table2[[#This Row],[Total EV ®]]&lt;Table2[[#This Row],[Total (V)]],"UNDER","OVER")</f>
        <v>OVER</v>
      </c>
      <c r="AF430" s="30">
        <f>Table2[[#This Row],[(A) Spread]]-Table2[[#This Row],[Spread (V)]]</f>
        <v>0</v>
      </c>
      <c r="AG430" s="19"/>
      <c r="AH430" s="2">
        <f>Table2[[#This Row],[EV]]-Table2[[#This Row],[Spread (V)]]</f>
        <v>-4.5699777107394652</v>
      </c>
      <c r="AI430" s="22">
        <f>Table2[[#This Row],[(A)]]-Table2[[#This Row],[Spread]]</f>
        <v>-8.1351184834123309</v>
      </c>
      <c r="AJ430" s="1">
        <f>Table2[[#This Row],[(A) Err]]^2</f>
        <v>66.180152739156938</v>
      </c>
      <c r="AK430" s="6">
        <f>Table2[[#This Row],[EV]]-Table2[[#This Row],[Spread]]</f>
        <v>-4.5699777107394652</v>
      </c>
      <c r="AL430" s="1">
        <f>Table2[[#This Row],[EV Err]]^2</f>
        <v>20.884696276655525</v>
      </c>
    </row>
    <row r="431" spans="1:38" x14ac:dyDescent="0.25">
      <c r="A431" t="s">
        <v>99</v>
      </c>
      <c r="B431" t="s">
        <v>13</v>
      </c>
      <c r="C431" t="s">
        <v>28</v>
      </c>
      <c r="K431" s="25">
        <f>(Table2[[#This Row],[Home Pace]]/100)*(VLOOKUP(Table2[[#This Row],[Home/Neutral]],home_lookup,8,FALSE)+VLOOKUP(Table2[[#This Row],[Home/Neutral]],OFR_lookup,2,FALSE)+VLOOKUP(Table2[[#This Row],[Visitor/Neutral]],def_diff_lookup,6,FALSE))</f>
        <v>108.20824108450401</v>
      </c>
      <c r="L431" s="25"/>
      <c r="M431" s="25">
        <f>(Table2[[#This Row],[Away Pace]]/100)*(VLOOKUP(Table2[[#This Row],[Visitor/Neutral]],OFR_lookup,2,FALSE)+VLOOKUP(Table2[[#This Row],[Home/Neutral]],def_diff_lookup,6,FALSE))</f>
        <v>102.743112</v>
      </c>
      <c r="N431" s="25"/>
      <c r="O431" s="25"/>
      <c r="P431">
        <f>VLOOKUP(Table2[[#This Row],[Home/Neutral]],pace_lookup,7,FALSE)</f>
        <v>94.5</v>
      </c>
      <c r="Q431" s="5">
        <f>VLOOKUP(Table2[[#This Row],[Visitor/Neutral]],pace_lookup,7,FALSE)</f>
        <v>96.3</v>
      </c>
      <c r="R431" s="9"/>
      <c r="V431" s="2">
        <f>-home-VLOOKUP(Table2[[#This Row],[Home/Neutral]],rtg_vlookup,4,FALSE)+VLOOKUP(Table2[[#This Row],[Visitor/Neutral]],rtg_vlookup,4,FALSE)</f>
        <v>-10.275118483412331</v>
      </c>
      <c r="W431" s="25"/>
      <c r="X431" s="2"/>
      <c r="Y431" s="2">
        <f>Table2[[#This Row],[Away EV]]-Table2[[#This Row],[Home EV]]</f>
        <v>-5.4651290845040137</v>
      </c>
      <c r="Z431" s="33"/>
      <c r="AA431" s="34"/>
      <c r="AB431" s="5" t="b">
        <f>IF(VLOOKUP(Table2[[#This Row],[Home/Neutral]],division_lookup,9,FALSE)=VLOOKUP(Table2[[#This Row],[Visitor/Neutral]],division_lookup,9,FALSE),TRUE,FALSE)</f>
        <v>0</v>
      </c>
      <c r="AC431" s="19" t="str">
        <f>VLOOKUP(Table2[[#This Row],[Home/Neutral]],division_lookup,9,FALSE)</f>
        <v>C</v>
      </c>
      <c r="AD431" s="19"/>
      <c r="AE431" s="19" t="str">
        <f>IF(Table2[[#This Row],[Total EV ®]]&lt;Table2[[#This Row],[Total (V)]],"UNDER","OVER")</f>
        <v>OVER</v>
      </c>
      <c r="AF431" s="30">
        <f>Table2[[#This Row],[(A) Spread]]-Table2[[#This Row],[Spread (V)]]</f>
        <v>0</v>
      </c>
      <c r="AG431" s="19"/>
      <c r="AH431" s="2">
        <f>Table2[[#This Row],[EV]]-Table2[[#This Row],[Spread (V)]]</f>
        <v>-5.4651290845040137</v>
      </c>
      <c r="AI431" s="22">
        <f>Table2[[#This Row],[(A)]]-Table2[[#This Row],[Spread]]</f>
        <v>-10.275118483412331</v>
      </c>
      <c r="AJ431" s="1">
        <f>Table2[[#This Row],[(A) Err]]^2</f>
        <v>105.57805984816173</v>
      </c>
      <c r="AK431" s="6">
        <f>Table2[[#This Row],[EV]]-Table2[[#This Row],[Spread]]</f>
        <v>-5.4651290845040137</v>
      </c>
      <c r="AL431" s="1">
        <f>Table2[[#This Row],[EV Err]]^2</f>
        <v>29.867635910291678</v>
      </c>
    </row>
    <row r="432" spans="1:38" x14ac:dyDescent="0.25">
      <c r="A432" t="s">
        <v>99</v>
      </c>
      <c r="B432" t="s">
        <v>8</v>
      </c>
      <c r="C432" t="s">
        <v>30</v>
      </c>
      <c r="K432" s="25">
        <f>(Table2[[#This Row],[Home Pace]]/100)*(VLOOKUP(Table2[[#This Row],[Home/Neutral]],home_lookup,8,FALSE)+VLOOKUP(Table2[[#This Row],[Home/Neutral]],OFR_lookup,2,FALSE)+VLOOKUP(Table2[[#This Row],[Visitor/Neutral]],def_diff_lookup,6,FALSE))</f>
        <v>106.6626603689818</v>
      </c>
      <c r="L432" s="25"/>
      <c r="M432" s="25">
        <f>(Table2[[#This Row],[Away Pace]]/100)*(VLOOKUP(Table2[[#This Row],[Visitor/Neutral]],OFR_lookup,2,FALSE)+VLOOKUP(Table2[[#This Row],[Home/Neutral]],def_diff_lookup,6,FALSE))</f>
        <v>100.44032533333335</v>
      </c>
      <c r="N432" s="25"/>
      <c r="O432" s="25"/>
      <c r="P432">
        <f>VLOOKUP(Table2[[#This Row],[Home/Neutral]],pace_lookup,7,FALSE)</f>
        <v>97.2</v>
      </c>
      <c r="Q432" s="5">
        <f>VLOOKUP(Table2[[#This Row],[Visitor/Neutral]],pace_lookup,7,FALSE)</f>
        <v>96.8</v>
      </c>
      <c r="R432" s="9"/>
      <c r="V432" s="2">
        <f>-home-VLOOKUP(Table2[[#This Row],[Home/Neutral]],rtg_vlookup,4,FALSE)+VLOOKUP(Table2[[#This Row],[Visitor/Neutral]],rtg_vlookup,4,FALSE)</f>
        <v>-12.09511848341233</v>
      </c>
      <c r="W432" s="25"/>
      <c r="X432" s="2"/>
      <c r="Y432" s="2">
        <f>Table2[[#This Row],[Away EV]]-Table2[[#This Row],[Home EV]]</f>
        <v>-6.2223350356484559</v>
      </c>
      <c r="Z432" s="33"/>
      <c r="AA432" s="34"/>
      <c r="AB432" s="5" t="b">
        <f>IF(VLOOKUP(Table2[[#This Row],[Home/Neutral]],division_lookup,9,FALSE)=VLOOKUP(Table2[[#This Row],[Visitor/Neutral]],division_lookup,9,FALSE),TRUE,FALSE)</f>
        <v>1</v>
      </c>
      <c r="AC432" s="19" t="str">
        <f>VLOOKUP(Table2[[#This Row],[Home/Neutral]],division_lookup,9,FALSE)</f>
        <v>C</v>
      </c>
      <c r="AD432" s="19"/>
      <c r="AE432" s="19" t="str">
        <f>IF(Table2[[#This Row],[Total EV ®]]&lt;Table2[[#This Row],[Total (V)]],"UNDER","OVER")</f>
        <v>OVER</v>
      </c>
      <c r="AF432" s="30">
        <f>Table2[[#This Row],[(A) Spread]]-Table2[[#This Row],[Spread (V)]]</f>
        <v>0</v>
      </c>
      <c r="AG432" s="19"/>
      <c r="AH432" s="2">
        <f>Table2[[#This Row],[EV]]-Table2[[#This Row],[Spread (V)]]</f>
        <v>-6.2223350356484559</v>
      </c>
      <c r="AI432" s="22">
        <f>Table2[[#This Row],[(A)]]-Table2[[#This Row],[Spread]]</f>
        <v>-12.09511848341233</v>
      </c>
      <c r="AJ432" s="1">
        <f>Table2[[#This Row],[(A) Err]]^2</f>
        <v>146.29189112778258</v>
      </c>
      <c r="AK432" s="6">
        <f>Table2[[#This Row],[EV]]-Table2[[#This Row],[Spread]]</f>
        <v>-6.2223350356484559</v>
      </c>
      <c r="AL432" s="1">
        <f>Table2[[#This Row],[EV Err]]^2</f>
        <v>38.71745329585827</v>
      </c>
    </row>
    <row r="433" spans="1:38" x14ac:dyDescent="0.25">
      <c r="A433" t="s">
        <v>99</v>
      </c>
      <c r="B433" t="s">
        <v>25</v>
      </c>
      <c r="C433" t="s">
        <v>23</v>
      </c>
      <c r="K433" s="25">
        <f>(Table2[[#This Row],[Home Pace]]/100)*(VLOOKUP(Table2[[#This Row],[Home/Neutral]],home_lookup,8,FALSE)+VLOOKUP(Table2[[#This Row],[Home/Neutral]],OFR_lookup,2,FALSE)+VLOOKUP(Table2[[#This Row],[Visitor/Neutral]],def_diff_lookup,6,FALSE))</f>
        <v>99.137424444272568</v>
      </c>
      <c r="L433" s="25"/>
      <c r="M433" s="25">
        <f>(Table2[[#This Row],[Away Pace]]/100)*(VLOOKUP(Table2[[#This Row],[Visitor/Neutral]],OFR_lookup,2,FALSE)+VLOOKUP(Table2[[#This Row],[Home/Neutral]],def_diff_lookup,6,FALSE))</f>
        <v>93.083366666666691</v>
      </c>
      <c r="N433" s="25"/>
      <c r="O433" s="25"/>
      <c r="P433">
        <f>VLOOKUP(Table2[[#This Row],[Home/Neutral]],pace_lookup,7,FALSE)</f>
        <v>94.4</v>
      </c>
      <c r="Q433" s="5">
        <f>VLOOKUP(Table2[[#This Row],[Visitor/Neutral]],pace_lookup,7,FALSE)</f>
        <v>92.5</v>
      </c>
      <c r="R433" s="9"/>
      <c r="V433" s="2">
        <f>-home-VLOOKUP(Table2[[#This Row],[Home/Neutral]],rtg_vlookup,4,FALSE)+VLOOKUP(Table2[[#This Row],[Visitor/Neutral]],rtg_vlookup,4,FALSE)</f>
        <v>-0.31511848341233106</v>
      </c>
      <c r="W433" s="25"/>
      <c r="X433" s="2"/>
      <c r="Y433" s="2">
        <f>Table2[[#This Row],[Away EV]]-Table2[[#This Row],[Home EV]]</f>
        <v>-6.0540577776058768</v>
      </c>
      <c r="Z433" s="33"/>
      <c r="AA433" s="34"/>
      <c r="AB433" s="5" t="b">
        <f>IF(VLOOKUP(Table2[[#This Row],[Home/Neutral]],division_lookup,9,FALSE)=VLOOKUP(Table2[[#This Row],[Visitor/Neutral]],division_lookup,9,FALSE),TRUE,FALSE)</f>
        <v>0</v>
      </c>
      <c r="AC433" s="19" t="str">
        <f>VLOOKUP(Table2[[#This Row],[Home/Neutral]],division_lookup,9,FALSE)</f>
        <v>C</v>
      </c>
      <c r="AD433" s="19"/>
      <c r="AE433" s="19" t="str">
        <f>IF(Table2[[#This Row],[Total EV ®]]&lt;Table2[[#This Row],[Total (V)]],"UNDER","OVER")</f>
        <v>OVER</v>
      </c>
      <c r="AF433" s="30">
        <f>Table2[[#This Row],[(A) Spread]]-Table2[[#This Row],[Spread (V)]]</f>
        <v>0</v>
      </c>
      <c r="AG433" s="19"/>
      <c r="AH433" s="2">
        <f>Table2[[#This Row],[EV]]-Table2[[#This Row],[Spread (V)]]</f>
        <v>-6.0540577776058768</v>
      </c>
      <c r="AI433" s="22">
        <f>Table2[[#This Row],[(A)]]-Table2[[#This Row],[Spread]]</f>
        <v>-0.31511848341233106</v>
      </c>
      <c r="AJ433" s="1">
        <f>Table2[[#This Row],[(A) Err]]^2</f>
        <v>9.9299658588087564E-2</v>
      </c>
      <c r="AK433" s="6">
        <f>Table2[[#This Row],[EV]]-Table2[[#This Row],[Spread]]</f>
        <v>-6.0540577776058768</v>
      </c>
      <c r="AL433" s="1">
        <f>Table2[[#This Row],[EV Err]]^2</f>
        <v>36.65161557459021</v>
      </c>
    </row>
    <row r="434" spans="1:38" x14ac:dyDescent="0.25">
      <c r="A434" t="s">
        <v>99</v>
      </c>
      <c r="B434" t="s">
        <v>34</v>
      </c>
      <c r="C434" t="s">
        <v>18</v>
      </c>
      <c r="K434" s="25">
        <f>(Table2[[#This Row],[Home Pace]]/100)*(VLOOKUP(Table2[[#This Row],[Home/Neutral]],home_lookup,8,FALSE)+VLOOKUP(Table2[[#This Row],[Home/Neutral]],OFR_lookup,2,FALSE)+VLOOKUP(Table2[[#This Row],[Visitor/Neutral]],def_diff_lookup,6,FALSE))</f>
        <v>100.76783864565554</v>
      </c>
      <c r="L434" s="25"/>
      <c r="M434" s="25">
        <f>(Table2[[#This Row],[Away Pace]]/100)*(VLOOKUP(Table2[[#This Row],[Visitor/Neutral]],OFR_lookup,2,FALSE)+VLOOKUP(Table2[[#This Row],[Home/Neutral]],def_diff_lookup,6,FALSE))</f>
        <v>103.67966333333334</v>
      </c>
      <c r="N434" s="25"/>
      <c r="O434" s="25"/>
      <c r="P434">
        <f>VLOOKUP(Table2[[#This Row],[Home/Neutral]],pace_lookup,7,FALSE)</f>
        <v>98.8</v>
      </c>
      <c r="Q434" s="5">
        <f>VLOOKUP(Table2[[#This Row],[Visitor/Neutral]],pace_lookup,7,FALSE)</f>
        <v>99.5</v>
      </c>
      <c r="R434" s="9"/>
      <c r="V434" s="2">
        <f>-home-VLOOKUP(Table2[[#This Row],[Home/Neutral]],rtg_vlookup,4,FALSE)+VLOOKUP(Table2[[#This Row],[Visitor/Neutral]],rtg_vlookup,4,FALSE)</f>
        <v>4.6348815165876696</v>
      </c>
      <c r="W434" s="25"/>
      <c r="X434" s="2"/>
      <c r="Y434" s="2">
        <f>Table2[[#This Row],[Away EV]]-Table2[[#This Row],[Home EV]]</f>
        <v>2.9118246876777931</v>
      </c>
      <c r="Z434" s="33"/>
      <c r="AA434" s="34"/>
      <c r="AB434" s="5" t="b">
        <f>IF(VLOOKUP(Table2[[#This Row],[Home/Neutral]],division_lookup,9,FALSE)=VLOOKUP(Table2[[#This Row],[Visitor/Neutral]],division_lookup,9,FALSE),TRUE,FALSE)</f>
        <v>0</v>
      </c>
      <c r="AC434" s="19" t="str">
        <f>VLOOKUP(Table2[[#This Row],[Home/Neutral]],division_lookup,9,FALSE)</f>
        <v>SW</v>
      </c>
      <c r="AD434" s="19"/>
      <c r="AE434" s="19" t="str">
        <f>IF(Table2[[#This Row],[Total EV ®]]&lt;Table2[[#This Row],[Total (V)]],"UNDER","OVER")</f>
        <v>OVER</v>
      </c>
      <c r="AF434" s="30">
        <f>Table2[[#This Row],[(A) Spread]]-Table2[[#This Row],[Spread (V)]]</f>
        <v>0</v>
      </c>
      <c r="AG434" s="19"/>
      <c r="AH434" s="2">
        <f>Table2[[#This Row],[EV]]-Table2[[#This Row],[Spread (V)]]</f>
        <v>2.9118246876777931</v>
      </c>
      <c r="AI434" s="22">
        <f>Table2[[#This Row],[(A)]]-Table2[[#This Row],[Spread]]</f>
        <v>4.6348815165876696</v>
      </c>
      <c r="AJ434" s="1">
        <f>Table2[[#This Row],[(A) Err]]^2</f>
        <v>21.482126672806015</v>
      </c>
      <c r="AK434" s="6">
        <f>Table2[[#This Row],[EV]]-Table2[[#This Row],[Spread]]</f>
        <v>2.9118246876777931</v>
      </c>
      <c r="AL434" s="1">
        <f>Table2[[#This Row],[EV Err]]^2</f>
        <v>8.478723011769878</v>
      </c>
    </row>
    <row r="435" spans="1:38" x14ac:dyDescent="0.25">
      <c r="A435" t="s">
        <v>99</v>
      </c>
      <c r="B435" t="s">
        <v>36</v>
      </c>
      <c r="C435" t="s">
        <v>17</v>
      </c>
      <c r="K435" s="25">
        <f>(Table2[[#This Row],[Home Pace]]/100)*(VLOOKUP(Table2[[#This Row],[Home/Neutral]],home_lookup,8,FALSE)+VLOOKUP(Table2[[#This Row],[Home/Neutral]],OFR_lookup,2,FALSE)+VLOOKUP(Table2[[#This Row],[Visitor/Neutral]],def_diff_lookup,6,FALSE))</f>
        <v>110.83455156604043</v>
      </c>
      <c r="L435" s="25"/>
      <c r="M435" s="25">
        <f>(Table2[[#This Row],[Away Pace]]/100)*(VLOOKUP(Table2[[#This Row],[Visitor/Neutral]],OFR_lookup,2,FALSE)+VLOOKUP(Table2[[#This Row],[Home/Neutral]],def_diff_lookup,6,FALSE))</f>
        <v>112.83020466666667</v>
      </c>
      <c r="N435" s="25"/>
      <c r="O435" s="25"/>
      <c r="P435">
        <f>VLOOKUP(Table2[[#This Row],[Home/Neutral]],pace_lookup,7,FALSE)</f>
        <v>102.2</v>
      </c>
      <c r="Q435" s="5">
        <f>VLOOKUP(Table2[[#This Row],[Visitor/Neutral]],pace_lookup,7,FALSE)</f>
        <v>96.7</v>
      </c>
      <c r="R435" s="9"/>
      <c r="V435" s="2">
        <f>-home-VLOOKUP(Table2[[#This Row],[Home/Neutral]],rtg_vlookup,4,FALSE)+VLOOKUP(Table2[[#This Row],[Visitor/Neutral]],rtg_vlookup,4,FALSE)</f>
        <v>7.7148815165876696</v>
      </c>
      <c r="W435" s="25"/>
      <c r="X435" s="2"/>
      <c r="Y435" s="2">
        <f>Table2[[#This Row],[Away EV]]-Table2[[#This Row],[Home EV]]</f>
        <v>1.9956531006262423</v>
      </c>
      <c r="Z435" s="33"/>
      <c r="AA435" s="34"/>
      <c r="AB435" s="5" t="b">
        <f>IF(VLOOKUP(Table2[[#This Row],[Home/Neutral]],division_lookup,9,FALSE)=VLOOKUP(Table2[[#This Row],[Visitor/Neutral]],division_lookup,9,FALSE),TRUE,FALSE)</f>
        <v>0</v>
      </c>
      <c r="AC435" s="19" t="str">
        <f>VLOOKUP(Table2[[#This Row],[Home/Neutral]],division_lookup,9,FALSE)</f>
        <v>P</v>
      </c>
      <c r="AD435" s="19"/>
      <c r="AE435" s="19" t="str">
        <f>IF(Table2[[#This Row],[Total EV ®]]&lt;Table2[[#This Row],[Total (V)]],"UNDER","OVER")</f>
        <v>OVER</v>
      </c>
      <c r="AF435" s="30">
        <f>Table2[[#This Row],[(A) Spread]]-Table2[[#This Row],[Spread (V)]]</f>
        <v>0</v>
      </c>
      <c r="AG435" s="19"/>
      <c r="AH435" s="2">
        <f>Table2[[#This Row],[EV]]-Table2[[#This Row],[Spread (V)]]</f>
        <v>1.9956531006262423</v>
      </c>
      <c r="AI435" s="22">
        <f>Table2[[#This Row],[(A)]]-Table2[[#This Row],[Spread]]</f>
        <v>7.7148815165876696</v>
      </c>
      <c r="AJ435" s="1">
        <f>Table2[[#This Row],[(A) Err]]^2</f>
        <v>59.519396814986059</v>
      </c>
      <c r="AK435" s="6">
        <f>Table2[[#This Row],[EV]]-Table2[[#This Row],[Spread]]</f>
        <v>1.9956531006262423</v>
      </c>
      <c r="AL435" s="1">
        <f>Table2[[#This Row],[EV Err]]^2</f>
        <v>3.9826312980391352</v>
      </c>
    </row>
    <row r="436" spans="1:38" x14ac:dyDescent="0.25">
      <c r="A436" t="s">
        <v>99</v>
      </c>
      <c r="B436" t="s">
        <v>32</v>
      </c>
      <c r="C436" t="s">
        <v>37</v>
      </c>
      <c r="K436" s="25">
        <f>(Table2[[#This Row],[Home Pace]]/100)*(VLOOKUP(Table2[[#This Row],[Home/Neutral]],home_lookup,8,FALSE)+VLOOKUP(Table2[[#This Row],[Home/Neutral]],OFR_lookup,2,FALSE)+VLOOKUP(Table2[[#This Row],[Visitor/Neutral]],def_diff_lookup,6,FALSE))</f>
        <v>106.20109112001839</v>
      </c>
      <c r="L436" s="25"/>
      <c r="M436" s="25">
        <f>(Table2[[#This Row],[Away Pace]]/100)*(VLOOKUP(Table2[[#This Row],[Visitor/Neutral]],OFR_lookup,2,FALSE)+VLOOKUP(Table2[[#This Row],[Home/Neutral]],def_diff_lookup,6,FALSE))</f>
        <v>92.855834000000002</v>
      </c>
      <c r="N436" s="25"/>
      <c r="O436" s="25"/>
      <c r="P436">
        <f>VLOOKUP(Table2[[#This Row],[Home/Neutral]],pace_lookup,7,FALSE)</f>
        <v>98.6</v>
      </c>
      <c r="Q436" s="5">
        <f>VLOOKUP(Table2[[#This Row],[Visitor/Neutral]],pace_lookup,7,FALSE)</f>
        <v>92.1</v>
      </c>
      <c r="R436" s="9"/>
      <c r="V436" s="2">
        <f>-home-VLOOKUP(Table2[[#This Row],[Home/Neutral]],rtg_vlookup,4,FALSE)+VLOOKUP(Table2[[#This Row],[Visitor/Neutral]],rtg_vlookup,4,FALSE)</f>
        <v>-7.3251184834123313</v>
      </c>
      <c r="W436" s="25"/>
      <c r="X436" s="2"/>
      <c r="Y436" s="2">
        <f>Table2[[#This Row],[Away EV]]-Table2[[#This Row],[Home EV]]</f>
        <v>-13.345257120018388</v>
      </c>
      <c r="Z436" s="33"/>
      <c r="AA436" s="34"/>
      <c r="AB436" s="5" t="b">
        <f>IF(VLOOKUP(Table2[[#This Row],[Home/Neutral]],division_lookup,9,FALSE)=VLOOKUP(Table2[[#This Row],[Visitor/Neutral]],division_lookup,9,FALSE),TRUE,FALSE)</f>
        <v>0</v>
      </c>
      <c r="AC436" s="19" t="str">
        <f>VLOOKUP(Table2[[#This Row],[Home/Neutral]],division_lookup,9,FALSE)</f>
        <v>NW</v>
      </c>
      <c r="AD436" s="19"/>
      <c r="AE436" s="19" t="str">
        <f>IF(Table2[[#This Row],[Total EV ®]]&lt;Table2[[#This Row],[Total (V)]],"UNDER","OVER")</f>
        <v>OVER</v>
      </c>
      <c r="AF436" s="30">
        <f>Table2[[#This Row],[(A) Spread]]-Table2[[#This Row],[Spread (V)]]</f>
        <v>0</v>
      </c>
      <c r="AG436" s="19"/>
      <c r="AH436" s="2">
        <f>Table2[[#This Row],[EV]]-Table2[[#This Row],[Spread (V)]]</f>
        <v>-13.345257120018388</v>
      </c>
      <c r="AI436" s="22">
        <f>Table2[[#This Row],[(A)]]-Table2[[#This Row],[Spread]]</f>
        <v>-7.3251184834123313</v>
      </c>
      <c r="AJ436" s="1">
        <f>Table2[[#This Row],[(A) Err]]^2</f>
        <v>53.657360796028975</v>
      </c>
      <c r="AK436" s="6">
        <f>Table2[[#This Row],[EV]]-Table2[[#This Row],[Spread]]</f>
        <v>-13.345257120018388</v>
      </c>
      <c r="AL436" s="1">
        <f>Table2[[#This Row],[EV Err]]^2</f>
        <v>178.09588759940149</v>
      </c>
    </row>
    <row r="437" spans="1:38" x14ac:dyDescent="0.25">
      <c r="A437" t="s">
        <v>99</v>
      </c>
      <c r="B437" t="s">
        <v>20</v>
      </c>
      <c r="C437" t="s">
        <v>29</v>
      </c>
      <c r="K437" s="25">
        <f>(Table2[[#This Row],[Home Pace]]/100)*(VLOOKUP(Table2[[#This Row],[Home/Neutral]],home_lookup,8,FALSE)+VLOOKUP(Table2[[#This Row],[Home/Neutral]],OFR_lookup,2,FALSE)+VLOOKUP(Table2[[#This Row],[Visitor/Neutral]],def_diff_lookup,6,FALSE))</f>
        <v>106.92848528915177</v>
      </c>
      <c r="L437" s="25"/>
      <c r="M437" s="25">
        <f>(Table2[[#This Row],[Away Pace]]/100)*(VLOOKUP(Table2[[#This Row],[Visitor/Neutral]],OFR_lookup,2,FALSE)+VLOOKUP(Table2[[#This Row],[Home/Neutral]],def_diff_lookup,6,FALSE))</f>
        <v>99.325445333333349</v>
      </c>
      <c r="N437" s="25"/>
      <c r="O437" s="25"/>
      <c r="P437">
        <f>VLOOKUP(Table2[[#This Row],[Home/Neutral]],pace_lookup,7,FALSE)</f>
        <v>90.9</v>
      </c>
      <c r="Q437" s="5">
        <f>VLOOKUP(Table2[[#This Row],[Visitor/Neutral]],pace_lookup,7,FALSE)</f>
        <v>93.8</v>
      </c>
      <c r="R437" s="9"/>
      <c r="V437" s="2">
        <f>-home-VLOOKUP(Table2[[#This Row],[Home/Neutral]],rtg_vlookup,4,FALSE)+VLOOKUP(Table2[[#This Row],[Visitor/Neutral]],rtg_vlookup,4,FALSE)</f>
        <v>-6.755118483412331</v>
      </c>
      <c r="W437" s="25"/>
      <c r="X437" s="2"/>
      <c r="Y437" s="2">
        <f>Table2[[#This Row],[Away EV]]-Table2[[#This Row],[Home EV]]</f>
        <v>-7.6030399558184172</v>
      </c>
      <c r="Z437" s="33"/>
      <c r="AA437" s="34"/>
      <c r="AB437" s="5" t="b">
        <f>IF(VLOOKUP(Table2[[#This Row],[Home/Neutral]],division_lookup,9,FALSE)=VLOOKUP(Table2[[#This Row],[Visitor/Neutral]],division_lookup,9,FALSE),TRUE,FALSE)</f>
        <v>0</v>
      </c>
      <c r="AC437" s="19" t="str">
        <f>VLOOKUP(Table2[[#This Row],[Home/Neutral]],division_lookup,9,FALSE)</f>
        <v>NW</v>
      </c>
      <c r="AD437" s="19"/>
      <c r="AE437" s="19" t="str">
        <f>IF(Table2[[#This Row],[Total EV ®]]&lt;Table2[[#This Row],[Total (V)]],"UNDER","OVER")</f>
        <v>OVER</v>
      </c>
      <c r="AF437" s="30">
        <f>Table2[[#This Row],[(A) Spread]]-Table2[[#This Row],[Spread (V)]]</f>
        <v>0</v>
      </c>
      <c r="AG437" s="19"/>
      <c r="AH437" s="2">
        <f>Table2[[#This Row],[EV]]-Table2[[#This Row],[Spread (V)]]</f>
        <v>-7.6030399558184172</v>
      </c>
      <c r="AI437" s="22">
        <f>Table2[[#This Row],[(A)]]-Table2[[#This Row],[Spread]]</f>
        <v>-6.755118483412331</v>
      </c>
      <c r="AJ437" s="1">
        <f>Table2[[#This Row],[(A) Err]]^2</f>
        <v>45.631625724938914</v>
      </c>
      <c r="AK437" s="6">
        <f>Table2[[#This Row],[EV]]-Table2[[#This Row],[Spread]]</f>
        <v>-7.6030399558184172</v>
      </c>
      <c r="AL437" s="1">
        <f>Table2[[#This Row],[EV Err]]^2</f>
        <v>57.806216569771323</v>
      </c>
    </row>
    <row r="438" spans="1:38" x14ac:dyDescent="0.25">
      <c r="A438" t="s">
        <v>100</v>
      </c>
      <c r="B438" t="s">
        <v>35</v>
      </c>
      <c r="C438" t="s">
        <v>10</v>
      </c>
      <c r="K438" s="25">
        <f>(Table2[[#This Row],[Home Pace]]/100)*(VLOOKUP(Table2[[#This Row],[Home/Neutral]],home_lookup,8,FALSE)+VLOOKUP(Table2[[#This Row],[Home/Neutral]],OFR_lookup,2,FALSE)+VLOOKUP(Table2[[#This Row],[Visitor/Neutral]],def_diff_lookup,6,FALSE))</f>
        <v>109.22459121209624</v>
      </c>
      <c r="L438" s="25"/>
      <c r="M438" s="25">
        <f>(Table2[[#This Row],[Away Pace]]/100)*(VLOOKUP(Table2[[#This Row],[Visitor/Neutral]],OFR_lookup,2,FALSE)+VLOOKUP(Table2[[#This Row],[Home/Neutral]],def_diff_lookup,6,FALSE))</f>
        <v>120.29045866666665</v>
      </c>
      <c r="N438" s="25"/>
      <c r="O438" s="25"/>
      <c r="P438">
        <f>VLOOKUP(Table2[[#This Row],[Home/Neutral]],pace_lookup,7,FALSE)</f>
        <v>102.2</v>
      </c>
      <c r="Q438" s="5">
        <f>VLOOKUP(Table2[[#This Row],[Visitor/Neutral]],pace_lookup,7,FALSE)</f>
        <v>100.3</v>
      </c>
      <c r="R438" s="9"/>
      <c r="V438" s="2">
        <f>-home-VLOOKUP(Table2[[#This Row],[Home/Neutral]],rtg_vlookup,4,FALSE)+VLOOKUP(Table2[[#This Row],[Visitor/Neutral]],rtg_vlookup,4,FALSE)</f>
        <v>12.064881516587668</v>
      </c>
      <c r="W438" s="25"/>
      <c r="X438" s="2"/>
      <c r="Y438" s="2">
        <f>Table2[[#This Row],[Away EV]]-Table2[[#This Row],[Home EV]]</f>
        <v>11.065867454570409</v>
      </c>
      <c r="Z438" s="33"/>
      <c r="AA438" s="34"/>
      <c r="AB438" s="5" t="b">
        <f>IF(VLOOKUP(Table2[[#This Row],[Home/Neutral]],division_lookup,9,FALSE)=VLOOKUP(Table2[[#This Row],[Visitor/Neutral]],division_lookup,9,FALSE),TRUE,FALSE)</f>
        <v>0</v>
      </c>
      <c r="AC438" s="19" t="str">
        <f>VLOOKUP(Table2[[#This Row],[Home/Neutral]],division_lookup,9,FALSE)</f>
        <v>A</v>
      </c>
      <c r="AD438" s="19"/>
      <c r="AE438" s="19" t="str">
        <f>IF(Table2[[#This Row],[Total EV ®]]&lt;Table2[[#This Row],[Total (V)]],"UNDER","OVER")</f>
        <v>OVER</v>
      </c>
      <c r="AF438" s="30">
        <f>Table2[[#This Row],[(A) Spread]]-Table2[[#This Row],[Spread (V)]]</f>
        <v>0</v>
      </c>
      <c r="AG438" s="19"/>
      <c r="AH438" s="2">
        <f>Table2[[#This Row],[EV]]-Table2[[#This Row],[Spread (V)]]</f>
        <v>11.065867454570409</v>
      </c>
      <c r="AI438" s="22">
        <f>Table2[[#This Row],[(A)]]-Table2[[#This Row],[Spread]]</f>
        <v>12.064881516587668</v>
      </c>
      <c r="AJ438" s="1">
        <f>Table2[[#This Row],[(A) Err]]^2</f>
        <v>145.56136600929875</v>
      </c>
      <c r="AK438" s="6">
        <f>Table2[[#This Row],[EV]]-Table2[[#This Row],[Spread]]</f>
        <v>11.065867454570409</v>
      </c>
      <c r="AL438" s="1">
        <f>Table2[[#This Row],[EV Err]]^2</f>
        <v>122.45342252212058</v>
      </c>
    </row>
    <row r="439" spans="1:38" x14ac:dyDescent="0.25">
      <c r="A439" t="s">
        <v>100</v>
      </c>
      <c r="B439" t="s">
        <v>33</v>
      </c>
      <c r="C439" t="s">
        <v>26</v>
      </c>
      <c r="K439" s="25">
        <f>(Table2[[#This Row],[Home Pace]]/100)*(VLOOKUP(Table2[[#This Row],[Home/Neutral]],home_lookup,8,FALSE)+VLOOKUP(Table2[[#This Row],[Home/Neutral]],OFR_lookup,2,FALSE)+VLOOKUP(Table2[[#This Row],[Visitor/Neutral]],def_diff_lookup,6,FALSE))</f>
        <v>109.23749852057507</v>
      </c>
      <c r="L439" s="25"/>
      <c r="M439" s="25">
        <f>(Table2[[#This Row],[Away Pace]]/100)*(VLOOKUP(Table2[[#This Row],[Visitor/Neutral]],OFR_lookup,2,FALSE)+VLOOKUP(Table2[[#This Row],[Home/Neutral]],def_diff_lookup,6,FALSE))</f>
        <v>105.90784000000001</v>
      </c>
      <c r="N439" s="25"/>
      <c r="O439" s="25"/>
      <c r="P439">
        <f>VLOOKUP(Table2[[#This Row],[Home/Neutral]],pace_lookup,7,FALSE)</f>
        <v>98.2</v>
      </c>
      <c r="Q439" s="5">
        <f>VLOOKUP(Table2[[#This Row],[Visitor/Neutral]],pace_lookup,7,FALSE)</f>
        <v>96</v>
      </c>
      <c r="R439" s="9"/>
      <c r="V439" s="2">
        <f>-home-VLOOKUP(Table2[[#This Row],[Home/Neutral]],rtg_vlookup,4,FALSE)+VLOOKUP(Table2[[#This Row],[Visitor/Neutral]],rtg_vlookup,4,FALSE)</f>
        <v>2.2948815165876697</v>
      </c>
      <c r="W439" s="25"/>
      <c r="X439" s="2"/>
      <c r="Y439" s="2">
        <f>Table2[[#This Row],[Away EV]]-Table2[[#This Row],[Home EV]]</f>
        <v>-3.3296585205750659</v>
      </c>
      <c r="Z439" s="33"/>
      <c r="AA439" s="34"/>
      <c r="AB439" s="5" t="b">
        <f>IF(VLOOKUP(Table2[[#This Row],[Home/Neutral]],division_lookup,9,FALSE)=VLOOKUP(Table2[[#This Row],[Visitor/Neutral]],division_lookup,9,FALSE),TRUE,FALSE)</f>
        <v>0</v>
      </c>
      <c r="AC439" s="19" t="str">
        <f>VLOOKUP(Table2[[#This Row],[Home/Neutral]],division_lookup,9,FALSE)</f>
        <v>C</v>
      </c>
      <c r="AD439" s="19"/>
      <c r="AE439" s="19" t="str">
        <f>IF(Table2[[#This Row],[Total EV ®]]&lt;Table2[[#This Row],[Total (V)]],"UNDER","OVER")</f>
        <v>OVER</v>
      </c>
      <c r="AF439" s="30">
        <f>Table2[[#This Row],[(A) Spread]]-Table2[[#This Row],[Spread (V)]]</f>
        <v>0</v>
      </c>
      <c r="AG439" s="19"/>
      <c r="AH439" s="2">
        <f>Table2[[#This Row],[EV]]-Table2[[#This Row],[Spread (V)]]</f>
        <v>-3.3296585205750659</v>
      </c>
      <c r="AI439" s="22">
        <f>Table2[[#This Row],[(A)]]-Table2[[#This Row],[Spread]]</f>
        <v>2.2948815165876697</v>
      </c>
      <c r="AJ439" s="1">
        <f>Table2[[#This Row],[(A) Err]]^2</f>
        <v>5.2664811751757226</v>
      </c>
      <c r="AK439" s="6">
        <f>Table2[[#This Row],[EV]]-Table2[[#This Row],[Spread]]</f>
        <v>-3.3296585205750659</v>
      </c>
      <c r="AL439" s="1">
        <f>Table2[[#This Row],[EV Err]]^2</f>
        <v>11.086625863638137</v>
      </c>
    </row>
    <row r="440" spans="1:38" x14ac:dyDescent="0.25">
      <c r="A440" t="s">
        <v>100</v>
      </c>
      <c r="B440" t="s">
        <v>4</v>
      </c>
      <c r="C440" t="s">
        <v>6</v>
      </c>
      <c r="K440" s="25">
        <f>(Table2[[#This Row],[Home Pace]]/100)*(VLOOKUP(Table2[[#This Row],[Home/Neutral]],home_lookup,8,FALSE)+VLOOKUP(Table2[[#This Row],[Home/Neutral]],OFR_lookup,2,FALSE)+VLOOKUP(Table2[[#This Row],[Visitor/Neutral]],def_diff_lookup,6,FALSE))</f>
        <v>100.08894781393445</v>
      </c>
      <c r="L440" s="25"/>
      <c r="M440" s="25">
        <f>(Table2[[#This Row],[Away Pace]]/100)*(VLOOKUP(Table2[[#This Row],[Visitor/Neutral]],OFR_lookup,2,FALSE)+VLOOKUP(Table2[[#This Row],[Home/Neutral]],def_diff_lookup,6,FALSE))</f>
        <v>97.681140666666664</v>
      </c>
      <c r="N440" s="25"/>
      <c r="O440" s="25"/>
      <c r="P440">
        <f>VLOOKUP(Table2[[#This Row],[Home/Neutral]],pace_lookup,7,FALSE)</f>
        <v>96.6</v>
      </c>
      <c r="Q440" s="5">
        <f>VLOOKUP(Table2[[#This Row],[Visitor/Neutral]],pace_lookup,7,FALSE)</f>
        <v>93.1</v>
      </c>
      <c r="R440" s="9"/>
      <c r="V440" s="2">
        <f>-home-VLOOKUP(Table2[[#This Row],[Home/Neutral]],rtg_vlookup,4,FALSE)+VLOOKUP(Table2[[#This Row],[Visitor/Neutral]],rtg_vlookup,4,FALSE)</f>
        <v>-10.365118483412331</v>
      </c>
      <c r="W440" s="25"/>
      <c r="X440" s="2"/>
      <c r="Y440" s="2">
        <f>Table2[[#This Row],[Away EV]]-Table2[[#This Row],[Home EV]]</f>
        <v>-2.4078071472677891</v>
      </c>
      <c r="Z440" s="33"/>
      <c r="AA440" s="34"/>
      <c r="AB440" s="5" t="b">
        <f>IF(VLOOKUP(Table2[[#This Row],[Home/Neutral]],division_lookup,9,FALSE)=VLOOKUP(Table2[[#This Row],[Visitor/Neutral]],division_lookup,9,FALSE),TRUE,FALSE)</f>
        <v>0</v>
      </c>
      <c r="AC440" s="19" t="str">
        <f>VLOOKUP(Table2[[#This Row],[Home/Neutral]],division_lookup,9,FALSE)</f>
        <v>P</v>
      </c>
      <c r="AD440" s="19"/>
      <c r="AE440" s="19" t="str">
        <f>IF(Table2[[#This Row],[Total EV ®]]&lt;Table2[[#This Row],[Total (V)]],"UNDER","OVER")</f>
        <v>OVER</v>
      </c>
      <c r="AF440" s="30">
        <f>Table2[[#This Row],[(A) Spread]]-Table2[[#This Row],[Spread (V)]]</f>
        <v>0</v>
      </c>
      <c r="AG440" s="19"/>
      <c r="AH440" s="2">
        <f>Table2[[#This Row],[EV]]-Table2[[#This Row],[Spread (V)]]</f>
        <v>-2.4078071472677891</v>
      </c>
      <c r="AI440" s="22">
        <f>Table2[[#This Row],[(A)]]-Table2[[#This Row],[Spread]]</f>
        <v>-10.365118483412331</v>
      </c>
      <c r="AJ440" s="1">
        <f>Table2[[#This Row],[(A) Err]]^2</f>
        <v>107.43568117517594</v>
      </c>
      <c r="AK440" s="6">
        <f>Table2[[#This Row],[EV]]-Table2[[#This Row],[Spread]]</f>
        <v>-2.4078071472677891</v>
      </c>
      <c r="AL440" s="1">
        <f>Table2[[#This Row],[EV Err]]^2</f>
        <v>5.7975352584338484</v>
      </c>
    </row>
    <row r="441" spans="1:38" x14ac:dyDescent="0.25">
      <c r="A441" t="s">
        <v>100</v>
      </c>
      <c r="B441" t="s">
        <v>21</v>
      </c>
      <c r="C441" t="s">
        <v>24</v>
      </c>
      <c r="K441" s="25">
        <f>(Table2[[#This Row],[Home Pace]]/100)*(VLOOKUP(Table2[[#This Row],[Home/Neutral]],home_lookup,8,FALSE)+VLOOKUP(Table2[[#This Row],[Home/Neutral]],OFR_lookup,2,FALSE)+VLOOKUP(Table2[[#This Row],[Visitor/Neutral]],def_diff_lookup,6,FALSE))</f>
        <v>105.20893117524389</v>
      </c>
      <c r="L441" s="25"/>
      <c r="M441" s="25">
        <f>(Table2[[#This Row],[Away Pace]]/100)*(VLOOKUP(Table2[[#This Row],[Visitor/Neutral]],OFR_lookup,2,FALSE)+VLOOKUP(Table2[[#This Row],[Home/Neutral]],def_diff_lookup,6,FALSE))</f>
        <v>106.65390600000002</v>
      </c>
      <c r="N441" s="25"/>
      <c r="O441" s="25"/>
      <c r="P441">
        <f>VLOOKUP(Table2[[#This Row],[Home/Neutral]],pace_lookup,7,FALSE)</f>
        <v>94.2</v>
      </c>
      <c r="Q441" s="5">
        <f>VLOOKUP(Table2[[#This Row],[Visitor/Neutral]],pace_lookup,7,FALSE)</f>
        <v>99.9</v>
      </c>
      <c r="R441" s="9"/>
      <c r="V441" s="2">
        <f>-home-VLOOKUP(Table2[[#This Row],[Home/Neutral]],rtg_vlookup,4,FALSE)+VLOOKUP(Table2[[#This Row],[Visitor/Neutral]],rtg_vlookup,4,FALSE)</f>
        <v>-2.3751184834123311</v>
      </c>
      <c r="W441" s="25"/>
      <c r="X441" s="2"/>
      <c r="Y441" s="2">
        <f>Table2[[#This Row],[Away EV]]-Table2[[#This Row],[Home EV]]</f>
        <v>1.4449748247561303</v>
      </c>
      <c r="Z441" s="33"/>
      <c r="AA441" s="34"/>
      <c r="AB441" s="5" t="b">
        <f>IF(VLOOKUP(Table2[[#This Row],[Home/Neutral]],division_lookup,9,FALSE)=VLOOKUP(Table2[[#This Row],[Visitor/Neutral]],division_lookup,9,FALSE),TRUE,FALSE)</f>
        <v>0</v>
      </c>
      <c r="AC441" s="19" t="str">
        <f>VLOOKUP(Table2[[#This Row],[Home/Neutral]],division_lookup,9,FALSE)</f>
        <v>SE</v>
      </c>
      <c r="AD441" s="19"/>
      <c r="AE441" s="19" t="str">
        <f>IF(Table2[[#This Row],[Total EV ®]]&lt;Table2[[#This Row],[Total (V)]],"UNDER","OVER")</f>
        <v>OVER</v>
      </c>
      <c r="AF441" s="30">
        <f>Table2[[#This Row],[(A) Spread]]-Table2[[#This Row],[Spread (V)]]</f>
        <v>0</v>
      </c>
      <c r="AG441" s="19"/>
      <c r="AH441" s="2">
        <f>Table2[[#This Row],[EV]]-Table2[[#This Row],[Spread (V)]]</f>
        <v>1.4449748247561303</v>
      </c>
      <c r="AI441" s="22">
        <f>Table2[[#This Row],[(A)]]-Table2[[#This Row],[Spread]]</f>
        <v>-2.3751184834123311</v>
      </c>
      <c r="AJ441" s="1">
        <f>Table2[[#This Row],[(A) Err]]^2</f>
        <v>5.6411878102468922</v>
      </c>
      <c r="AK441" s="6">
        <f>Table2[[#This Row],[EV]]-Table2[[#This Row],[Spread]]</f>
        <v>1.4449748247561303</v>
      </c>
      <c r="AL441" s="1">
        <f>Table2[[#This Row],[EV Err]]^2</f>
        <v>2.0879522441790095</v>
      </c>
    </row>
    <row r="442" spans="1:38" x14ac:dyDescent="0.25">
      <c r="A442" t="s">
        <v>100</v>
      </c>
      <c r="B442" t="s">
        <v>31</v>
      </c>
      <c r="C442" t="s">
        <v>38</v>
      </c>
      <c r="K442" s="25">
        <f>(Table2[[#This Row],[Home Pace]]/100)*(VLOOKUP(Table2[[#This Row],[Home/Neutral]],home_lookup,8,FALSE)+VLOOKUP(Table2[[#This Row],[Home/Neutral]],OFR_lookup,2,FALSE)+VLOOKUP(Table2[[#This Row],[Visitor/Neutral]],def_diff_lookup,6,FALSE))</f>
        <v>111.4173743021789</v>
      </c>
      <c r="L442" s="25"/>
      <c r="M442" s="25">
        <f>(Table2[[#This Row],[Away Pace]]/100)*(VLOOKUP(Table2[[#This Row],[Visitor/Neutral]],OFR_lookup,2,FALSE)+VLOOKUP(Table2[[#This Row],[Home/Neutral]],def_diff_lookup,6,FALSE))</f>
        <v>97.459948000000026</v>
      </c>
      <c r="N442" s="25"/>
      <c r="O442" s="25"/>
      <c r="P442">
        <f>VLOOKUP(Table2[[#This Row],[Home/Neutral]],pace_lookup,7,FALSE)</f>
        <v>96</v>
      </c>
      <c r="Q442" s="5">
        <f>VLOOKUP(Table2[[#This Row],[Visitor/Neutral]],pace_lookup,7,FALSE)</f>
        <v>94.2</v>
      </c>
      <c r="R442" s="9"/>
      <c r="V442" s="2">
        <f>-home-VLOOKUP(Table2[[#This Row],[Home/Neutral]],rtg_vlookup,4,FALSE)+VLOOKUP(Table2[[#This Row],[Visitor/Neutral]],rtg_vlookup,4,FALSE)</f>
        <v>-9.1751184834123301</v>
      </c>
      <c r="W442" s="25"/>
      <c r="X442" s="2"/>
      <c r="Y442" s="2">
        <f>Table2[[#This Row],[Away EV]]-Table2[[#This Row],[Home EV]]</f>
        <v>-13.957426302178874</v>
      </c>
      <c r="Z442" s="33"/>
      <c r="AA442" s="34"/>
      <c r="AB442" s="5" t="b">
        <f>IF(VLOOKUP(Table2[[#This Row],[Home/Neutral]],division_lookup,9,FALSE)=VLOOKUP(Table2[[#This Row],[Visitor/Neutral]],division_lookup,9,FALSE),TRUE,FALSE)</f>
        <v>0</v>
      </c>
      <c r="AC442" s="19" t="str">
        <f>VLOOKUP(Table2[[#This Row],[Home/Neutral]],division_lookup,9,FALSE)</f>
        <v>A</v>
      </c>
      <c r="AD442" s="19"/>
      <c r="AE442" s="19" t="str">
        <f>IF(Table2[[#This Row],[Total EV ®]]&lt;Table2[[#This Row],[Total (V)]],"UNDER","OVER")</f>
        <v>OVER</v>
      </c>
      <c r="AF442" s="30">
        <f>Table2[[#This Row],[(A) Spread]]-Table2[[#This Row],[Spread (V)]]</f>
        <v>0</v>
      </c>
      <c r="AG442" s="19"/>
      <c r="AH442" s="2">
        <f>Table2[[#This Row],[EV]]-Table2[[#This Row],[Spread (V)]]</f>
        <v>-13.957426302178874</v>
      </c>
      <c r="AI442" s="22">
        <f>Table2[[#This Row],[(A)]]-Table2[[#This Row],[Spread]]</f>
        <v>-9.1751184834123301</v>
      </c>
      <c r="AJ442" s="1">
        <f>Table2[[#This Row],[(A) Err]]^2</f>
        <v>84.18279918465457</v>
      </c>
      <c r="AK442" s="6">
        <f>Table2[[#This Row],[EV]]-Table2[[#This Row],[Spread]]</f>
        <v>-13.957426302178874</v>
      </c>
      <c r="AL442" s="1">
        <f>Table2[[#This Row],[EV Err]]^2</f>
        <v>194.80974898075462</v>
      </c>
    </row>
    <row r="443" spans="1:38" x14ac:dyDescent="0.25">
      <c r="A443" t="s">
        <v>101</v>
      </c>
      <c r="B443" t="s">
        <v>26</v>
      </c>
      <c r="C443" t="s">
        <v>18</v>
      </c>
      <c r="K443" s="25">
        <f>(Table2[[#This Row],[Home Pace]]/100)*(VLOOKUP(Table2[[#This Row],[Home/Neutral]],home_lookup,8,FALSE)+VLOOKUP(Table2[[#This Row],[Home/Neutral]],OFR_lookup,2,FALSE)+VLOOKUP(Table2[[#This Row],[Visitor/Neutral]],def_diff_lookup,6,FALSE))</f>
        <v>102.83856358918158</v>
      </c>
      <c r="L443" s="25"/>
      <c r="M443" s="25">
        <f>(Table2[[#This Row],[Away Pace]]/100)*(VLOOKUP(Table2[[#This Row],[Visitor/Neutral]],OFR_lookup,2,FALSE)+VLOOKUP(Table2[[#This Row],[Home/Neutral]],def_diff_lookup,6,FALSE))</f>
        <v>105.67961333333335</v>
      </c>
      <c r="N443" s="25"/>
      <c r="O443" s="25"/>
      <c r="P443">
        <f>VLOOKUP(Table2[[#This Row],[Home/Neutral]],pace_lookup,7,FALSE)</f>
        <v>96</v>
      </c>
      <c r="Q443" s="5">
        <f>VLOOKUP(Table2[[#This Row],[Visitor/Neutral]],pace_lookup,7,FALSE)</f>
        <v>99.5</v>
      </c>
      <c r="R443" s="9"/>
      <c r="V443" s="2">
        <f>-home-VLOOKUP(Table2[[#This Row],[Home/Neutral]],rtg_vlookup,4,FALSE)+VLOOKUP(Table2[[#This Row],[Visitor/Neutral]],rtg_vlookup,4,FALSE)</f>
        <v>-0.17511848341233094</v>
      </c>
      <c r="W443" s="25"/>
      <c r="X443" s="2"/>
      <c r="Y443" s="2">
        <f>Table2[[#This Row],[Away EV]]-Table2[[#This Row],[Home EV]]</f>
        <v>2.8410497441517748</v>
      </c>
      <c r="Z443" s="33"/>
      <c r="AA443" s="34"/>
      <c r="AB443" s="5" t="b">
        <f>IF(VLOOKUP(Table2[[#This Row],[Home/Neutral]],division_lookup,9,FALSE)=VLOOKUP(Table2[[#This Row],[Visitor/Neutral]],division_lookup,9,FALSE),TRUE,FALSE)</f>
        <v>0</v>
      </c>
      <c r="AC443" s="19" t="str">
        <f>VLOOKUP(Table2[[#This Row],[Home/Neutral]],division_lookup,9,FALSE)</f>
        <v>A</v>
      </c>
      <c r="AD443" s="19"/>
      <c r="AE443" s="19" t="str">
        <f>IF(Table2[[#This Row],[Total EV ®]]&lt;Table2[[#This Row],[Total (V)]],"UNDER","OVER")</f>
        <v>OVER</v>
      </c>
      <c r="AF443" s="30">
        <f>Table2[[#This Row],[(A) Spread]]-Table2[[#This Row],[Spread (V)]]</f>
        <v>0</v>
      </c>
      <c r="AG443" s="19"/>
      <c r="AH443" s="2">
        <f>Table2[[#This Row],[EV]]-Table2[[#This Row],[Spread (V)]]</f>
        <v>2.8410497441517748</v>
      </c>
      <c r="AI443" s="22">
        <f>Table2[[#This Row],[(A)]]-Table2[[#This Row],[Spread]]</f>
        <v>-0.17511848341233094</v>
      </c>
      <c r="AJ443" s="1">
        <f>Table2[[#This Row],[(A) Err]]^2</f>
        <v>3.0666483232634826E-2</v>
      </c>
      <c r="AK443" s="6">
        <f>Table2[[#This Row],[EV]]-Table2[[#This Row],[Spread]]</f>
        <v>2.8410497441517748</v>
      </c>
      <c r="AL443" s="1">
        <f>Table2[[#This Row],[EV Err]]^2</f>
        <v>8.0715636487448652</v>
      </c>
    </row>
    <row r="444" spans="1:38" x14ac:dyDescent="0.25">
      <c r="A444" t="s">
        <v>101</v>
      </c>
      <c r="B444" t="s">
        <v>16</v>
      </c>
      <c r="C444" t="s">
        <v>13</v>
      </c>
      <c r="K444" s="25">
        <f>(Table2[[#This Row],[Home Pace]]/100)*(VLOOKUP(Table2[[#This Row],[Home/Neutral]],home_lookup,8,FALSE)+VLOOKUP(Table2[[#This Row],[Home/Neutral]],OFR_lookup,2,FALSE)+VLOOKUP(Table2[[#This Row],[Visitor/Neutral]],def_diff_lookup,6,FALSE))</f>
        <v>103.04135601115951</v>
      </c>
      <c r="L444" s="25"/>
      <c r="M444" s="25">
        <f>(Table2[[#This Row],[Away Pace]]/100)*(VLOOKUP(Table2[[#This Row],[Visitor/Neutral]],OFR_lookup,2,FALSE)+VLOOKUP(Table2[[#This Row],[Home/Neutral]],def_diff_lookup,6,FALSE))</f>
        <v>103.46868000000001</v>
      </c>
      <c r="N444" s="25"/>
      <c r="O444" s="25"/>
      <c r="P444">
        <f>VLOOKUP(Table2[[#This Row],[Home/Neutral]],pace_lookup,7,FALSE)</f>
        <v>97.5</v>
      </c>
      <c r="Q444" s="5">
        <f>VLOOKUP(Table2[[#This Row],[Visitor/Neutral]],pace_lookup,7,FALSE)</f>
        <v>94.5</v>
      </c>
      <c r="R444" s="9"/>
      <c r="V444" s="2">
        <f>-home-VLOOKUP(Table2[[#This Row],[Home/Neutral]],rtg_vlookup,4,FALSE)+VLOOKUP(Table2[[#This Row],[Visitor/Neutral]],rtg_vlookup,4,FALSE)</f>
        <v>0.29488151658766881</v>
      </c>
      <c r="W444" s="25"/>
      <c r="X444" s="2"/>
      <c r="Y444" s="2">
        <f>Table2[[#This Row],[Away EV]]-Table2[[#This Row],[Home EV]]</f>
        <v>0.42732398884049871</v>
      </c>
      <c r="Z444" s="33"/>
      <c r="AA444" s="34"/>
      <c r="AB444" s="5" t="b">
        <f>IF(VLOOKUP(Table2[[#This Row],[Home/Neutral]],division_lookup,9,FALSE)=VLOOKUP(Table2[[#This Row],[Visitor/Neutral]],division_lookup,9,FALSE),TRUE,FALSE)</f>
        <v>0</v>
      </c>
      <c r="AC444" s="19" t="str">
        <f>VLOOKUP(Table2[[#This Row],[Home/Neutral]],division_lookup,9,FALSE)</f>
        <v>SE</v>
      </c>
      <c r="AD444" s="19"/>
      <c r="AE444" s="19" t="str">
        <f>IF(Table2[[#This Row],[Total EV ®]]&lt;Table2[[#This Row],[Total (V)]],"UNDER","OVER")</f>
        <v>OVER</v>
      </c>
      <c r="AF444" s="30">
        <f>Table2[[#This Row],[(A) Spread]]-Table2[[#This Row],[Spread (V)]]</f>
        <v>0</v>
      </c>
      <c r="AG444" s="19"/>
      <c r="AH444" s="2">
        <f>Table2[[#This Row],[EV]]-Table2[[#This Row],[Spread (V)]]</f>
        <v>0.42732398884049871</v>
      </c>
      <c r="AI444" s="22">
        <f>Table2[[#This Row],[(A)]]-Table2[[#This Row],[Spread]]</f>
        <v>0.29488151658766881</v>
      </c>
      <c r="AJ444" s="1">
        <f>Table2[[#This Row],[(A) Err]]^2</f>
        <v>8.6955108825043592E-2</v>
      </c>
      <c r="AK444" s="6">
        <f>Table2[[#This Row],[EV]]-Table2[[#This Row],[Spread]]</f>
        <v>0.42732398884049871</v>
      </c>
      <c r="AL444" s="1">
        <f>Table2[[#This Row],[EV Err]]^2</f>
        <v>0.18260579143855468</v>
      </c>
    </row>
    <row r="445" spans="1:38" x14ac:dyDescent="0.25">
      <c r="A445" t="s">
        <v>101</v>
      </c>
      <c r="B445" t="s">
        <v>8</v>
      </c>
      <c r="C445" t="s">
        <v>35</v>
      </c>
      <c r="K445" s="25">
        <f>(Table2[[#This Row],[Home Pace]]/100)*(VLOOKUP(Table2[[#This Row],[Home/Neutral]],home_lookup,8,FALSE)+VLOOKUP(Table2[[#This Row],[Home/Neutral]],OFR_lookup,2,FALSE)+VLOOKUP(Table2[[#This Row],[Visitor/Neutral]],def_diff_lookup,6,FALSE))</f>
        <v>108.2567403689818</v>
      </c>
      <c r="L445" s="25"/>
      <c r="M445" s="25">
        <f>(Table2[[#This Row],[Away Pace]]/100)*(VLOOKUP(Table2[[#This Row],[Visitor/Neutral]],OFR_lookup,2,FALSE)+VLOOKUP(Table2[[#This Row],[Home/Neutral]],def_diff_lookup,6,FALSE))</f>
        <v>103.83588133333335</v>
      </c>
      <c r="N445" s="25"/>
      <c r="O445" s="25"/>
      <c r="P445">
        <f>VLOOKUP(Table2[[#This Row],[Home/Neutral]],pace_lookup,7,FALSE)</f>
        <v>97.2</v>
      </c>
      <c r="Q445" s="5">
        <f>VLOOKUP(Table2[[#This Row],[Visitor/Neutral]],pace_lookup,7,FALSE)</f>
        <v>102.2</v>
      </c>
      <c r="R445" s="9"/>
      <c r="V445" s="2">
        <f>-home-VLOOKUP(Table2[[#This Row],[Home/Neutral]],rtg_vlookup,4,FALSE)+VLOOKUP(Table2[[#This Row],[Visitor/Neutral]],rtg_vlookup,4,FALSE)</f>
        <v>-15.895118483412329</v>
      </c>
      <c r="W445" s="25"/>
      <c r="X445" s="2"/>
      <c r="Y445" s="2">
        <f>Table2[[#This Row],[Away EV]]-Table2[[#This Row],[Home EV]]</f>
        <v>-4.4208590356484478</v>
      </c>
      <c r="Z445" s="33"/>
      <c r="AA445" s="34"/>
      <c r="AB445" s="5" t="b">
        <f>IF(VLOOKUP(Table2[[#This Row],[Home/Neutral]],division_lookup,9,FALSE)=VLOOKUP(Table2[[#This Row],[Visitor/Neutral]],division_lookup,9,FALSE),TRUE,FALSE)</f>
        <v>0</v>
      </c>
      <c r="AC445" s="19" t="str">
        <f>VLOOKUP(Table2[[#This Row],[Home/Neutral]],division_lookup,9,FALSE)</f>
        <v>C</v>
      </c>
      <c r="AD445" s="19"/>
      <c r="AE445" s="19" t="str">
        <f>IF(Table2[[#This Row],[Total EV ®]]&lt;Table2[[#This Row],[Total (V)]],"UNDER","OVER")</f>
        <v>OVER</v>
      </c>
      <c r="AF445" s="30">
        <f>Table2[[#This Row],[(A) Spread]]-Table2[[#This Row],[Spread (V)]]</f>
        <v>0</v>
      </c>
      <c r="AG445" s="19"/>
      <c r="AH445" s="2">
        <f>Table2[[#This Row],[EV]]-Table2[[#This Row],[Spread (V)]]</f>
        <v>-4.4208590356484478</v>
      </c>
      <c r="AI445" s="22">
        <f>Table2[[#This Row],[(A)]]-Table2[[#This Row],[Spread]]</f>
        <v>-15.895118483412329</v>
      </c>
      <c r="AJ445" s="1">
        <f>Table2[[#This Row],[(A) Err]]^2</f>
        <v>252.65479160171625</v>
      </c>
      <c r="AK445" s="6">
        <f>Table2[[#This Row],[EV]]-Table2[[#This Row],[Spread]]</f>
        <v>-4.4208590356484478</v>
      </c>
      <c r="AL445" s="1">
        <f>Table2[[#This Row],[EV Err]]^2</f>
        <v>19.543994613074524</v>
      </c>
    </row>
    <row r="446" spans="1:38" x14ac:dyDescent="0.25">
      <c r="A446" t="s">
        <v>101</v>
      </c>
      <c r="B446" t="s">
        <v>27</v>
      </c>
      <c r="C446" t="s">
        <v>11</v>
      </c>
      <c r="K446" s="25">
        <f>(Table2[[#This Row],[Home Pace]]/100)*(VLOOKUP(Table2[[#This Row],[Home/Neutral]],home_lookup,8,FALSE)+VLOOKUP(Table2[[#This Row],[Home/Neutral]],OFR_lookup,2,FALSE)+VLOOKUP(Table2[[#This Row],[Visitor/Neutral]],def_diff_lookup,6,FALSE))</f>
        <v>96.833256426472573</v>
      </c>
      <c r="L446" s="25"/>
      <c r="M446" s="25">
        <f>(Table2[[#This Row],[Away Pace]]/100)*(VLOOKUP(Table2[[#This Row],[Visitor/Neutral]],OFR_lookup,2,FALSE)+VLOOKUP(Table2[[#This Row],[Home/Neutral]],def_diff_lookup,6,FALSE))</f>
        <v>104.09743466666667</v>
      </c>
      <c r="N446" s="25"/>
      <c r="O446" s="25"/>
      <c r="P446">
        <f>VLOOKUP(Table2[[#This Row],[Home/Neutral]],pace_lookup,7,FALSE)</f>
        <v>99</v>
      </c>
      <c r="Q446" s="5">
        <f>VLOOKUP(Table2[[#This Row],[Visitor/Neutral]],pace_lookup,7,FALSE)</f>
        <v>99.7</v>
      </c>
      <c r="R446" s="9"/>
      <c r="V446" s="2">
        <f>-home-VLOOKUP(Table2[[#This Row],[Home/Neutral]],rtg_vlookup,4,FALSE)+VLOOKUP(Table2[[#This Row],[Visitor/Neutral]],rtg_vlookup,4,FALSE)</f>
        <v>4.1848815165876694</v>
      </c>
      <c r="W446" s="25"/>
      <c r="X446" s="2"/>
      <c r="Y446" s="2">
        <f>Table2[[#This Row],[Away EV]]-Table2[[#This Row],[Home EV]]</f>
        <v>7.2641782401940986</v>
      </c>
      <c r="Z446" s="33"/>
      <c r="AA446" s="34"/>
      <c r="AB446" s="5" t="b">
        <f>IF(VLOOKUP(Table2[[#This Row],[Home/Neutral]],division_lookup,9,FALSE)=VLOOKUP(Table2[[#This Row],[Visitor/Neutral]],division_lookup,9,FALSE),TRUE,FALSE)</f>
        <v>0</v>
      </c>
      <c r="AC446" s="19" t="str">
        <f>VLOOKUP(Table2[[#This Row],[Home/Neutral]],division_lookup,9,FALSE)</f>
        <v>NW</v>
      </c>
      <c r="AD446" s="19"/>
      <c r="AE446" s="19" t="str">
        <f>IF(Table2[[#This Row],[Total EV ®]]&lt;Table2[[#This Row],[Total (V)]],"UNDER","OVER")</f>
        <v>OVER</v>
      </c>
      <c r="AF446" s="30">
        <f>Table2[[#This Row],[(A) Spread]]-Table2[[#This Row],[Spread (V)]]</f>
        <v>0</v>
      </c>
      <c r="AG446" s="19"/>
      <c r="AH446" s="2">
        <f>Table2[[#This Row],[EV]]-Table2[[#This Row],[Spread (V)]]</f>
        <v>7.2641782401940986</v>
      </c>
      <c r="AI446" s="22">
        <f>Table2[[#This Row],[(A)]]-Table2[[#This Row],[Spread]]</f>
        <v>4.1848815165876694</v>
      </c>
      <c r="AJ446" s="1">
        <f>Table2[[#This Row],[(A) Err]]^2</f>
        <v>17.513233307877112</v>
      </c>
      <c r="AK446" s="6">
        <f>Table2[[#This Row],[EV]]-Table2[[#This Row],[Spread]]</f>
        <v>7.2641782401940986</v>
      </c>
      <c r="AL446" s="1">
        <f>Table2[[#This Row],[EV Err]]^2</f>
        <v>52.768285505309429</v>
      </c>
    </row>
    <row r="447" spans="1:38" x14ac:dyDescent="0.25">
      <c r="A447" t="s">
        <v>101</v>
      </c>
      <c r="B447" t="s">
        <v>25</v>
      </c>
      <c r="C447" t="s">
        <v>10</v>
      </c>
      <c r="K447" s="25">
        <f>(Table2[[#This Row],[Home Pace]]/100)*(VLOOKUP(Table2[[#This Row],[Home/Neutral]],home_lookup,8,FALSE)+VLOOKUP(Table2[[#This Row],[Home/Neutral]],OFR_lookup,2,FALSE)+VLOOKUP(Table2[[#This Row],[Visitor/Neutral]],def_diff_lookup,6,FALSE))</f>
        <v>104.75422444427257</v>
      </c>
      <c r="L447" s="25"/>
      <c r="M447" s="25">
        <f>(Table2[[#This Row],[Away Pace]]/100)*(VLOOKUP(Table2[[#This Row],[Visitor/Neutral]],OFR_lookup,2,FALSE)+VLOOKUP(Table2[[#This Row],[Home/Neutral]],def_diff_lookup,6,FALSE))</f>
        <v>113.00867866666667</v>
      </c>
      <c r="N447" s="25"/>
      <c r="O447" s="25"/>
      <c r="P447">
        <f>VLOOKUP(Table2[[#This Row],[Home/Neutral]],pace_lookup,7,FALSE)</f>
        <v>94.4</v>
      </c>
      <c r="Q447" s="5">
        <f>VLOOKUP(Table2[[#This Row],[Visitor/Neutral]],pace_lookup,7,FALSE)</f>
        <v>100.3</v>
      </c>
      <c r="R447" s="9"/>
      <c r="V447" s="2">
        <f>-home-VLOOKUP(Table2[[#This Row],[Home/Neutral]],rtg_vlookup,4,FALSE)+VLOOKUP(Table2[[#This Row],[Visitor/Neutral]],rtg_vlookup,4,FALSE)</f>
        <v>5.7648815165876695</v>
      </c>
      <c r="W447" s="25"/>
      <c r="X447" s="2"/>
      <c r="Y447" s="2">
        <f>Table2[[#This Row],[Away EV]]-Table2[[#This Row],[Home EV]]</f>
        <v>8.2544542223941022</v>
      </c>
      <c r="Z447" s="33"/>
      <c r="AA447" s="34"/>
      <c r="AB447" s="5" t="b">
        <f>IF(VLOOKUP(Table2[[#This Row],[Home/Neutral]],division_lookup,9,FALSE)=VLOOKUP(Table2[[#This Row],[Visitor/Neutral]],division_lookup,9,FALSE),TRUE,FALSE)</f>
        <v>0</v>
      </c>
      <c r="AC447" s="19" t="str">
        <f>VLOOKUP(Table2[[#This Row],[Home/Neutral]],division_lookup,9,FALSE)</f>
        <v>C</v>
      </c>
      <c r="AD447" s="19"/>
      <c r="AE447" s="19" t="str">
        <f>IF(Table2[[#This Row],[Total EV ®]]&lt;Table2[[#This Row],[Total (V)]],"UNDER","OVER")</f>
        <v>OVER</v>
      </c>
      <c r="AF447" s="30">
        <f>Table2[[#This Row],[(A) Spread]]-Table2[[#This Row],[Spread (V)]]</f>
        <v>0</v>
      </c>
      <c r="AG447" s="19"/>
      <c r="AH447" s="2">
        <f>Table2[[#This Row],[EV]]-Table2[[#This Row],[Spread (V)]]</f>
        <v>8.2544542223941022</v>
      </c>
      <c r="AI447" s="22">
        <f>Table2[[#This Row],[(A)]]-Table2[[#This Row],[Spread]]</f>
        <v>5.7648815165876695</v>
      </c>
      <c r="AJ447" s="1">
        <f>Table2[[#This Row],[(A) Err]]^2</f>
        <v>33.233858900294145</v>
      </c>
      <c r="AK447" s="6">
        <f>Table2[[#This Row],[EV]]-Table2[[#This Row],[Spread]]</f>
        <v>8.2544542223941022</v>
      </c>
      <c r="AL447" s="1">
        <f>Table2[[#This Row],[EV Err]]^2</f>
        <v>68.136014509599818</v>
      </c>
    </row>
    <row r="448" spans="1:38" x14ac:dyDescent="0.25">
      <c r="A448" t="s">
        <v>101</v>
      </c>
      <c r="B448" t="s">
        <v>4</v>
      </c>
      <c r="C448" t="s">
        <v>37</v>
      </c>
      <c r="K448" s="25">
        <f>(Table2[[#This Row],[Home Pace]]/100)*(VLOOKUP(Table2[[#This Row],[Home/Neutral]],home_lookup,8,FALSE)+VLOOKUP(Table2[[#This Row],[Home/Neutral]],OFR_lookup,2,FALSE)+VLOOKUP(Table2[[#This Row],[Visitor/Neutral]],def_diff_lookup,6,FALSE))</f>
        <v>99.35478781393445</v>
      </c>
      <c r="L448" s="25"/>
      <c r="M448" s="25">
        <f>(Table2[[#This Row],[Away Pace]]/100)*(VLOOKUP(Table2[[#This Row],[Visitor/Neutral]],OFR_lookup,2,FALSE)+VLOOKUP(Table2[[#This Row],[Home/Neutral]],def_diff_lookup,6,FALSE))</f>
        <v>82.586684000000005</v>
      </c>
      <c r="N448" s="25"/>
      <c r="O448" s="25"/>
      <c r="P448">
        <f>VLOOKUP(Table2[[#This Row],[Home/Neutral]],pace_lookup,7,FALSE)</f>
        <v>96.6</v>
      </c>
      <c r="Q448" s="5">
        <f>VLOOKUP(Table2[[#This Row],[Visitor/Neutral]],pace_lookup,7,FALSE)</f>
        <v>92.1</v>
      </c>
      <c r="R448" s="9"/>
      <c r="V448" s="2">
        <f>-home-VLOOKUP(Table2[[#This Row],[Home/Neutral]],rtg_vlookup,4,FALSE)+VLOOKUP(Table2[[#This Row],[Visitor/Neutral]],rtg_vlookup,4,FALSE)</f>
        <v>-24.845118483412332</v>
      </c>
      <c r="W448" s="25"/>
      <c r="X448" s="2"/>
      <c r="Y448" s="2">
        <f>Table2[[#This Row],[Away EV]]-Table2[[#This Row],[Home EV]]</f>
        <v>-16.768103813934445</v>
      </c>
      <c r="Z448" s="33"/>
      <c r="AA448" s="34"/>
      <c r="AB448" s="5" t="b">
        <f>IF(VLOOKUP(Table2[[#This Row],[Home/Neutral]],division_lookup,9,FALSE)=VLOOKUP(Table2[[#This Row],[Visitor/Neutral]],division_lookup,9,FALSE),TRUE,FALSE)</f>
        <v>0</v>
      </c>
      <c r="AC448" s="19" t="str">
        <f>VLOOKUP(Table2[[#This Row],[Home/Neutral]],division_lookup,9,FALSE)</f>
        <v>P</v>
      </c>
      <c r="AD448" s="19"/>
      <c r="AE448" s="19" t="str">
        <f>IF(Table2[[#This Row],[Total EV ®]]&lt;Table2[[#This Row],[Total (V)]],"UNDER","OVER")</f>
        <v>OVER</v>
      </c>
      <c r="AF448" s="30">
        <f>Table2[[#This Row],[(A) Spread]]-Table2[[#This Row],[Spread (V)]]</f>
        <v>0</v>
      </c>
      <c r="AG448" s="19"/>
      <c r="AH448" s="2">
        <f>Table2[[#This Row],[EV]]-Table2[[#This Row],[Spread (V)]]</f>
        <v>-16.768103813934445</v>
      </c>
      <c r="AI448" s="22">
        <f>Table2[[#This Row],[(A)]]-Table2[[#This Row],[Spread]]</f>
        <v>-24.845118483412332</v>
      </c>
      <c r="AJ448" s="1">
        <f>Table2[[#This Row],[(A) Err]]^2</f>
        <v>617.27991245479711</v>
      </c>
      <c r="AK448" s="6">
        <f>Table2[[#This Row],[EV]]-Table2[[#This Row],[Spread]]</f>
        <v>-16.768103813934445</v>
      </c>
      <c r="AL448" s="1">
        <f>Table2[[#This Row],[EV Err]]^2</f>
        <v>281.16930551488286</v>
      </c>
    </row>
    <row r="449" spans="1:38" x14ac:dyDescent="0.25">
      <c r="A449" t="s">
        <v>101</v>
      </c>
      <c r="B449" t="s">
        <v>23</v>
      </c>
      <c r="C449" t="s">
        <v>17</v>
      </c>
      <c r="K449" s="25">
        <f>(Table2[[#This Row],[Home Pace]]/100)*(VLOOKUP(Table2[[#This Row],[Home/Neutral]],home_lookup,8,FALSE)+VLOOKUP(Table2[[#This Row],[Home/Neutral]],OFR_lookup,2,FALSE)+VLOOKUP(Table2[[#This Row],[Visitor/Neutral]],def_diff_lookup,6,FALSE))</f>
        <v>104.9683873587136</v>
      </c>
      <c r="L449" s="25"/>
      <c r="M449" s="25">
        <f>(Table2[[#This Row],[Away Pace]]/100)*(VLOOKUP(Table2[[#This Row],[Visitor/Neutral]],OFR_lookup,2,FALSE)+VLOOKUP(Table2[[#This Row],[Home/Neutral]],def_diff_lookup,6,FALSE))</f>
        <v>105.83879466666669</v>
      </c>
      <c r="N449" s="25"/>
      <c r="O449" s="25"/>
      <c r="P449">
        <f>VLOOKUP(Table2[[#This Row],[Home/Neutral]],pace_lookup,7,FALSE)</f>
        <v>92.5</v>
      </c>
      <c r="Q449" s="5">
        <f>VLOOKUP(Table2[[#This Row],[Visitor/Neutral]],pace_lookup,7,FALSE)</f>
        <v>96.7</v>
      </c>
      <c r="R449" s="9"/>
      <c r="V449" s="2">
        <f>-home-VLOOKUP(Table2[[#This Row],[Home/Neutral]],rtg_vlookup,4,FALSE)+VLOOKUP(Table2[[#This Row],[Visitor/Neutral]],rtg_vlookup,4,FALSE)</f>
        <v>-0.8851184834123309</v>
      </c>
      <c r="W449" s="25"/>
      <c r="X449" s="2"/>
      <c r="Y449" s="2">
        <f>Table2[[#This Row],[Away EV]]-Table2[[#This Row],[Home EV]]</f>
        <v>0.87040730795308718</v>
      </c>
      <c r="Z449" s="33"/>
      <c r="AA449" s="34"/>
      <c r="AB449" s="5" t="b">
        <f>IF(VLOOKUP(Table2[[#This Row],[Home/Neutral]],division_lookup,9,FALSE)=VLOOKUP(Table2[[#This Row],[Visitor/Neutral]],division_lookup,9,FALSE),TRUE,FALSE)</f>
        <v>1</v>
      </c>
      <c r="AC449" s="19" t="str">
        <f>VLOOKUP(Table2[[#This Row],[Home/Neutral]],division_lookup,9,FALSE)</f>
        <v>SW</v>
      </c>
      <c r="AD449" s="19"/>
      <c r="AE449" s="19" t="str">
        <f>IF(Table2[[#This Row],[Total EV ®]]&lt;Table2[[#This Row],[Total (V)]],"UNDER","OVER")</f>
        <v>OVER</v>
      </c>
      <c r="AF449" s="30">
        <f>Table2[[#This Row],[(A) Spread]]-Table2[[#This Row],[Spread (V)]]</f>
        <v>0</v>
      </c>
      <c r="AG449" s="19"/>
      <c r="AH449" s="2">
        <f>Table2[[#This Row],[EV]]-Table2[[#This Row],[Spread (V)]]</f>
        <v>0.87040730795308718</v>
      </c>
      <c r="AI449" s="22">
        <f>Table2[[#This Row],[(A)]]-Table2[[#This Row],[Spread]]</f>
        <v>-0.8851184834123309</v>
      </c>
      <c r="AJ449" s="1">
        <f>Table2[[#This Row],[(A) Err]]^2</f>
        <v>0.78343472967814465</v>
      </c>
      <c r="AK449" s="6">
        <f>Table2[[#This Row],[EV]]-Table2[[#This Row],[Spread]]</f>
        <v>0.87040730795308718</v>
      </c>
      <c r="AL449" s="1">
        <f>Table2[[#This Row],[EV Err]]^2</f>
        <v>0.75760888173814034</v>
      </c>
    </row>
    <row r="450" spans="1:38" x14ac:dyDescent="0.25">
      <c r="A450" t="s">
        <v>101</v>
      </c>
      <c r="B450" t="s">
        <v>30</v>
      </c>
      <c r="C450" t="s">
        <v>28</v>
      </c>
      <c r="K450" s="25">
        <f>(Table2[[#This Row],[Home Pace]]/100)*(VLOOKUP(Table2[[#This Row],[Home/Neutral]],home_lookup,8,FALSE)+VLOOKUP(Table2[[#This Row],[Home/Neutral]],OFR_lookup,2,FALSE)+VLOOKUP(Table2[[#This Row],[Visitor/Neutral]],def_diff_lookup,6,FALSE))</f>
        <v>110.99696034993644</v>
      </c>
      <c r="L450" s="25"/>
      <c r="M450" s="25">
        <f>(Table2[[#This Row],[Away Pace]]/100)*(VLOOKUP(Table2[[#This Row],[Visitor/Neutral]],OFR_lookup,2,FALSE)+VLOOKUP(Table2[[#This Row],[Home/Neutral]],def_diff_lookup,6,FALSE))</f>
        <v>105.26617200000001</v>
      </c>
      <c r="N450" s="25"/>
      <c r="O450" s="25"/>
      <c r="P450">
        <f>VLOOKUP(Table2[[#This Row],[Home/Neutral]],pace_lookup,7,FALSE)</f>
        <v>96.8</v>
      </c>
      <c r="Q450" s="5">
        <f>VLOOKUP(Table2[[#This Row],[Visitor/Neutral]],pace_lookup,7,FALSE)</f>
        <v>96.3</v>
      </c>
      <c r="R450" s="9"/>
      <c r="V450" s="2">
        <f>-home-VLOOKUP(Table2[[#This Row],[Home/Neutral]],rtg_vlookup,4,FALSE)+VLOOKUP(Table2[[#This Row],[Visitor/Neutral]],rtg_vlookup,4,FALSE)</f>
        <v>-2.1251184834123311</v>
      </c>
      <c r="W450" s="25"/>
      <c r="X450" s="2"/>
      <c r="Y450" s="2">
        <f>Table2[[#This Row],[Away EV]]-Table2[[#This Row],[Home EV]]</f>
        <v>-5.7307883499364323</v>
      </c>
      <c r="Z450" s="33"/>
      <c r="AA450" s="34"/>
      <c r="AB450" s="5" t="b">
        <f>IF(VLOOKUP(Table2[[#This Row],[Home/Neutral]],division_lookup,9,FALSE)=VLOOKUP(Table2[[#This Row],[Visitor/Neutral]],division_lookup,9,FALSE),TRUE,FALSE)</f>
        <v>0</v>
      </c>
      <c r="AC450" s="19" t="str">
        <f>VLOOKUP(Table2[[#This Row],[Home/Neutral]],division_lookup,9,FALSE)</f>
        <v>C</v>
      </c>
      <c r="AD450" s="19"/>
      <c r="AE450" s="19" t="str">
        <f>IF(Table2[[#This Row],[Total EV ®]]&lt;Table2[[#This Row],[Total (V)]],"UNDER","OVER")</f>
        <v>OVER</v>
      </c>
      <c r="AF450" s="30">
        <f>Table2[[#This Row],[(A) Spread]]-Table2[[#This Row],[Spread (V)]]</f>
        <v>0</v>
      </c>
      <c r="AG450" s="19"/>
      <c r="AH450" s="2">
        <f>Table2[[#This Row],[EV]]-Table2[[#This Row],[Spread (V)]]</f>
        <v>-5.7307883499364323</v>
      </c>
      <c r="AI450" s="22">
        <f>Table2[[#This Row],[(A)]]-Table2[[#This Row],[Spread]]</f>
        <v>-2.1251184834123311</v>
      </c>
      <c r="AJ450" s="1">
        <f>Table2[[#This Row],[(A) Err]]^2</f>
        <v>4.5161285685407266</v>
      </c>
      <c r="AK450" s="6">
        <f>Table2[[#This Row],[EV]]-Table2[[#This Row],[Spread]]</f>
        <v>-5.7307883499364323</v>
      </c>
      <c r="AL450" s="1">
        <f>Table2[[#This Row],[EV Err]]^2</f>
        <v>32.841935111767135</v>
      </c>
    </row>
    <row r="451" spans="1:38" x14ac:dyDescent="0.25">
      <c r="A451" t="s">
        <v>101</v>
      </c>
      <c r="B451" t="s">
        <v>22</v>
      </c>
      <c r="C451" t="s">
        <v>29</v>
      </c>
      <c r="K451" s="25">
        <f>(Table2[[#This Row],[Home Pace]]/100)*(VLOOKUP(Table2[[#This Row],[Home/Neutral]],home_lookup,8,FALSE)+VLOOKUP(Table2[[#This Row],[Home/Neutral]],OFR_lookup,2,FALSE)+VLOOKUP(Table2[[#This Row],[Visitor/Neutral]],def_diff_lookup,6,FALSE))</f>
        <v>114.06944922968975</v>
      </c>
      <c r="L451" s="25"/>
      <c r="M451" s="25">
        <f>(Table2[[#This Row],[Away Pace]]/100)*(VLOOKUP(Table2[[#This Row],[Visitor/Neutral]],OFR_lookup,2,FALSE)+VLOOKUP(Table2[[#This Row],[Home/Neutral]],def_diff_lookup,6,FALSE))</f>
        <v>104.47506533333335</v>
      </c>
      <c r="N451" s="25"/>
      <c r="O451" s="25"/>
      <c r="P451">
        <f>VLOOKUP(Table2[[#This Row],[Home/Neutral]],pace_lookup,7,FALSE)</f>
        <v>94.7</v>
      </c>
      <c r="Q451" s="5">
        <f>VLOOKUP(Table2[[#This Row],[Visitor/Neutral]],pace_lookup,7,FALSE)</f>
        <v>93.8</v>
      </c>
      <c r="R451" s="9"/>
      <c r="V451" s="2">
        <f>-home-VLOOKUP(Table2[[#This Row],[Home/Neutral]],rtg_vlookup,4,FALSE)+VLOOKUP(Table2[[#This Row],[Visitor/Neutral]],rtg_vlookup,4,FALSE)</f>
        <v>-5.9251184834123309</v>
      </c>
      <c r="W451" s="25"/>
      <c r="X451" s="2"/>
      <c r="Y451" s="2">
        <f>Table2[[#This Row],[Away EV]]-Table2[[#This Row],[Home EV]]</f>
        <v>-9.5943838963564048</v>
      </c>
      <c r="Z451" s="33"/>
      <c r="AA451" s="34"/>
      <c r="AB451" s="5" t="b">
        <f>IF(VLOOKUP(Table2[[#This Row],[Home/Neutral]],division_lookup,9,FALSE)=VLOOKUP(Table2[[#This Row],[Visitor/Neutral]],division_lookup,9,FALSE),TRUE,FALSE)</f>
        <v>0</v>
      </c>
      <c r="AC451" s="19" t="str">
        <f>VLOOKUP(Table2[[#This Row],[Home/Neutral]],division_lookup,9,FALSE)</f>
        <v>NW</v>
      </c>
      <c r="AD451" s="19"/>
      <c r="AE451" s="19" t="str">
        <f>IF(Table2[[#This Row],[Total EV ®]]&lt;Table2[[#This Row],[Total (V)]],"UNDER","OVER")</f>
        <v>OVER</v>
      </c>
      <c r="AF451" s="30">
        <f>Table2[[#This Row],[(A) Spread]]-Table2[[#This Row],[Spread (V)]]</f>
        <v>0</v>
      </c>
      <c r="AG451" s="19"/>
      <c r="AH451" s="2">
        <f>Table2[[#This Row],[EV]]-Table2[[#This Row],[Spread (V)]]</f>
        <v>-9.5943838963564048</v>
      </c>
      <c r="AI451" s="22">
        <f>Table2[[#This Row],[(A)]]-Table2[[#This Row],[Spread]]</f>
        <v>-5.9251184834123309</v>
      </c>
      <c r="AJ451" s="1">
        <f>Table2[[#This Row],[(A) Err]]^2</f>
        <v>35.107029042474437</v>
      </c>
      <c r="AK451" s="6">
        <f>Table2[[#This Row],[EV]]-Table2[[#This Row],[Spread]]</f>
        <v>-9.5943838963564048</v>
      </c>
      <c r="AL451" s="1">
        <f>Table2[[#This Row],[EV Err]]^2</f>
        <v>92.052202350663109</v>
      </c>
    </row>
    <row r="452" spans="1:38" x14ac:dyDescent="0.25">
      <c r="A452" t="s">
        <v>101</v>
      </c>
      <c r="B452" t="s">
        <v>34</v>
      </c>
      <c r="C452" t="s">
        <v>21</v>
      </c>
      <c r="K452" s="25">
        <f>(Table2[[#This Row],[Home Pace]]/100)*(VLOOKUP(Table2[[#This Row],[Home/Neutral]],home_lookup,8,FALSE)+VLOOKUP(Table2[[#This Row],[Home/Neutral]],OFR_lookup,2,FALSE)+VLOOKUP(Table2[[#This Row],[Visitor/Neutral]],def_diff_lookup,6,FALSE))</f>
        <v>101.17291864565556</v>
      </c>
      <c r="L452" s="25"/>
      <c r="M452" s="25">
        <f>(Table2[[#This Row],[Away Pace]]/100)*(VLOOKUP(Table2[[#This Row],[Visitor/Neutral]],OFR_lookup,2,FALSE)+VLOOKUP(Table2[[#This Row],[Home/Neutral]],def_diff_lookup,6,FALSE))</f>
        <v>96.273028000000011</v>
      </c>
      <c r="N452" s="25"/>
      <c r="O452" s="25"/>
      <c r="P452">
        <f>VLOOKUP(Table2[[#This Row],[Home/Neutral]],pace_lookup,7,FALSE)</f>
        <v>98.8</v>
      </c>
      <c r="Q452" s="5">
        <f>VLOOKUP(Table2[[#This Row],[Visitor/Neutral]],pace_lookup,7,FALSE)</f>
        <v>94.2</v>
      </c>
      <c r="R452" s="9"/>
      <c r="V452" s="2">
        <f>-home-VLOOKUP(Table2[[#This Row],[Home/Neutral]],rtg_vlookup,4,FALSE)+VLOOKUP(Table2[[#This Row],[Visitor/Neutral]],rtg_vlookup,4,FALSE)</f>
        <v>2.2148815165876696</v>
      </c>
      <c r="W452" s="25"/>
      <c r="X452" s="2"/>
      <c r="Y452" s="2">
        <f>Table2[[#This Row],[Away EV]]-Table2[[#This Row],[Home EV]]</f>
        <v>-4.899890645655546</v>
      </c>
      <c r="Z452" s="33"/>
      <c r="AA452" s="34"/>
      <c r="AB452" s="5" t="b">
        <f>IF(VLOOKUP(Table2[[#This Row],[Home/Neutral]],division_lookup,9,FALSE)=VLOOKUP(Table2[[#This Row],[Visitor/Neutral]],division_lookup,9,FALSE),TRUE,FALSE)</f>
        <v>0</v>
      </c>
      <c r="AC452" s="19" t="str">
        <f>VLOOKUP(Table2[[#This Row],[Home/Neutral]],division_lookup,9,FALSE)</f>
        <v>SW</v>
      </c>
      <c r="AD452" s="19"/>
      <c r="AE452" s="19" t="str">
        <f>IF(Table2[[#This Row],[Total EV ®]]&lt;Table2[[#This Row],[Total (V)]],"UNDER","OVER")</f>
        <v>OVER</v>
      </c>
      <c r="AF452" s="30">
        <f>Table2[[#This Row],[(A) Spread]]-Table2[[#This Row],[Spread (V)]]</f>
        <v>0</v>
      </c>
      <c r="AG452" s="19"/>
      <c r="AH452" s="2">
        <f>Table2[[#This Row],[EV]]-Table2[[#This Row],[Spread (V)]]</f>
        <v>-4.899890645655546</v>
      </c>
      <c r="AI452" s="22">
        <f>Table2[[#This Row],[(A)]]-Table2[[#This Row],[Spread]]</f>
        <v>2.2148815165876696</v>
      </c>
      <c r="AJ452" s="1">
        <f>Table2[[#This Row],[(A) Err]]^2</f>
        <v>4.9057001325216953</v>
      </c>
      <c r="AK452" s="6">
        <f>Table2[[#This Row],[EV]]-Table2[[#This Row],[Spread]]</f>
        <v>-4.899890645655546</v>
      </c>
      <c r="AL452" s="1">
        <f>Table2[[#This Row],[EV Err]]^2</f>
        <v>24.008928339382724</v>
      </c>
    </row>
    <row r="453" spans="1:38" x14ac:dyDescent="0.25">
      <c r="A453" t="s">
        <v>101</v>
      </c>
      <c r="B453" t="s">
        <v>38</v>
      </c>
      <c r="C453" t="s">
        <v>24</v>
      </c>
      <c r="K453" s="25">
        <f>(Table2[[#This Row],[Home Pace]]/100)*(VLOOKUP(Table2[[#This Row],[Home/Neutral]],home_lookup,8,FALSE)+VLOOKUP(Table2[[#This Row],[Home/Neutral]],OFR_lookup,2,FALSE)+VLOOKUP(Table2[[#This Row],[Visitor/Neutral]],def_diff_lookup,6,FALSE))</f>
        <v>109.72695167891479</v>
      </c>
      <c r="L453" s="25"/>
      <c r="M453" s="25">
        <f>(Table2[[#This Row],[Away Pace]]/100)*(VLOOKUP(Table2[[#This Row],[Visitor/Neutral]],OFR_lookup,2,FALSE)+VLOOKUP(Table2[[#This Row],[Home/Neutral]],def_diff_lookup,6,FALSE))</f>
        <v>111.52902600000002</v>
      </c>
      <c r="N453" s="25"/>
      <c r="O453" s="25"/>
      <c r="P453">
        <f>VLOOKUP(Table2[[#This Row],[Home/Neutral]],pace_lookup,7,FALSE)</f>
        <v>94.2</v>
      </c>
      <c r="Q453" s="5">
        <f>VLOOKUP(Table2[[#This Row],[Visitor/Neutral]],pace_lookup,7,FALSE)</f>
        <v>99.9</v>
      </c>
      <c r="R453" s="9"/>
      <c r="V453" s="2">
        <f>-home-VLOOKUP(Table2[[#This Row],[Home/Neutral]],rtg_vlookup,4,FALSE)+VLOOKUP(Table2[[#This Row],[Visitor/Neutral]],rtg_vlookup,4,FALSE)</f>
        <v>6.2248815165876685</v>
      </c>
      <c r="W453" s="25"/>
      <c r="X453" s="2"/>
      <c r="Y453" s="2">
        <f>Table2[[#This Row],[Away EV]]-Table2[[#This Row],[Home EV]]</f>
        <v>1.8020743210852288</v>
      </c>
      <c r="Z453" s="33"/>
      <c r="AA453" s="34"/>
      <c r="AB453" s="5" t="b">
        <f>IF(VLOOKUP(Table2[[#This Row],[Home/Neutral]],division_lookup,9,FALSE)=VLOOKUP(Table2[[#This Row],[Visitor/Neutral]],division_lookup,9,FALSE),TRUE,FALSE)</f>
        <v>0</v>
      </c>
      <c r="AC453" s="19" t="str">
        <f>VLOOKUP(Table2[[#This Row],[Home/Neutral]],division_lookup,9,FALSE)</f>
        <v>SE</v>
      </c>
      <c r="AD453" s="19"/>
      <c r="AE453" s="19" t="str">
        <f>IF(Table2[[#This Row],[Total EV ®]]&lt;Table2[[#This Row],[Total (V)]],"UNDER","OVER")</f>
        <v>OVER</v>
      </c>
      <c r="AF453" s="30">
        <f>Table2[[#This Row],[(A) Spread]]-Table2[[#This Row],[Spread (V)]]</f>
        <v>0</v>
      </c>
      <c r="AG453" s="19"/>
      <c r="AH453" s="2">
        <f>Table2[[#This Row],[EV]]-Table2[[#This Row],[Spread (V)]]</f>
        <v>1.8020743210852288</v>
      </c>
      <c r="AI453" s="22">
        <f>Table2[[#This Row],[(A)]]-Table2[[#This Row],[Spread]]</f>
        <v>6.2248815165876685</v>
      </c>
      <c r="AJ453" s="1">
        <f>Table2[[#This Row],[(A) Err]]^2</f>
        <v>38.749149895554794</v>
      </c>
      <c r="AK453" s="6">
        <f>Table2[[#This Row],[EV]]-Table2[[#This Row],[Spread]]</f>
        <v>1.8020743210852288</v>
      </c>
      <c r="AL453" s="1">
        <f>Table2[[#This Row],[EV Err]]^2</f>
        <v>3.2474718587147882</v>
      </c>
    </row>
    <row r="454" spans="1:38" x14ac:dyDescent="0.25">
      <c r="A454" t="s">
        <v>101</v>
      </c>
      <c r="B454" t="s">
        <v>36</v>
      </c>
      <c r="C454" t="s">
        <v>39</v>
      </c>
      <c r="K454" s="25">
        <f>(Table2[[#This Row],[Home Pace]]/100)*(VLOOKUP(Table2[[#This Row],[Home/Neutral]],home_lookup,8,FALSE)+VLOOKUP(Table2[[#This Row],[Home/Neutral]],OFR_lookup,2,FALSE)+VLOOKUP(Table2[[#This Row],[Visitor/Neutral]],def_diff_lookup,6,FALSE))</f>
        <v>110.56883156604043</v>
      </c>
      <c r="L454" s="25"/>
      <c r="M454" s="25">
        <f>(Table2[[#This Row],[Away Pace]]/100)*(VLOOKUP(Table2[[#This Row],[Visitor/Neutral]],OFR_lookup,2,FALSE)+VLOOKUP(Table2[[#This Row],[Home/Neutral]],def_diff_lookup,6,FALSE))</f>
        <v>100.3379</v>
      </c>
      <c r="N454" s="25"/>
      <c r="O454" s="25"/>
      <c r="P454">
        <f>VLOOKUP(Table2[[#This Row],[Home/Neutral]],pace_lookup,7,FALSE)</f>
        <v>102.2</v>
      </c>
      <c r="Q454" s="5">
        <f>VLOOKUP(Table2[[#This Row],[Visitor/Neutral]],pace_lookup,7,FALSE)</f>
        <v>97.5</v>
      </c>
      <c r="R454" s="9"/>
      <c r="V454" s="2">
        <f>-home-VLOOKUP(Table2[[#This Row],[Home/Neutral]],rtg_vlookup,4,FALSE)+VLOOKUP(Table2[[#This Row],[Visitor/Neutral]],rtg_vlookup,4,FALSE)</f>
        <v>-5.7951184834123302</v>
      </c>
      <c r="W454" s="25"/>
      <c r="X454" s="2"/>
      <c r="Y454" s="2">
        <f>Table2[[#This Row],[Away EV]]-Table2[[#This Row],[Home EV]]</f>
        <v>-10.230931566040425</v>
      </c>
      <c r="Z454" s="33"/>
      <c r="AA454" s="34"/>
      <c r="AB454" s="5" t="b">
        <f>IF(VLOOKUP(Table2[[#This Row],[Home/Neutral]],division_lookup,9,FALSE)=VLOOKUP(Table2[[#This Row],[Visitor/Neutral]],division_lookup,9,FALSE),TRUE,FALSE)</f>
        <v>0</v>
      </c>
      <c r="AC454" s="19" t="str">
        <f>VLOOKUP(Table2[[#This Row],[Home/Neutral]],division_lookup,9,FALSE)</f>
        <v>P</v>
      </c>
      <c r="AD454" s="19"/>
      <c r="AE454" s="19" t="str">
        <f>IF(Table2[[#This Row],[Total EV ®]]&lt;Table2[[#This Row],[Total (V)]],"UNDER","OVER")</f>
        <v>OVER</v>
      </c>
      <c r="AF454" s="30">
        <f>Table2[[#This Row],[(A) Spread]]-Table2[[#This Row],[Spread (V)]]</f>
        <v>0</v>
      </c>
      <c r="AG454" s="19"/>
      <c r="AH454" s="2">
        <f>Table2[[#This Row],[EV]]-Table2[[#This Row],[Spread (V)]]</f>
        <v>-10.230931566040425</v>
      </c>
      <c r="AI454" s="22">
        <f>Table2[[#This Row],[(A)]]-Table2[[#This Row],[Spread]]</f>
        <v>-5.7951184834123302</v>
      </c>
      <c r="AJ454" s="1">
        <f>Table2[[#This Row],[(A) Err]]^2</f>
        <v>33.583398236787225</v>
      </c>
      <c r="AK454" s="6">
        <f>Table2[[#This Row],[EV]]-Table2[[#This Row],[Spread]]</f>
        <v>-10.230931566040425</v>
      </c>
      <c r="AL454" s="1">
        <f>Table2[[#This Row],[EV Err]]^2</f>
        <v>104.67196070900239</v>
      </c>
    </row>
    <row r="455" spans="1:38" x14ac:dyDescent="0.25">
      <c r="A455" t="s">
        <v>101</v>
      </c>
      <c r="B455" t="s">
        <v>32</v>
      </c>
      <c r="C455" t="s">
        <v>6</v>
      </c>
      <c r="K455" s="25">
        <f>(Table2[[#This Row],[Home Pace]]/100)*(VLOOKUP(Table2[[#This Row],[Home/Neutral]],home_lookup,8,FALSE)+VLOOKUP(Table2[[#This Row],[Home/Neutral]],OFR_lookup,2,FALSE)+VLOOKUP(Table2[[#This Row],[Visitor/Neutral]],def_diff_lookup,6,FALSE))</f>
        <v>106.9504511200184</v>
      </c>
      <c r="L455" s="25"/>
      <c r="M455" s="25">
        <f>(Table2[[#This Row],[Away Pace]]/100)*(VLOOKUP(Table2[[#This Row],[Visitor/Neutral]],OFR_lookup,2,FALSE)+VLOOKUP(Table2[[#This Row],[Home/Neutral]],def_diff_lookup,6,FALSE))</f>
        <v>108.06179066666667</v>
      </c>
      <c r="N455" s="25"/>
      <c r="O455" s="25"/>
      <c r="P455">
        <f>VLOOKUP(Table2[[#This Row],[Home/Neutral]],pace_lookup,7,FALSE)</f>
        <v>98.6</v>
      </c>
      <c r="Q455" s="5">
        <f>VLOOKUP(Table2[[#This Row],[Visitor/Neutral]],pace_lookup,7,FALSE)</f>
        <v>93.1</v>
      </c>
      <c r="R455" s="9"/>
      <c r="V455" s="2">
        <f>-home-VLOOKUP(Table2[[#This Row],[Home/Neutral]],rtg_vlookup,4,FALSE)+VLOOKUP(Table2[[#This Row],[Visitor/Neutral]],rtg_vlookup,4,FALSE)</f>
        <v>7.1548815165876691</v>
      </c>
      <c r="W455" s="25"/>
      <c r="X455" s="2"/>
      <c r="Y455" s="2">
        <f>Table2[[#This Row],[Away EV]]-Table2[[#This Row],[Home EV]]</f>
        <v>1.1113395466482672</v>
      </c>
      <c r="Z455" s="33"/>
      <c r="AA455" s="34"/>
      <c r="AB455" s="5" t="b">
        <f>IF(VLOOKUP(Table2[[#This Row],[Home/Neutral]],division_lookup,9,FALSE)=VLOOKUP(Table2[[#This Row],[Visitor/Neutral]],division_lookup,9,FALSE),TRUE,FALSE)</f>
        <v>0</v>
      </c>
      <c r="AC455" s="19" t="str">
        <f>VLOOKUP(Table2[[#This Row],[Home/Neutral]],division_lookup,9,FALSE)</f>
        <v>NW</v>
      </c>
      <c r="AD455" s="19"/>
      <c r="AE455" s="19" t="str">
        <f>IF(Table2[[#This Row],[Total EV ®]]&lt;Table2[[#This Row],[Total (V)]],"UNDER","OVER")</f>
        <v>OVER</v>
      </c>
      <c r="AF455" s="30">
        <f>Table2[[#This Row],[(A) Spread]]-Table2[[#This Row],[Spread (V)]]</f>
        <v>0</v>
      </c>
      <c r="AG455" s="19"/>
      <c r="AH455" s="2">
        <f>Table2[[#This Row],[EV]]-Table2[[#This Row],[Spread (V)]]</f>
        <v>1.1113395466482672</v>
      </c>
      <c r="AI455" s="22">
        <f>Table2[[#This Row],[(A)]]-Table2[[#This Row],[Spread]]</f>
        <v>7.1548815165876691</v>
      </c>
      <c r="AJ455" s="1">
        <f>Table2[[#This Row],[(A) Err]]^2</f>
        <v>51.192329516407867</v>
      </c>
      <c r="AK455" s="6">
        <f>Table2[[#This Row],[EV]]-Table2[[#This Row],[Spread]]</f>
        <v>1.1113395466482672</v>
      </c>
      <c r="AL455" s="1">
        <f>Table2[[#This Row],[EV Err]]^2</f>
        <v>1.235075587944376</v>
      </c>
    </row>
    <row r="456" spans="1:38" x14ac:dyDescent="0.25">
      <c r="A456" t="s">
        <v>101</v>
      </c>
      <c r="B456" t="s">
        <v>20</v>
      </c>
      <c r="C456" t="s">
        <v>14</v>
      </c>
      <c r="K456" s="25">
        <f>(Table2[[#This Row],[Home Pace]]/100)*(VLOOKUP(Table2[[#This Row],[Home/Neutral]],home_lookup,8,FALSE)+VLOOKUP(Table2[[#This Row],[Home/Neutral]],OFR_lookup,2,FALSE)+VLOOKUP(Table2[[#This Row],[Visitor/Neutral]],def_diff_lookup,6,FALSE))</f>
        <v>105.62861528915178</v>
      </c>
      <c r="L456" s="25"/>
      <c r="M456" s="25">
        <f>(Table2[[#This Row],[Away Pace]]/100)*(VLOOKUP(Table2[[#This Row],[Visitor/Neutral]],OFR_lookup,2,FALSE)+VLOOKUP(Table2[[#This Row],[Home/Neutral]],def_diff_lookup,6,FALSE))</f>
        <v>107.14011933333336</v>
      </c>
      <c r="N456" s="25"/>
      <c r="O456" s="25"/>
      <c r="P456">
        <f>VLOOKUP(Table2[[#This Row],[Home/Neutral]],pace_lookup,7,FALSE)</f>
        <v>90.9</v>
      </c>
      <c r="Q456" s="5">
        <f>VLOOKUP(Table2[[#This Row],[Visitor/Neutral]],pace_lookup,7,FALSE)</f>
        <v>95.9</v>
      </c>
      <c r="R456" s="9"/>
      <c r="V456" s="2">
        <f>-home-VLOOKUP(Table2[[#This Row],[Home/Neutral]],rtg_vlookup,4,FALSE)+VLOOKUP(Table2[[#This Row],[Visitor/Neutral]],rtg_vlookup,4,FALSE)</f>
        <v>0.50488151658766878</v>
      </c>
      <c r="W456" s="25"/>
      <c r="X456" s="2"/>
      <c r="Y456" s="2">
        <f>Table2[[#This Row],[Away EV]]-Table2[[#This Row],[Home EV]]</f>
        <v>1.5115040441815779</v>
      </c>
      <c r="Z456" s="33"/>
      <c r="AA456" s="34"/>
      <c r="AB456" s="5" t="b">
        <f>IF(VLOOKUP(Table2[[#This Row],[Home/Neutral]],division_lookup,9,FALSE)=VLOOKUP(Table2[[#This Row],[Visitor/Neutral]],division_lookup,9,FALSE),TRUE,FALSE)</f>
        <v>0</v>
      </c>
      <c r="AC456" s="19" t="str">
        <f>VLOOKUP(Table2[[#This Row],[Home/Neutral]],division_lookup,9,FALSE)</f>
        <v>NW</v>
      </c>
      <c r="AD456" s="19"/>
      <c r="AE456" s="19" t="str">
        <f>IF(Table2[[#This Row],[Total EV ®]]&lt;Table2[[#This Row],[Total (V)]],"UNDER","OVER")</f>
        <v>OVER</v>
      </c>
      <c r="AF456" s="30">
        <f>Table2[[#This Row],[(A) Spread]]-Table2[[#This Row],[Spread (V)]]</f>
        <v>0</v>
      </c>
      <c r="AG456" s="19"/>
      <c r="AH456" s="2">
        <f>Table2[[#This Row],[EV]]-Table2[[#This Row],[Spread (V)]]</f>
        <v>1.5115040441815779</v>
      </c>
      <c r="AI456" s="22">
        <f>Table2[[#This Row],[(A)]]-Table2[[#This Row],[Spread]]</f>
        <v>0.50488151658766878</v>
      </c>
      <c r="AJ456" s="1">
        <f>Table2[[#This Row],[(A) Err]]^2</f>
        <v>0.25490534579186447</v>
      </c>
      <c r="AK456" s="6">
        <f>Table2[[#This Row],[EV]]-Table2[[#This Row],[Spread]]</f>
        <v>1.5115040441815779</v>
      </c>
      <c r="AL456" s="1">
        <f>Table2[[#This Row],[EV Err]]^2</f>
        <v>2.2846444755772652</v>
      </c>
    </row>
    <row r="457" spans="1:38" x14ac:dyDescent="0.25">
      <c r="A457" t="s">
        <v>102</v>
      </c>
      <c r="B457" t="s">
        <v>8</v>
      </c>
      <c r="C457" t="s">
        <v>10</v>
      </c>
      <c r="K457" s="25">
        <f>(Table2[[#This Row],[Home Pace]]/100)*(VLOOKUP(Table2[[#This Row],[Home/Neutral]],home_lookup,8,FALSE)+VLOOKUP(Table2[[#This Row],[Home/Neutral]],OFR_lookup,2,FALSE)+VLOOKUP(Table2[[#This Row],[Visitor/Neutral]],def_diff_lookup,6,FALSE))</f>
        <v>106.31274036898179</v>
      </c>
      <c r="L457" s="25"/>
      <c r="M457" s="25">
        <f>(Table2[[#This Row],[Away Pace]]/100)*(VLOOKUP(Table2[[#This Row],[Visitor/Neutral]],OFR_lookup,2,FALSE)+VLOOKUP(Table2[[#This Row],[Home/Neutral]],def_diff_lookup,6,FALSE))</f>
        <v>114.73383866666666</v>
      </c>
      <c r="N457" s="25"/>
      <c r="O457" s="25"/>
      <c r="P457">
        <f>VLOOKUP(Table2[[#This Row],[Home/Neutral]],pace_lookup,7,FALSE)</f>
        <v>97.2</v>
      </c>
      <c r="Q457" s="5">
        <f>VLOOKUP(Table2[[#This Row],[Visitor/Neutral]],pace_lookup,7,FALSE)</f>
        <v>100.3</v>
      </c>
      <c r="R457" s="9"/>
      <c r="V457" s="2">
        <f>-home-VLOOKUP(Table2[[#This Row],[Home/Neutral]],rtg_vlookup,4,FALSE)+VLOOKUP(Table2[[#This Row],[Visitor/Neutral]],rtg_vlookup,4,FALSE)</f>
        <v>-1.1051184834123298</v>
      </c>
      <c r="W457" s="25"/>
      <c r="X457" s="2"/>
      <c r="Y457" s="2">
        <f>Table2[[#This Row],[Away EV]]-Table2[[#This Row],[Home EV]]</f>
        <v>8.4210982976848641</v>
      </c>
      <c r="Z457" s="33"/>
      <c r="AA457" s="34"/>
      <c r="AB457" s="5" t="b">
        <f>IF(VLOOKUP(Table2[[#This Row],[Home/Neutral]],division_lookup,9,FALSE)=VLOOKUP(Table2[[#This Row],[Visitor/Neutral]],division_lookup,9,FALSE),TRUE,FALSE)</f>
        <v>0</v>
      </c>
      <c r="AC457" s="19" t="str">
        <f>VLOOKUP(Table2[[#This Row],[Home/Neutral]],division_lookup,9,FALSE)</f>
        <v>C</v>
      </c>
      <c r="AD457" s="19"/>
      <c r="AE457" s="19" t="str">
        <f>IF(Table2[[#This Row],[Total EV ®]]&lt;Table2[[#This Row],[Total (V)]],"UNDER","OVER")</f>
        <v>OVER</v>
      </c>
      <c r="AF457" s="30">
        <f>Table2[[#This Row],[(A) Spread]]-Table2[[#This Row],[Spread (V)]]</f>
        <v>0</v>
      </c>
      <c r="AG457" s="19"/>
      <c r="AH457" s="2">
        <f>Table2[[#This Row],[EV]]-Table2[[#This Row],[Spread (V)]]</f>
        <v>8.4210982976848641</v>
      </c>
      <c r="AI457" s="22">
        <f>Table2[[#This Row],[(A)]]-Table2[[#This Row],[Spread]]</f>
        <v>-1.1051184834123298</v>
      </c>
      <c r="AJ457" s="1">
        <f>Table2[[#This Row],[(A) Err]]^2</f>
        <v>1.2212868623795679</v>
      </c>
      <c r="AK457" s="6">
        <f>Table2[[#This Row],[EV]]-Table2[[#This Row],[Spread]]</f>
        <v>8.4210982976848641</v>
      </c>
      <c r="AL457" s="1">
        <f>Table2[[#This Row],[EV Err]]^2</f>
        <v>70.914896539270913</v>
      </c>
    </row>
    <row r="458" spans="1:38" x14ac:dyDescent="0.25">
      <c r="A458" t="s">
        <v>102</v>
      </c>
      <c r="B458" t="s">
        <v>24</v>
      </c>
      <c r="C458" t="s">
        <v>4</v>
      </c>
      <c r="K458" s="25">
        <f>(Table2[[#This Row],[Home Pace]]/100)*(VLOOKUP(Table2[[#This Row],[Home/Neutral]],home_lookup,8,FALSE)+VLOOKUP(Table2[[#This Row],[Home/Neutral]],OFR_lookup,2,FALSE)+VLOOKUP(Table2[[#This Row],[Visitor/Neutral]],def_diff_lookup,6,FALSE))</f>
        <v>103.10259432830941</v>
      </c>
      <c r="L458" s="25"/>
      <c r="M458" s="25">
        <f>(Table2[[#This Row],[Away Pace]]/100)*(VLOOKUP(Table2[[#This Row],[Visitor/Neutral]],OFR_lookup,2,FALSE)+VLOOKUP(Table2[[#This Row],[Home/Neutral]],def_diff_lookup,6,FALSE))</f>
        <v>114.78076399999999</v>
      </c>
      <c r="N458" s="25"/>
      <c r="O458" s="25"/>
      <c r="P458">
        <f>VLOOKUP(Table2[[#This Row],[Home/Neutral]],pace_lookup,7,FALSE)</f>
        <v>99.9</v>
      </c>
      <c r="Q458" s="5">
        <f>VLOOKUP(Table2[[#This Row],[Visitor/Neutral]],pace_lookup,7,FALSE)</f>
        <v>96.6</v>
      </c>
      <c r="R458" s="9"/>
      <c r="V458" s="2">
        <f>-home-VLOOKUP(Table2[[#This Row],[Home/Neutral]],rtg_vlookup,4,FALSE)+VLOOKUP(Table2[[#This Row],[Visitor/Neutral]],rtg_vlookup,4,FALSE)</f>
        <v>11.65488151658767</v>
      </c>
      <c r="W458" s="25"/>
      <c r="X458" s="2"/>
      <c r="Y458" s="2">
        <f>Table2[[#This Row],[Away EV]]-Table2[[#This Row],[Home EV]]</f>
        <v>11.678169671690583</v>
      </c>
      <c r="Z458" s="33"/>
      <c r="AA458" s="34"/>
      <c r="AB458" s="5" t="b">
        <f>IF(VLOOKUP(Table2[[#This Row],[Home/Neutral]],division_lookup,9,FALSE)=VLOOKUP(Table2[[#This Row],[Visitor/Neutral]],division_lookup,9,FALSE),TRUE,FALSE)</f>
        <v>1</v>
      </c>
      <c r="AC458" s="19" t="str">
        <f>VLOOKUP(Table2[[#This Row],[Home/Neutral]],division_lookup,9,FALSE)</f>
        <v>P</v>
      </c>
      <c r="AD458" s="19"/>
      <c r="AE458" s="19" t="str">
        <f>IF(Table2[[#This Row],[Total EV ®]]&lt;Table2[[#This Row],[Total (V)]],"UNDER","OVER")</f>
        <v>OVER</v>
      </c>
      <c r="AF458" s="30">
        <f>Table2[[#This Row],[(A) Spread]]-Table2[[#This Row],[Spread (V)]]</f>
        <v>0</v>
      </c>
      <c r="AG458" s="19"/>
      <c r="AH458" s="2">
        <f>Table2[[#This Row],[EV]]-Table2[[#This Row],[Spread (V)]]</f>
        <v>11.678169671690583</v>
      </c>
      <c r="AI458" s="22">
        <f>Table2[[#This Row],[(A)]]-Table2[[#This Row],[Spread]]</f>
        <v>11.65488151658767</v>
      </c>
      <c r="AJ458" s="1">
        <f>Table2[[#This Row],[(A) Err]]^2</f>
        <v>135.83626316569692</v>
      </c>
      <c r="AK458" s="6">
        <f>Table2[[#This Row],[EV]]-Table2[[#This Row],[Spread]]</f>
        <v>11.678169671690583</v>
      </c>
      <c r="AL458" s="1">
        <f>Table2[[#This Row],[EV Err]]^2</f>
        <v>136.37964688079373</v>
      </c>
    </row>
    <row r="459" spans="1:38" x14ac:dyDescent="0.25">
      <c r="A459" t="s">
        <v>102</v>
      </c>
      <c r="B459" t="s">
        <v>31</v>
      </c>
      <c r="C459" t="s">
        <v>26</v>
      </c>
      <c r="K459" s="25">
        <f>(Table2[[#This Row],[Home Pace]]/100)*(VLOOKUP(Table2[[#This Row],[Home/Neutral]],home_lookup,8,FALSE)+VLOOKUP(Table2[[#This Row],[Home/Neutral]],OFR_lookup,2,FALSE)+VLOOKUP(Table2[[#This Row],[Visitor/Neutral]],def_diff_lookup,6,FALSE))</f>
        <v>112.0317743021789</v>
      </c>
      <c r="L459" s="25"/>
      <c r="M459" s="25">
        <f>(Table2[[#This Row],[Away Pace]]/100)*(VLOOKUP(Table2[[#This Row],[Visitor/Neutral]],OFR_lookup,2,FALSE)+VLOOKUP(Table2[[#This Row],[Home/Neutral]],def_diff_lookup,6,FALSE))</f>
        <v>108.05824000000001</v>
      </c>
      <c r="N459" s="25"/>
      <c r="O459" s="25"/>
      <c r="P459">
        <f>VLOOKUP(Table2[[#This Row],[Home/Neutral]],pace_lookup,7,FALSE)</f>
        <v>96</v>
      </c>
      <c r="Q459" s="5">
        <f>VLOOKUP(Table2[[#This Row],[Visitor/Neutral]],pace_lookup,7,FALSE)</f>
        <v>96</v>
      </c>
      <c r="R459" s="9"/>
      <c r="V459" s="2">
        <f>-home-VLOOKUP(Table2[[#This Row],[Home/Neutral]],rtg_vlookup,4,FALSE)+VLOOKUP(Table2[[#This Row],[Visitor/Neutral]],rtg_vlookup,4,FALSE)</f>
        <v>-0.70511848341233052</v>
      </c>
      <c r="W459" s="25"/>
      <c r="X459" s="2"/>
      <c r="Y459" s="2">
        <f>Table2[[#This Row],[Away EV]]-Table2[[#This Row],[Home EV]]</f>
        <v>-3.9735343021788907</v>
      </c>
      <c r="Z459" s="33"/>
      <c r="AA459" s="34"/>
      <c r="AB459" s="5" t="b">
        <f>IF(VLOOKUP(Table2[[#This Row],[Home/Neutral]],division_lookup,9,FALSE)=VLOOKUP(Table2[[#This Row],[Visitor/Neutral]],division_lookup,9,FALSE),TRUE,FALSE)</f>
        <v>1</v>
      </c>
      <c r="AC459" s="19" t="str">
        <f>VLOOKUP(Table2[[#This Row],[Home/Neutral]],division_lookup,9,FALSE)</f>
        <v>A</v>
      </c>
      <c r="AD459" s="19"/>
      <c r="AE459" s="19" t="str">
        <f>IF(Table2[[#This Row],[Total EV ®]]&lt;Table2[[#This Row],[Total (V)]],"UNDER","OVER")</f>
        <v>OVER</v>
      </c>
      <c r="AF459" s="30">
        <f>Table2[[#This Row],[(A) Spread]]-Table2[[#This Row],[Spread (V)]]</f>
        <v>0</v>
      </c>
      <c r="AG459" s="19"/>
      <c r="AH459" s="2">
        <f>Table2[[#This Row],[EV]]-Table2[[#This Row],[Spread (V)]]</f>
        <v>-3.9735343021788907</v>
      </c>
      <c r="AI459" s="22">
        <f>Table2[[#This Row],[(A)]]-Table2[[#This Row],[Spread]]</f>
        <v>-0.70511848341233052</v>
      </c>
      <c r="AJ459" s="1">
        <f>Table2[[#This Row],[(A) Err]]^2</f>
        <v>0.49719207564970502</v>
      </c>
      <c r="AK459" s="6">
        <f>Table2[[#This Row],[EV]]-Table2[[#This Row],[Spread]]</f>
        <v>-3.9735343021788907</v>
      </c>
      <c r="AL459" s="1">
        <f>Table2[[#This Row],[EV Err]]^2</f>
        <v>15.788974850592284</v>
      </c>
    </row>
    <row r="460" spans="1:38" x14ac:dyDescent="0.25">
      <c r="A460" t="s">
        <v>102</v>
      </c>
      <c r="B460" t="s">
        <v>18</v>
      </c>
      <c r="C460" t="s">
        <v>22</v>
      </c>
      <c r="K460" s="25">
        <f>(Table2[[#This Row],[Home Pace]]/100)*(VLOOKUP(Table2[[#This Row],[Home/Neutral]],home_lookup,8,FALSE)+VLOOKUP(Table2[[#This Row],[Home/Neutral]],OFR_lookup,2,FALSE)+VLOOKUP(Table2[[#This Row],[Visitor/Neutral]],def_diff_lookup,6,FALSE))</f>
        <v>106.88510616021132</v>
      </c>
      <c r="L460" s="25"/>
      <c r="M460" s="25">
        <f>(Table2[[#This Row],[Away Pace]]/100)*(VLOOKUP(Table2[[#This Row],[Visitor/Neutral]],OFR_lookup,2,FALSE)+VLOOKUP(Table2[[#This Row],[Home/Neutral]],def_diff_lookup,6,FALSE))</f>
        <v>101.38645133333335</v>
      </c>
      <c r="N460" s="25"/>
      <c r="O460" s="25"/>
      <c r="P460">
        <f>VLOOKUP(Table2[[#This Row],[Home/Neutral]],pace_lookup,7,FALSE)</f>
        <v>99.5</v>
      </c>
      <c r="Q460" s="5">
        <f>VLOOKUP(Table2[[#This Row],[Visitor/Neutral]],pace_lookup,7,FALSE)</f>
        <v>94.7</v>
      </c>
      <c r="R460" s="9"/>
      <c r="V460" s="2">
        <f>-home-VLOOKUP(Table2[[#This Row],[Home/Neutral]],rtg_vlookup,4,FALSE)+VLOOKUP(Table2[[#This Row],[Visitor/Neutral]],rtg_vlookup,4,FALSE)</f>
        <v>-4.1451184834123307</v>
      </c>
      <c r="W460" s="25"/>
      <c r="X460" s="2"/>
      <c r="Y460" s="2">
        <f>Table2[[#This Row],[Away EV]]-Table2[[#This Row],[Home EV]]</f>
        <v>-5.4986548268779671</v>
      </c>
      <c r="Z460" s="33"/>
      <c r="AA460" s="34"/>
      <c r="AB460" s="5" t="b">
        <f>IF(VLOOKUP(Table2[[#This Row],[Home/Neutral]],division_lookup,9,FALSE)=VLOOKUP(Table2[[#This Row],[Visitor/Neutral]],division_lookup,9,FALSE),TRUE,FALSE)</f>
        <v>1</v>
      </c>
      <c r="AC460" s="19" t="str">
        <f>VLOOKUP(Table2[[#This Row],[Home/Neutral]],division_lookup,9,FALSE)</f>
        <v>NW</v>
      </c>
      <c r="AD460" s="19"/>
      <c r="AE460" s="19" t="str">
        <f>IF(Table2[[#This Row],[Total EV ®]]&lt;Table2[[#This Row],[Total (V)]],"UNDER","OVER")</f>
        <v>OVER</v>
      </c>
      <c r="AF460" s="30">
        <f>Table2[[#This Row],[(A) Spread]]-Table2[[#This Row],[Spread (V)]]</f>
        <v>0</v>
      </c>
      <c r="AG460" s="19"/>
      <c r="AH460" s="2">
        <f>Table2[[#This Row],[EV]]-Table2[[#This Row],[Spread (V)]]</f>
        <v>-5.4986548268779671</v>
      </c>
      <c r="AI460" s="22">
        <f>Table2[[#This Row],[(A)]]-Table2[[#This Row],[Spread]]</f>
        <v>-4.1451184834123307</v>
      </c>
      <c r="AJ460" s="1">
        <f>Table2[[#This Row],[(A) Err]]^2</f>
        <v>17.182007241526541</v>
      </c>
      <c r="AK460" s="6">
        <f>Table2[[#This Row],[EV]]-Table2[[#This Row],[Spread]]</f>
        <v>-5.4986548268779671</v>
      </c>
      <c r="AL460" s="1">
        <f>Table2[[#This Row],[EV Err]]^2</f>
        <v>30.235204905148368</v>
      </c>
    </row>
    <row r="461" spans="1:38" x14ac:dyDescent="0.25">
      <c r="A461" t="s">
        <v>102</v>
      </c>
      <c r="B461" t="s">
        <v>6</v>
      </c>
      <c r="C461" t="s">
        <v>13</v>
      </c>
      <c r="K461" s="25">
        <f>(Table2[[#This Row],[Home Pace]]/100)*(VLOOKUP(Table2[[#This Row],[Home/Neutral]],home_lookup,8,FALSE)+VLOOKUP(Table2[[#This Row],[Home/Neutral]],OFR_lookup,2,FALSE)+VLOOKUP(Table2[[#This Row],[Visitor/Neutral]],def_diff_lookup,6,FALSE))</f>
        <v>102.38917787062245</v>
      </c>
      <c r="L461" s="25"/>
      <c r="M461" s="25">
        <f>(Table2[[#This Row],[Away Pace]]/100)*(VLOOKUP(Table2[[#This Row],[Visitor/Neutral]],OFR_lookup,2,FALSE)+VLOOKUP(Table2[[#This Row],[Home/Neutral]],def_diff_lookup,6,FALSE))</f>
        <v>102.96783000000001</v>
      </c>
      <c r="N461" s="25"/>
      <c r="O461" s="25"/>
      <c r="P461">
        <f>VLOOKUP(Table2[[#This Row],[Home/Neutral]],pace_lookup,7,FALSE)</f>
        <v>93.1</v>
      </c>
      <c r="Q461" s="5">
        <f>VLOOKUP(Table2[[#This Row],[Visitor/Neutral]],pace_lookup,7,FALSE)</f>
        <v>94.5</v>
      </c>
      <c r="R461" s="9"/>
      <c r="V461" s="2">
        <f>-home-VLOOKUP(Table2[[#This Row],[Home/Neutral]],rtg_vlookup,4,FALSE)+VLOOKUP(Table2[[#This Row],[Visitor/Neutral]],rtg_vlookup,4,FALSE)</f>
        <v>-4.0851184834123311</v>
      </c>
      <c r="W461" s="25"/>
      <c r="X461" s="2"/>
      <c r="Y461" s="2">
        <f>Table2[[#This Row],[Away EV]]-Table2[[#This Row],[Home EV]]</f>
        <v>0.57865212937755928</v>
      </c>
      <c r="Z461" s="33"/>
      <c r="AA461" s="34"/>
      <c r="AB461" s="5" t="b">
        <f>IF(VLOOKUP(Table2[[#This Row],[Home/Neutral]],division_lookup,9,FALSE)=VLOOKUP(Table2[[#This Row],[Visitor/Neutral]],division_lookup,9,FALSE),TRUE,FALSE)</f>
        <v>0</v>
      </c>
      <c r="AC461" s="19" t="str">
        <f>VLOOKUP(Table2[[#This Row],[Home/Neutral]],division_lookup,9,FALSE)</f>
        <v>SW</v>
      </c>
      <c r="AD461" s="19"/>
      <c r="AE461" s="19" t="str">
        <f>IF(Table2[[#This Row],[Total EV ®]]&lt;Table2[[#This Row],[Total (V)]],"UNDER","OVER")</f>
        <v>OVER</v>
      </c>
      <c r="AF461" s="30">
        <f>Table2[[#This Row],[(A) Spread]]-Table2[[#This Row],[Spread (V)]]</f>
        <v>0</v>
      </c>
      <c r="AG461" s="19"/>
      <c r="AH461" s="2">
        <f>Table2[[#This Row],[EV]]-Table2[[#This Row],[Spread (V)]]</f>
        <v>0.57865212937755928</v>
      </c>
      <c r="AI461" s="22">
        <f>Table2[[#This Row],[(A)]]-Table2[[#This Row],[Spread]]</f>
        <v>-4.0851184834123311</v>
      </c>
      <c r="AJ461" s="1">
        <f>Table2[[#This Row],[(A) Err]]^2</f>
        <v>16.688193023517066</v>
      </c>
      <c r="AK461" s="6">
        <f>Table2[[#This Row],[EV]]-Table2[[#This Row],[Spread]]</f>
        <v>0.57865212937755928</v>
      </c>
      <c r="AL461" s="1">
        <f>Table2[[#This Row],[EV Err]]^2</f>
        <v>0.33483828683318362</v>
      </c>
    </row>
    <row r="462" spans="1:38" x14ac:dyDescent="0.25">
      <c r="A462" t="s">
        <v>103</v>
      </c>
      <c r="B462" t="s">
        <v>35</v>
      </c>
      <c r="C462" t="s">
        <v>16</v>
      </c>
      <c r="K462" s="25">
        <f>(Table2[[#This Row],[Home Pace]]/100)*(VLOOKUP(Table2[[#This Row],[Home/Neutral]],home_lookup,8,FALSE)+VLOOKUP(Table2[[#This Row],[Home/Neutral]],OFR_lookup,2,FALSE)+VLOOKUP(Table2[[#This Row],[Visitor/Neutral]],def_diff_lookup,6,FALSE))</f>
        <v>105.81111121209626</v>
      </c>
      <c r="L462" s="25"/>
      <c r="M462" s="25">
        <f>(Table2[[#This Row],[Away Pace]]/100)*(VLOOKUP(Table2[[#This Row],[Visitor/Neutral]],OFR_lookup,2,FALSE)+VLOOKUP(Table2[[#This Row],[Home/Neutral]],def_diff_lookup,6,FALSE))</f>
        <v>107.9624</v>
      </c>
      <c r="N462" s="25"/>
      <c r="O462" s="25"/>
      <c r="P462">
        <f>VLOOKUP(Table2[[#This Row],[Home/Neutral]],pace_lookup,7,FALSE)</f>
        <v>102.2</v>
      </c>
      <c r="Q462" s="5">
        <f>VLOOKUP(Table2[[#This Row],[Visitor/Neutral]],pace_lookup,7,FALSE)</f>
        <v>97.5</v>
      </c>
      <c r="R462" s="9"/>
      <c r="V462" s="2">
        <f>-home-VLOOKUP(Table2[[#This Row],[Home/Neutral]],rtg_vlookup,4,FALSE)+VLOOKUP(Table2[[#This Row],[Visitor/Neutral]],rtg_vlookup,4,FALSE)</f>
        <v>6.204881516587669</v>
      </c>
      <c r="W462" s="25"/>
      <c r="X462" s="2"/>
      <c r="Y462" s="2">
        <f>Table2[[#This Row],[Away EV]]-Table2[[#This Row],[Home EV]]</f>
        <v>2.1512887879037379</v>
      </c>
      <c r="Z462" s="33"/>
      <c r="AA462" s="34"/>
      <c r="AB462" s="5" t="b">
        <f>IF(VLOOKUP(Table2[[#This Row],[Home/Neutral]],division_lookup,9,FALSE)=VLOOKUP(Table2[[#This Row],[Visitor/Neutral]],division_lookup,9,FALSE),TRUE,FALSE)</f>
        <v>0</v>
      </c>
      <c r="AC462" s="19" t="str">
        <f>VLOOKUP(Table2[[#This Row],[Home/Neutral]],division_lookup,9,FALSE)</f>
        <v>A</v>
      </c>
      <c r="AD462" s="19"/>
      <c r="AE462" s="19" t="str">
        <f>IF(Table2[[#This Row],[Total EV ®]]&lt;Table2[[#This Row],[Total (V)]],"UNDER","OVER")</f>
        <v>OVER</v>
      </c>
      <c r="AF462" s="30">
        <f>Table2[[#This Row],[(A) Spread]]-Table2[[#This Row],[Spread (V)]]</f>
        <v>0</v>
      </c>
      <c r="AG462" s="19"/>
      <c r="AH462" s="2">
        <f>Table2[[#This Row],[EV]]-Table2[[#This Row],[Spread (V)]]</f>
        <v>2.1512887879037379</v>
      </c>
      <c r="AI462" s="22">
        <f>Table2[[#This Row],[(A)]]-Table2[[#This Row],[Spread]]</f>
        <v>6.204881516587669</v>
      </c>
      <c r="AJ462" s="1">
        <f>Table2[[#This Row],[(A) Err]]^2</f>
        <v>38.500554634891287</v>
      </c>
      <c r="AK462" s="6">
        <f>Table2[[#This Row],[EV]]-Table2[[#This Row],[Spread]]</f>
        <v>2.1512887879037379</v>
      </c>
      <c r="AL462" s="1">
        <f>Table2[[#This Row],[EV Err]]^2</f>
        <v>4.6280434489603337</v>
      </c>
    </row>
    <row r="463" spans="1:38" x14ac:dyDescent="0.25">
      <c r="A463" t="s">
        <v>103</v>
      </c>
      <c r="B463" t="s">
        <v>13</v>
      </c>
      <c r="C463" t="s">
        <v>33</v>
      </c>
      <c r="K463" s="25">
        <f>(Table2[[#This Row],[Home Pace]]/100)*(VLOOKUP(Table2[[#This Row],[Home/Neutral]],home_lookup,8,FALSE)+VLOOKUP(Table2[[#This Row],[Home/Neutral]],OFR_lookup,2,FALSE)+VLOOKUP(Table2[[#This Row],[Visitor/Neutral]],def_diff_lookup,6,FALSE))</f>
        <v>107.73574108450401</v>
      </c>
      <c r="L463" s="25"/>
      <c r="M463" s="25">
        <f>(Table2[[#This Row],[Away Pace]]/100)*(VLOOKUP(Table2[[#This Row],[Visitor/Neutral]],OFR_lookup,2,FALSE)+VLOOKUP(Table2[[#This Row],[Home/Neutral]],def_diff_lookup,6,FALSE))</f>
        <v>101.00917466666667</v>
      </c>
      <c r="N463" s="25"/>
      <c r="O463" s="25"/>
      <c r="P463">
        <f>VLOOKUP(Table2[[#This Row],[Home/Neutral]],pace_lookup,7,FALSE)</f>
        <v>94.5</v>
      </c>
      <c r="Q463" s="5">
        <f>VLOOKUP(Table2[[#This Row],[Visitor/Neutral]],pace_lookup,7,FALSE)</f>
        <v>98.2</v>
      </c>
      <c r="R463" s="9"/>
      <c r="V463" s="2">
        <f>-home-VLOOKUP(Table2[[#This Row],[Home/Neutral]],rtg_vlookup,4,FALSE)+VLOOKUP(Table2[[#This Row],[Visitor/Neutral]],rtg_vlookup,4,FALSE)</f>
        <v>-13.605118483412332</v>
      </c>
      <c r="W463" s="25"/>
      <c r="X463" s="2"/>
      <c r="Y463" s="2">
        <f>Table2[[#This Row],[Away EV]]-Table2[[#This Row],[Home EV]]</f>
        <v>-6.726566417837347</v>
      </c>
      <c r="Z463" s="33"/>
      <c r="AA463" s="34"/>
      <c r="AB463" s="5" t="b">
        <f>IF(VLOOKUP(Table2[[#This Row],[Home/Neutral]],division_lookup,9,FALSE)=VLOOKUP(Table2[[#This Row],[Visitor/Neutral]],division_lookup,9,FALSE),TRUE,FALSE)</f>
        <v>1</v>
      </c>
      <c r="AC463" s="19" t="str">
        <f>VLOOKUP(Table2[[#This Row],[Home/Neutral]],division_lookup,9,FALSE)</f>
        <v>C</v>
      </c>
      <c r="AD463" s="19"/>
      <c r="AE463" s="19" t="str">
        <f>IF(Table2[[#This Row],[Total EV ®]]&lt;Table2[[#This Row],[Total (V)]],"UNDER","OVER")</f>
        <v>OVER</v>
      </c>
      <c r="AF463" s="30">
        <f>Table2[[#This Row],[(A) Spread]]-Table2[[#This Row],[Spread (V)]]</f>
        <v>0</v>
      </c>
      <c r="AG463" s="19"/>
      <c r="AH463" s="2">
        <f>Table2[[#This Row],[EV]]-Table2[[#This Row],[Spread (V)]]</f>
        <v>-6.726566417837347</v>
      </c>
      <c r="AI463" s="22">
        <f>Table2[[#This Row],[(A)]]-Table2[[#This Row],[Spread]]</f>
        <v>-13.605118483412332</v>
      </c>
      <c r="AJ463" s="1">
        <f>Table2[[#This Row],[(A) Err]]^2</f>
        <v>185.09924894768787</v>
      </c>
      <c r="AK463" s="6">
        <f>Table2[[#This Row],[EV]]-Table2[[#This Row],[Spread]]</f>
        <v>-6.726566417837347</v>
      </c>
      <c r="AL463" s="1">
        <f>Table2[[#This Row],[EV Err]]^2</f>
        <v>45.246695773577159</v>
      </c>
    </row>
    <row r="464" spans="1:38" x14ac:dyDescent="0.25">
      <c r="A464" t="s">
        <v>103</v>
      </c>
      <c r="B464" t="s">
        <v>25</v>
      </c>
      <c r="C464" t="s">
        <v>8</v>
      </c>
      <c r="K464" s="25">
        <f>(Table2[[#This Row],[Home Pace]]/100)*(VLOOKUP(Table2[[#This Row],[Home/Neutral]],home_lookup,8,FALSE)+VLOOKUP(Table2[[#This Row],[Home/Neutral]],OFR_lookup,2,FALSE)+VLOOKUP(Table2[[#This Row],[Visitor/Neutral]],def_diff_lookup,6,FALSE))</f>
        <v>101.41246444427257</v>
      </c>
      <c r="L464" s="25"/>
      <c r="M464" s="25">
        <f>(Table2[[#This Row],[Away Pace]]/100)*(VLOOKUP(Table2[[#This Row],[Visitor/Neutral]],OFR_lookup,2,FALSE)+VLOOKUP(Table2[[#This Row],[Home/Neutral]],def_diff_lookup,6,FALSE))</f>
        <v>104.49064800000001</v>
      </c>
      <c r="N464" s="25"/>
      <c r="O464" s="25"/>
      <c r="P464">
        <f>VLOOKUP(Table2[[#This Row],[Home/Neutral]],pace_lookup,7,FALSE)</f>
        <v>94.4</v>
      </c>
      <c r="Q464" s="5">
        <f>VLOOKUP(Table2[[#This Row],[Visitor/Neutral]],pace_lookup,7,FALSE)</f>
        <v>97.2</v>
      </c>
      <c r="R464" s="9"/>
      <c r="V464" s="2">
        <f>-home-VLOOKUP(Table2[[#This Row],[Home/Neutral]],rtg_vlookup,4,FALSE)+VLOOKUP(Table2[[#This Row],[Visitor/Neutral]],rtg_vlookup,4,FALSE)</f>
        <v>4.1448815165876693</v>
      </c>
      <c r="W464" s="25"/>
      <c r="X464" s="2"/>
      <c r="Y464" s="2">
        <f>Table2[[#This Row],[Away EV]]-Table2[[#This Row],[Home EV]]</f>
        <v>3.0781835557274349</v>
      </c>
      <c r="Z464" s="33"/>
      <c r="AA464" s="34"/>
      <c r="AB464" s="5" t="b">
        <f>IF(VLOOKUP(Table2[[#This Row],[Home/Neutral]],division_lookup,9,FALSE)=VLOOKUP(Table2[[#This Row],[Visitor/Neutral]],division_lookup,9,FALSE),TRUE,FALSE)</f>
        <v>1</v>
      </c>
      <c r="AC464" s="19" t="str">
        <f>VLOOKUP(Table2[[#This Row],[Home/Neutral]],division_lookup,9,FALSE)</f>
        <v>C</v>
      </c>
      <c r="AD464" s="19"/>
      <c r="AE464" s="19" t="str">
        <f>IF(Table2[[#This Row],[Total EV ®]]&lt;Table2[[#This Row],[Total (V)]],"UNDER","OVER")</f>
        <v>OVER</v>
      </c>
      <c r="AF464" s="30">
        <f>Table2[[#This Row],[(A) Spread]]-Table2[[#This Row],[Spread (V)]]</f>
        <v>0</v>
      </c>
      <c r="AG464" s="19"/>
      <c r="AH464" s="2">
        <f>Table2[[#This Row],[EV]]-Table2[[#This Row],[Spread (V)]]</f>
        <v>3.0781835557274349</v>
      </c>
      <c r="AI464" s="22">
        <f>Table2[[#This Row],[(A)]]-Table2[[#This Row],[Spread]]</f>
        <v>4.1448815165876693</v>
      </c>
      <c r="AJ464" s="1">
        <f>Table2[[#This Row],[(A) Err]]^2</f>
        <v>17.180042786550096</v>
      </c>
      <c r="AK464" s="6">
        <f>Table2[[#This Row],[EV]]-Table2[[#This Row],[Spread]]</f>
        <v>3.0781835557274349</v>
      </c>
      <c r="AL464" s="1">
        <f>Table2[[#This Row],[EV Err]]^2</f>
        <v>9.4752140027507945</v>
      </c>
    </row>
    <row r="465" spans="1:38" x14ac:dyDescent="0.25">
      <c r="A465" t="s">
        <v>103</v>
      </c>
      <c r="B465" t="s">
        <v>17</v>
      </c>
      <c r="C465" t="s">
        <v>36</v>
      </c>
      <c r="K465" s="25">
        <f>(Table2[[#This Row],[Home Pace]]/100)*(VLOOKUP(Table2[[#This Row],[Home/Neutral]],home_lookup,8,FALSE)+VLOOKUP(Table2[[#This Row],[Home/Neutral]],OFR_lookup,2,FALSE)+VLOOKUP(Table2[[#This Row],[Visitor/Neutral]],def_diff_lookup,6,FALSE))</f>
        <v>112.05347692873545</v>
      </c>
      <c r="L465" s="25"/>
      <c r="M465" s="25">
        <f>(Table2[[#This Row],[Away Pace]]/100)*(VLOOKUP(Table2[[#This Row],[Visitor/Neutral]],OFR_lookup,2,FALSE)+VLOOKUP(Table2[[#This Row],[Home/Neutral]],def_diff_lookup,6,FALSE))</f>
        <v>108.57796133333335</v>
      </c>
      <c r="N465" s="25"/>
      <c r="O465" s="25"/>
      <c r="P465">
        <f>VLOOKUP(Table2[[#This Row],[Home/Neutral]],pace_lookup,7,FALSE)</f>
        <v>96.7</v>
      </c>
      <c r="Q465" s="5">
        <f>VLOOKUP(Table2[[#This Row],[Visitor/Neutral]],pace_lookup,7,FALSE)</f>
        <v>102.2</v>
      </c>
      <c r="R465" s="9"/>
      <c r="V465" s="2">
        <f>-home-VLOOKUP(Table2[[#This Row],[Home/Neutral]],rtg_vlookup,4,FALSE)+VLOOKUP(Table2[[#This Row],[Visitor/Neutral]],rtg_vlookup,4,FALSE)</f>
        <v>-13.165118483412332</v>
      </c>
      <c r="W465" s="25"/>
      <c r="X465" s="2"/>
      <c r="Y465" s="2">
        <f>Table2[[#This Row],[Away EV]]-Table2[[#This Row],[Home EV]]</f>
        <v>-3.4755155954021006</v>
      </c>
      <c r="Z465" s="33"/>
      <c r="AA465" s="34"/>
      <c r="AB465" s="5" t="b">
        <f>IF(VLOOKUP(Table2[[#This Row],[Home/Neutral]],division_lookup,9,FALSE)=VLOOKUP(Table2[[#This Row],[Visitor/Neutral]],division_lookup,9,FALSE),TRUE,FALSE)</f>
        <v>0</v>
      </c>
      <c r="AC465" s="19" t="str">
        <f>VLOOKUP(Table2[[#This Row],[Home/Neutral]],division_lookup,9,FALSE)</f>
        <v>SW</v>
      </c>
      <c r="AD465" s="19"/>
      <c r="AE465" s="19" t="str">
        <f>IF(Table2[[#This Row],[Total EV ®]]&lt;Table2[[#This Row],[Total (V)]],"UNDER","OVER")</f>
        <v>OVER</v>
      </c>
      <c r="AF465" s="30">
        <f>Table2[[#This Row],[(A) Spread]]-Table2[[#This Row],[Spread (V)]]</f>
        <v>0</v>
      </c>
      <c r="AG465" s="19"/>
      <c r="AH465" s="2">
        <f>Table2[[#This Row],[EV]]-Table2[[#This Row],[Spread (V)]]</f>
        <v>-3.4755155954021006</v>
      </c>
      <c r="AI465" s="22">
        <f>Table2[[#This Row],[(A)]]-Table2[[#This Row],[Spread]]</f>
        <v>-13.165118483412332</v>
      </c>
      <c r="AJ465" s="1">
        <f>Table2[[#This Row],[(A) Err]]^2</f>
        <v>173.32034468228503</v>
      </c>
      <c r="AK465" s="6">
        <f>Table2[[#This Row],[EV]]-Table2[[#This Row],[Spread]]</f>
        <v>-3.4755155954021006</v>
      </c>
      <c r="AL465" s="1">
        <f>Table2[[#This Row],[EV Err]]^2</f>
        <v>12.079208653883217</v>
      </c>
    </row>
    <row r="466" spans="1:38" x14ac:dyDescent="0.25">
      <c r="A466" t="s">
        <v>103</v>
      </c>
      <c r="B466" t="s">
        <v>4</v>
      </c>
      <c r="C466" t="s">
        <v>27</v>
      </c>
      <c r="K466" s="25">
        <f>(Table2[[#This Row],[Home Pace]]/100)*(VLOOKUP(Table2[[#This Row],[Home/Neutral]],home_lookup,8,FALSE)+VLOOKUP(Table2[[#This Row],[Home/Neutral]],OFR_lookup,2,FALSE)+VLOOKUP(Table2[[#This Row],[Visitor/Neutral]],def_diff_lookup,6,FALSE))</f>
        <v>101.90502781393445</v>
      </c>
      <c r="L466" s="25"/>
      <c r="M466" s="25">
        <f>(Table2[[#This Row],[Away Pace]]/100)*(VLOOKUP(Table2[[#This Row],[Visitor/Neutral]],OFR_lookup,2,FALSE)+VLOOKUP(Table2[[#This Row],[Home/Neutral]],def_diff_lookup,6,FALSE))</f>
        <v>98.218559999999997</v>
      </c>
      <c r="N466" s="25"/>
      <c r="O466" s="25"/>
      <c r="P466">
        <f>VLOOKUP(Table2[[#This Row],[Home/Neutral]],pace_lookup,7,FALSE)</f>
        <v>96.6</v>
      </c>
      <c r="Q466" s="5">
        <f>VLOOKUP(Table2[[#This Row],[Visitor/Neutral]],pace_lookup,7,FALSE)</f>
        <v>99</v>
      </c>
      <c r="R466" s="9"/>
      <c r="V466" s="2">
        <f>-home-VLOOKUP(Table2[[#This Row],[Home/Neutral]],rtg_vlookup,4,FALSE)+VLOOKUP(Table2[[#This Row],[Visitor/Neutral]],rtg_vlookup,4,FALSE)</f>
        <v>-17.955118483412331</v>
      </c>
      <c r="W466" s="25"/>
      <c r="X466" s="2"/>
      <c r="Y466" s="2">
        <f>Table2[[#This Row],[Away EV]]-Table2[[#This Row],[Home EV]]</f>
        <v>-3.6864678139344562</v>
      </c>
      <c r="Z466" s="33"/>
      <c r="AA466" s="34"/>
      <c r="AB466" s="5" t="b">
        <f>IF(VLOOKUP(Table2[[#This Row],[Home/Neutral]],division_lookup,9,FALSE)=VLOOKUP(Table2[[#This Row],[Visitor/Neutral]],division_lookup,9,FALSE),TRUE,FALSE)</f>
        <v>0</v>
      </c>
      <c r="AC466" s="19" t="str">
        <f>VLOOKUP(Table2[[#This Row],[Home/Neutral]],division_lookup,9,FALSE)</f>
        <v>P</v>
      </c>
      <c r="AD466" s="19"/>
      <c r="AE466" s="19" t="str">
        <f>IF(Table2[[#This Row],[Total EV ®]]&lt;Table2[[#This Row],[Total (V)]],"UNDER","OVER")</f>
        <v>OVER</v>
      </c>
      <c r="AF466" s="30">
        <f>Table2[[#This Row],[(A) Spread]]-Table2[[#This Row],[Spread (V)]]</f>
        <v>0</v>
      </c>
      <c r="AG466" s="19"/>
      <c r="AH466" s="2">
        <f>Table2[[#This Row],[EV]]-Table2[[#This Row],[Spread (V)]]</f>
        <v>-3.6864678139344562</v>
      </c>
      <c r="AI466" s="22">
        <f>Table2[[#This Row],[(A)]]-Table2[[#This Row],[Spread]]</f>
        <v>-17.955118483412331</v>
      </c>
      <c r="AJ466" s="1">
        <f>Table2[[#This Row],[(A) Err]]^2</f>
        <v>322.38627975337511</v>
      </c>
      <c r="AK466" s="6">
        <f>Table2[[#This Row],[EV]]-Table2[[#This Row],[Spread]]</f>
        <v>-3.6864678139344562</v>
      </c>
      <c r="AL466" s="1">
        <f>Table2[[#This Row],[EV Err]]^2</f>
        <v>13.590044943174689</v>
      </c>
    </row>
    <row r="467" spans="1:38" x14ac:dyDescent="0.25">
      <c r="A467" t="s">
        <v>103</v>
      </c>
      <c r="B467" t="s">
        <v>22</v>
      </c>
      <c r="C467" t="s">
        <v>11</v>
      </c>
      <c r="K467" s="25">
        <f>(Table2[[#This Row],[Home Pace]]/100)*(VLOOKUP(Table2[[#This Row],[Home/Neutral]],home_lookup,8,FALSE)+VLOOKUP(Table2[[#This Row],[Home/Neutral]],OFR_lookup,2,FALSE)+VLOOKUP(Table2[[#This Row],[Visitor/Neutral]],def_diff_lookup,6,FALSE))</f>
        <v>103.53880922968976</v>
      </c>
      <c r="L467" s="25"/>
      <c r="M467" s="25">
        <f>(Table2[[#This Row],[Away Pace]]/100)*(VLOOKUP(Table2[[#This Row],[Visitor/Neutral]],OFR_lookup,2,FALSE)+VLOOKUP(Table2[[#This Row],[Home/Neutral]],def_diff_lookup,6,FALSE))</f>
        <v>108.53408466666667</v>
      </c>
      <c r="N467" s="25"/>
      <c r="O467" s="25"/>
      <c r="P467">
        <f>VLOOKUP(Table2[[#This Row],[Home/Neutral]],pace_lookup,7,FALSE)</f>
        <v>94.7</v>
      </c>
      <c r="Q467" s="5">
        <f>VLOOKUP(Table2[[#This Row],[Visitor/Neutral]],pace_lookup,7,FALSE)</f>
        <v>99.7</v>
      </c>
      <c r="R467" s="9"/>
      <c r="V467" s="2">
        <f>-home-VLOOKUP(Table2[[#This Row],[Home/Neutral]],rtg_vlookup,4,FALSE)+VLOOKUP(Table2[[#This Row],[Visitor/Neutral]],rtg_vlookup,4,FALSE)</f>
        <v>2.6848815165876694</v>
      </c>
      <c r="W467" s="25"/>
      <c r="X467" s="2"/>
      <c r="Y467" s="2">
        <f>Table2[[#This Row],[Away EV]]-Table2[[#This Row],[Home EV]]</f>
        <v>4.995275436976911</v>
      </c>
      <c r="Z467" s="33"/>
      <c r="AA467" s="34"/>
      <c r="AB467" s="5" t="b">
        <f>IF(VLOOKUP(Table2[[#This Row],[Home/Neutral]],division_lookup,9,FALSE)=VLOOKUP(Table2[[#This Row],[Visitor/Neutral]],division_lookup,9,FALSE),TRUE,FALSE)</f>
        <v>0</v>
      </c>
      <c r="AC467" s="19" t="str">
        <f>VLOOKUP(Table2[[#This Row],[Home/Neutral]],division_lookup,9,FALSE)</f>
        <v>NW</v>
      </c>
      <c r="AD467" s="19"/>
      <c r="AE467" s="19" t="str">
        <f>IF(Table2[[#This Row],[Total EV ®]]&lt;Table2[[#This Row],[Total (V)]],"UNDER","OVER")</f>
        <v>OVER</v>
      </c>
      <c r="AF467" s="30">
        <f>Table2[[#This Row],[(A) Spread]]-Table2[[#This Row],[Spread (V)]]</f>
        <v>0</v>
      </c>
      <c r="AG467" s="19"/>
      <c r="AH467" s="2">
        <f>Table2[[#This Row],[EV]]-Table2[[#This Row],[Spread (V)]]</f>
        <v>4.995275436976911</v>
      </c>
      <c r="AI467" s="22">
        <f>Table2[[#This Row],[(A)]]-Table2[[#This Row],[Spread]]</f>
        <v>2.6848815165876694</v>
      </c>
      <c r="AJ467" s="1">
        <f>Table2[[#This Row],[(A) Err]]^2</f>
        <v>7.2085887581141037</v>
      </c>
      <c r="AK467" s="6">
        <f>Table2[[#This Row],[EV]]-Table2[[#This Row],[Spread]]</f>
        <v>4.995275436976911</v>
      </c>
      <c r="AL467" s="1">
        <f>Table2[[#This Row],[EV Err]]^2</f>
        <v>24.952776691264869</v>
      </c>
    </row>
    <row r="468" spans="1:38" x14ac:dyDescent="0.25">
      <c r="A468" t="s">
        <v>103</v>
      </c>
      <c r="B468" t="s">
        <v>34</v>
      </c>
      <c r="C468" t="s">
        <v>37</v>
      </c>
      <c r="K468" s="25">
        <f>(Table2[[#This Row],[Home Pace]]/100)*(VLOOKUP(Table2[[#This Row],[Home/Neutral]],home_lookup,8,FALSE)+VLOOKUP(Table2[[#This Row],[Home/Neutral]],OFR_lookup,2,FALSE)+VLOOKUP(Table2[[#This Row],[Visitor/Neutral]],def_diff_lookup,6,FALSE))</f>
        <v>101.87439864565556</v>
      </c>
      <c r="L468" s="25"/>
      <c r="M468" s="25">
        <f>(Table2[[#This Row],[Away Pace]]/100)*(VLOOKUP(Table2[[#This Row],[Visitor/Neutral]],OFR_lookup,2,FALSE)+VLOOKUP(Table2[[#This Row],[Home/Neutral]],def_diff_lookup,6,FALSE))</f>
        <v>87.956113999999999</v>
      </c>
      <c r="N468" s="25"/>
      <c r="O468" s="25"/>
      <c r="P468">
        <f>VLOOKUP(Table2[[#This Row],[Home/Neutral]],pace_lookup,7,FALSE)</f>
        <v>98.8</v>
      </c>
      <c r="Q468" s="5">
        <f>VLOOKUP(Table2[[#This Row],[Visitor/Neutral]],pace_lookup,7,FALSE)</f>
        <v>92.1</v>
      </c>
      <c r="R468" s="9"/>
      <c r="V468" s="2">
        <f>-home-VLOOKUP(Table2[[#This Row],[Home/Neutral]],rtg_vlookup,4,FALSE)+VLOOKUP(Table2[[#This Row],[Visitor/Neutral]],rtg_vlookup,4,FALSE)</f>
        <v>-5.1751184834123309</v>
      </c>
      <c r="W468" s="25"/>
      <c r="X468" s="2"/>
      <c r="Y468" s="2">
        <f>Table2[[#This Row],[Away EV]]-Table2[[#This Row],[Home EV]]</f>
        <v>-13.918284645655561</v>
      </c>
      <c r="Z468" s="33"/>
      <c r="AA468" s="34"/>
      <c r="AB468" s="5" t="b">
        <f>IF(VLOOKUP(Table2[[#This Row],[Home/Neutral]],division_lookup,9,FALSE)=VLOOKUP(Table2[[#This Row],[Visitor/Neutral]],division_lookup,9,FALSE),TRUE,FALSE)</f>
        <v>1</v>
      </c>
      <c r="AC468" s="19" t="str">
        <f>VLOOKUP(Table2[[#This Row],[Home/Neutral]],division_lookup,9,FALSE)</f>
        <v>SW</v>
      </c>
      <c r="AD468" s="19"/>
      <c r="AE468" s="19" t="str">
        <f>IF(Table2[[#This Row],[Total EV ®]]&lt;Table2[[#This Row],[Total (V)]],"UNDER","OVER")</f>
        <v>OVER</v>
      </c>
      <c r="AF468" s="30">
        <f>Table2[[#This Row],[(A) Spread]]-Table2[[#This Row],[Spread (V)]]</f>
        <v>0</v>
      </c>
      <c r="AG468" s="19"/>
      <c r="AH468" s="2">
        <f>Table2[[#This Row],[EV]]-Table2[[#This Row],[Spread (V)]]</f>
        <v>-13.918284645655561</v>
      </c>
      <c r="AI468" s="22">
        <f>Table2[[#This Row],[(A)]]-Table2[[#This Row],[Spread]]</f>
        <v>-5.1751184834123309</v>
      </c>
      <c r="AJ468" s="1">
        <f>Table2[[#This Row],[(A) Err]]^2</f>
        <v>26.781851317355944</v>
      </c>
      <c r="AK468" s="6">
        <f>Table2[[#This Row],[EV]]-Table2[[#This Row],[Spread]]</f>
        <v>-13.918284645655561</v>
      </c>
      <c r="AL468" s="1">
        <f>Table2[[#This Row],[EV Err]]^2</f>
        <v>193.71864747749134</v>
      </c>
    </row>
    <row r="469" spans="1:38" x14ac:dyDescent="0.25">
      <c r="A469" t="s">
        <v>103</v>
      </c>
      <c r="B469" t="s">
        <v>38</v>
      </c>
      <c r="C469" t="s">
        <v>23</v>
      </c>
      <c r="K469" s="25">
        <f>(Table2[[#This Row],[Home Pace]]/100)*(VLOOKUP(Table2[[#This Row],[Home/Neutral]],home_lookup,8,FALSE)+VLOOKUP(Table2[[#This Row],[Home/Neutral]],OFR_lookup,2,FALSE)+VLOOKUP(Table2[[#This Row],[Visitor/Neutral]],def_diff_lookup,6,FALSE))</f>
        <v>101.8706716789148</v>
      </c>
      <c r="L469" s="25"/>
      <c r="M469" s="25">
        <f>(Table2[[#This Row],[Away Pace]]/100)*(VLOOKUP(Table2[[#This Row],[Visitor/Neutral]],OFR_lookup,2,FALSE)+VLOOKUP(Table2[[#This Row],[Home/Neutral]],def_diff_lookup,6,FALSE))</f>
        <v>97.523366666666689</v>
      </c>
      <c r="N469" s="25"/>
      <c r="O469" s="25"/>
      <c r="P469">
        <f>VLOOKUP(Table2[[#This Row],[Home/Neutral]],pace_lookup,7,FALSE)</f>
        <v>94.2</v>
      </c>
      <c r="Q469" s="5">
        <f>VLOOKUP(Table2[[#This Row],[Visitor/Neutral]],pace_lookup,7,FALSE)</f>
        <v>92.5</v>
      </c>
      <c r="R469" s="9"/>
      <c r="V469" s="2">
        <f>-home-VLOOKUP(Table2[[#This Row],[Home/Neutral]],rtg_vlookup,4,FALSE)+VLOOKUP(Table2[[#This Row],[Visitor/Neutral]],rtg_vlookup,4,FALSE)</f>
        <v>8.3648815165876691</v>
      </c>
      <c r="W469" s="25"/>
      <c r="X469" s="2"/>
      <c r="Y469" s="2">
        <f>Table2[[#This Row],[Away EV]]-Table2[[#This Row],[Home EV]]</f>
        <v>-4.3473050122481141</v>
      </c>
      <c r="Z469" s="33"/>
      <c r="AA469" s="34"/>
      <c r="AB469" s="5" t="b">
        <f>IF(VLOOKUP(Table2[[#This Row],[Home/Neutral]],division_lookup,9,FALSE)=VLOOKUP(Table2[[#This Row],[Visitor/Neutral]],division_lookup,9,FALSE),TRUE,FALSE)</f>
        <v>0</v>
      </c>
      <c r="AC469" s="19" t="str">
        <f>VLOOKUP(Table2[[#This Row],[Home/Neutral]],division_lookup,9,FALSE)</f>
        <v>SE</v>
      </c>
      <c r="AD469" s="19"/>
      <c r="AE469" s="19" t="str">
        <f>IF(Table2[[#This Row],[Total EV ®]]&lt;Table2[[#This Row],[Total (V)]],"UNDER","OVER")</f>
        <v>OVER</v>
      </c>
      <c r="AF469" s="30">
        <f>Table2[[#This Row],[(A) Spread]]-Table2[[#This Row],[Spread (V)]]</f>
        <v>0</v>
      </c>
      <c r="AG469" s="19"/>
      <c r="AH469" s="2">
        <f>Table2[[#This Row],[EV]]-Table2[[#This Row],[Spread (V)]]</f>
        <v>-4.3473050122481141</v>
      </c>
      <c r="AI469" s="22">
        <f>Table2[[#This Row],[(A)]]-Table2[[#This Row],[Spread]]</f>
        <v>8.3648815165876691</v>
      </c>
      <c r="AJ469" s="1">
        <f>Table2[[#This Row],[(A) Err]]^2</f>
        <v>69.971242786550022</v>
      </c>
      <c r="AK469" s="6">
        <f>Table2[[#This Row],[EV]]-Table2[[#This Row],[Spread]]</f>
        <v>-4.3473050122481141</v>
      </c>
      <c r="AL469" s="1">
        <f>Table2[[#This Row],[EV Err]]^2</f>
        <v>18.899060869517577</v>
      </c>
    </row>
    <row r="470" spans="1:38" x14ac:dyDescent="0.25">
      <c r="A470" t="s">
        <v>103</v>
      </c>
      <c r="B470" t="s">
        <v>32</v>
      </c>
      <c r="C470" t="s">
        <v>14</v>
      </c>
      <c r="K470" s="25">
        <f>(Table2[[#This Row],[Home Pace]]/100)*(VLOOKUP(Table2[[#This Row],[Home/Neutral]],home_lookup,8,FALSE)+VLOOKUP(Table2[[#This Row],[Home/Neutral]],OFR_lookup,2,FALSE)+VLOOKUP(Table2[[#This Row],[Visitor/Neutral]],def_diff_lookup,6,FALSE))</f>
        <v>111.08179112001839</v>
      </c>
      <c r="L470" s="25"/>
      <c r="M470" s="25">
        <f>(Table2[[#This Row],[Away Pace]]/100)*(VLOOKUP(Table2[[#This Row],[Visitor/Neutral]],OFR_lookup,2,FALSE)+VLOOKUP(Table2[[#This Row],[Home/Neutral]],def_diff_lookup,6,FALSE))</f>
        <v>113.39279933333336</v>
      </c>
      <c r="N470" s="25"/>
      <c r="O470" s="25"/>
      <c r="P470">
        <f>VLOOKUP(Table2[[#This Row],[Home/Neutral]],pace_lookup,7,FALSE)</f>
        <v>98.6</v>
      </c>
      <c r="Q470" s="5">
        <f>VLOOKUP(Table2[[#This Row],[Visitor/Neutral]],pace_lookup,7,FALSE)</f>
        <v>95.9</v>
      </c>
      <c r="R470" s="9"/>
      <c r="V470" s="2">
        <f>-home-VLOOKUP(Table2[[#This Row],[Home/Neutral]],rtg_vlookup,4,FALSE)+VLOOKUP(Table2[[#This Row],[Visitor/Neutral]],rtg_vlookup,4,FALSE)</f>
        <v>5.1248815165876689</v>
      </c>
      <c r="W470" s="25"/>
      <c r="X470" s="2"/>
      <c r="Y470" s="2">
        <f>Table2[[#This Row],[Away EV]]-Table2[[#This Row],[Home EV]]</f>
        <v>2.3110082133149632</v>
      </c>
      <c r="Z470" s="33"/>
      <c r="AA470" s="34"/>
      <c r="AB470" s="5" t="b">
        <f>IF(VLOOKUP(Table2[[#This Row],[Home/Neutral]],division_lookup,9,FALSE)=VLOOKUP(Table2[[#This Row],[Visitor/Neutral]],division_lookup,9,FALSE),TRUE,FALSE)</f>
        <v>0</v>
      </c>
      <c r="AC470" s="19" t="str">
        <f>VLOOKUP(Table2[[#This Row],[Home/Neutral]],division_lookup,9,FALSE)</f>
        <v>NW</v>
      </c>
      <c r="AD470" s="19"/>
      <c r="AE470" s="19" t="str">
        <f>IF(Table2[[#This Row],[Total EV ®]]&lt;Table2[[#This Row],[Total (V)]],"UNDER","OVER")</f>
        <v>OVER</v>
      </c>
      <c r="AF470" s="30">
        <f>Table2[[#This Row],[(A) Spread]]-Table2[[#This Row],[Spread (V)]]</f>
        <v>0</v>
      </c>
      <c r="AG470" s="19"/>
      <c r="AH470" s="2">
        <f>Table2[[#This Row],[EV]]-Table2[[#This Row],[Spread (V)]]</f>
        <v>2.3110082133149632</v>
      </c>
      <c r="AI470" s="22">
        <f>Table2[[#This Row],[(A)]]-Table2[[#This Row],[Spread]]</f>
        <v>5.1248815165876689</v>
      </c>
      <c r="AJ470" s="1">
        <f>Table2[[#This Row],[(A) Err]]^2</f>
        <v>26.264410559061925</v>
      </c>
      <c r="AK470" s="6">
        <f>Table2[[#This Row],[EV]]-Table2[[#This Row],[Spread]]</f>
        <v>2.3110082133149632</v>
      </c>
      <c r="AL470" s="1">
        <f>Table2[[#This Row],[EV Err]]^2</f>
        <v>5.3407589620092182</v>
      </c>
    </row>
    <row r="471" spans="1:38" x14ac:dyDescent="0.25">
      <c r="A471" t="s">
        <v>103</v>
      </c>
      <c r="B471" t="s">
        <v>29</v>
      </c>
      <c r="C471" t="s">
        <v>39</v>
      </c>
      <c r="K471" s="25">
        <f>(Table2[[#This Row],[Home Pace]]/100)*(VLOOKUP(Table2[[#This Row],[Home/Neutral]],home_lookup,8,FALSE)+VLOOKUP(Table2[[#This Row],[Home/Neutral]],OFR_lookup,2,FALSE)+VLOOKUP(Table2[[#This Row],[Visitor/Neutral]],def_diff_lookup,6,FALSE))</f>
        <v>111.79384926898523</v>
      </c>
      <c r="L471" s="25"/>
      <c r="M471" s="25">
        <f>(Table2[[#This Row],[Away Pace]]/100)*(VLOOKUP(Table2[[#This Row],[Visitor/Neutral]],OFR_lookup,2,FALSE)+VLOOKUP(Table2[[#This Row],[Home/Neutral]],def_diff_lookup,6,FALSE))</f>
        <v>100.79615</v>
      </c>
      <c r="N471" s="25"/>
      <c r="O471" s="25"/>
      <c r="P471">
        <f>VLOOKUP(Table2[[#This Row],[Home/Neutral]],pace_lookup,7,FALSE)</f>
        <v>93.8</v>
      </c>
      <c r="Q471" s="5">
        <f>VLOOKUP(Table2[[#This Row],[Visitor/Neutral]],pace_lookup,7,FALSE)</f>
        <v>97.5</v>
      </c>
      <c r="R471" s="9"/>
      <c r="V471" s="2">
        <f>-home-VLOOKUP(Table2[[#This Row],[Home/Neutral]],rtg_vlookup,4,FALSE)+VLOOKUP(Table2[[#This Row],[Visitor/Neutral]],rtg_vlookup,4,FALSE)</f>
        <v>-9.7051184834123312</v>
      </c>
      <c r="W471" s="25"/>
      <c r="X471" s="2"/>
      <c r="Y471" s="2">
        <f>Table2[[#This Row],[Away EV]]-Table2[[#This Row],[Home EV]]</f>
        <v>-10.99769926898523</v>
      </c>
      <c r="Z471" s="33"/>
      <c r="AA471" s="34"/>
      <c r="AB471" s="5" t="b">
        <f>IF(VLOOKUP(Table2[[#This Row],[Home/Neutral]],division_lookup,9,FALSE)=VLOOKUP(Table2[[#This Row],[Visitor/Neutral]],division_lookup,9,FALSE),TRUE,FALSE)</f>
        <v>0</v>
      </c>
      <c r="AC471" s="19" t="str">
        <f>VLOOKUP(Table2[[#This Row],[Home/Neutral]],division_lookup,9,FALSE)</f>
        <v>P</v>
      </c>
      <c r="AD471" s="19"/>
      <c r="AE471" s="19" t="str">
        <f>IF(Table2[[#This Row],[Total EV ®]]&lt;Table2[[#This Row],[Total (V)]],"UNDER","OVER")</f>
        <v>OVER</v>
      </c>
      <c r="AF471" s="30">
        <f>Table2[[#This Row],[(A) Spread]]-Table2[[#This Row],[Spread (V)]]</f>
        <v>0</v>
      </c>
      <c r="AG471" s="19"/>
      <c r="AH471" s="2">
        <f>Table2[[#This Row],[EV]]-Table2[[#This Row],[Spread (V)]]</f>
        <v>-10.99769926898523</v>
      </c>
      <c r="AI471" s="22">
        <f>Table2[[#This Row],[(A)]]-Table2[[#This Row],[Spread]]</f>
        <v>-9.7051184834123312</v>
      </c>
      <c r="AJ471" s="1">
        <f>Table2[[#This Row],[(A) Err]]^2</f>
        <v>94.189324777071661</v>
      </c>
      <c r="AK471" s="6">
        <f>Table2[[#This Row],[EV]]-Table2[[#This Row],[Spread]]</f>
        <v>-10.99769926898523</v>
      </c>
      <c r="AL471" s="1">
        <f>Table2[[#This Row],[EV Err]]^2</f>
        <v>120.94938921103825</v>
      </c>
    </row>
    <row r="472" spans="1:38" x14ac:dyDescent="0.25">
      <c r="A472" t="s">
        <v>103</v>
      </c>
      <c r="B472" t="s">
        <v>28</v>
      </c>
      <c r="C472" t="s">
        <v>30</v>
      </c>
      <c r="K472" s="25">
        <f>(Table2[[#This Row],[Home Pace]]/100)*(VLOOKUP(Table2[[#This Row],[Home/Neutral]],home_lookup,8,FALSE)+VLOOKUP(Table2[[#This Row],[Home/Neutral]],OFR_lookup,2,FALSE)+VLOOKUP(Table2[[#This Row],[Visitor/Neutral]],def_diff_lookup,6,FALSE))</f>
        <v>110.18363553204274</v>
      </c>
      <c r="L472" s="25"/>
      <c r="M472" s="25">
        <f>(Table2[[#This Row],[Away Pace]]/100)*(VLOOKUP(Table2[[#This Row],[Visitor/Neutral]],OFR_lookup,2,FALSE)+VLOOKUP(Table2[[#This Row],[Home/Neutral]],def_diff_lookup,6,FALSE))</f>
        <v>105.23192533333335</v>
      </c>
      <c r="N472" s="25"/>
      <c r="O472" s="25"/>
      <c r="P472">
        <f>VLOOKUP(Table2[[#This Row],[Home/Neutral]],pace_lookup,7,FALSE)</f>
        <v>96.3</v>
      </c>
      <c r="Q472" s="5">
        <f>VLOOKUP(Table2[[#This Row],[Visitor/Neutral]],pace_lookup,7,FALSE)</f>
        <v>96.8</v>
      </c>
      <c r="R472" s="9"/>
      <c r="V472" s="2">
        <f>-home-VLOOKUP(Table2[[#This Row],[Home/Neutral]],rtg_vlookup,4,FALSE)+VLOOKUP(Table2[[#This Row],[Visitor/Neutral]],rtg_vlookup,4,FALSE)</f>
        <v>-3.3251184834123304</v>
      </c>
      <c r="W472" s="25"/>
      <c r="X472" s="2"/>
      <c r="Y472" s="2">
        <f>Table2[[#This Row],[Away EV]]-Table2[[#This Row],[Home EV]]</f>
        <v>-4.9517101987093923</v>
      </c>
      <c r="Z472" s="33"/>
      <c r="AA472" s="34"/>
      <c r="AB472" s="5" t="b">
        <f>IF(VLOOKUP(Table2[[#This Row],[Home/Neutral]],division_lookup,9,FALSE)=VLOOKUP(Table2[[#This Row],[Visitor/Neutral]],division_lookup,9,FALSE),TRUE,FALSE)</f>
        <v>0</v>
      </c>
      <c r="AC472" s="19" t="str">
        <f>VLOOKUP(Table2[[#This Row],[Home/Neutral]],division_lookup,9,FALSE)</f>
        <v>SE</v>
      </c>
      <c r="AD472" s="19"/>
      <c r="AE472" s="19" t="str">
        <f>IF(Table2[[#This Row],[Total EV ®]]&lt;Table2[[#This Row],[Total (V)]],"UNDER","OVER")</f>
        <v>OVER</v>
      </c>
      <c r="AF472" s="30">
        <f>Table2[[#This Row],[(A) Spread]]-Table2[[#This Row],[Spread (V)]]</f>
        <v>0</v>
      </c>
      <c r="AG472" s="19"/>
      <c r="AH472" s="2">
        <f>Table2[[#This Row],[EV]]-Table2[[#This Row],[Spread (V)]]</f>
        <v>-4.9517101987093923</v>
      </c>
      <c r="AI472" s="22">
        <f>Table2[[#This Row],[(A)]]-Table2[[#This Row],[Spread]]</f>
        <v>-3.3251184834123304</v>
      </c>
      <c r="AJ472" s="1">
        <f>Table2[[#This Row],[(A) Err]]^2</f>
        <v>11.056412928730316</v>
      </c>
      <c r="AK472" s="6">
        <f>Table2[[#This Row],[EV]]-Table2[[#This Row],[Spread]]</f>
        <v>-4.9517101987093923</v>
      </c>
      <c r="AL472" s="1">
        <f>Table2[[#This Row],[EV Err]]^2</f>
        <v>24.51943389200261</v>
      </c>
    </row>
    <row r="473" spans="1:38" x14ac:dyDescent="0.25">
      <c r="A473" t="s">
        <v>104</v>
      </c>
      <c r="B473" t="s">
        <v>26</v>
      </c>
      <c r="C473" t="s">
        <v>23</v>
      </c>
      <c r="K473" s="25">
        <f>(Table2[[#This Row],[Home Pace]]/100)*(VLOOKUP(Table2[[#This Row],[Home/Neutral]],home_lookup,8,FALSE)+VLOOKUP(Table2[[#This Row],[Home/Neutral]],OFR_lookup,2,FALSE)+VLOOKUP(Table2[[#This Row],[Visitor/Neutral]],def_diff_lookup,6,FALSE))</f>
        <v>102.6465635891816</v>
      </c>
      <c r="L473" s="25"/>
      <c r="M473" s="25">
        <f>(Table2[[#This Row],[Away Pace]]/100)*(VLOOKUP(Table2[[#This Row],[Visitor/Neutral]],OFR_lookup,2,FALSE)+VLOOKUP(Table2[[#This Row],[Home/Neutral]],def_diff_lookup,6,FALSE))</f>
        <v>98.115366666666688</v>
      </c>
      <c r="N473" s="25"/>
      <c r="O473" s="25"/>
      <c r="P473">
        <f>VLOOKUP(Table2[[#This Row],[Home/Neutral]],pace_lookup,7,FALSE)</f>
        <v>96</v>
      </c>
      <c r="Q473" s="5">
        <f>VLOOKUP(Table2[[#This Row],[Visitor/Neutral]],pace_lookup,7,FALSE)</f>
        <v>92.5</v>
      </c>
      <c r="R473" s="9"/>
      <c r="V473" s="2">
        <f>-home-VLOOKUP(Table2[[#This Row],[Home/Neutral]],rtg_vlookup,4,FALSE)+VLOOKUP(Table2[[#This Row],[Visitor/Neutral]],rtg_vlookup,4,FALSE)</f>
        <v>-0.1051184834123311</v>
      </c>
      <c r="W473" s="25"/>
      <c r="X473" s="2"/>
      <c r="Y473" s="2">
        <f>Table2[[#This Row],[Away EV]]-Table2[[#This Row],[Home EV]]</f>
        <v>-4.5311969225149085</v>
      </c>
      <c r="Z473" s="33"/>
      <c r="AA473" s="34"/>
      <c r="AB473" s="5" t="b">
        <f>IF(VLOOKUP(Table2[[#This Row],[Home/Neutral]],division_lookup,9,FALSE)=VLOOKUP(Table2[[#This Row],[Visitor/Neutral]],division_lookup,9,FALSE),TRUE,FALSE)</f>
        <v>0</v>
      </c>
      <c r="AC473" s="19" t="str">
        <f>VLOOKUP(Table2[[#This Row],[Home/Neutral]],division_lookup,9,FALSE)</f>
        <v>A</v>
      </c>
      <c r="AD473" s="19"/>
      <c r="AE473" s="19" t="str">
        <f>IF(Table2[[#This Row],[Total EV ®]]&lt;Table2[[#This Row],[Total (V)]],"UNDER","OVER")</f>
        <v>OVER</v>
      </c>
      <c r="AF473" s="30">
        <f>Table2[[#This Row],[(A) Spread]]-Table2[[#This Row],[Spread (V)]]</f>
        <v>0</v>
      </c>
      <c r="AG473" s="19"/>
      <c r="AH473" s="2">
        <f>Table2[[#This Row],[EV]]-Table2[[#This Row],[Spread (V)]]</f>
        <v>-4.5311969225149085</v>
      </c>
      <c r="AI473" s="22">
        <f>Table2[[#This Row],[(A)]]-Table2[[#This Row],[Spread]]</f>
        <v>-0.1051184834123311</v>
      </c>
      <c r="AJ473" s="1">
        <f>Table2[[#This Row],[(A) Err]]^2</f>
        <v>1.1049895554908528E-2</v>
      </c>
      <c r="AK473" s="6">
        <f>Table2[[#This Row],[EV]]-Table2[[#This Row],[Spread]]</f>
        <v>-4.5311969225149085</v>
      </c>
      <c r="AL473" s="1">
        <f>Table2[[#This Row],[EV Err]]^2</f>
        <v>20.531745550608576</v>
      </c>
    </row>
    <row r="474" spans="1:38" x14ac:dyDescent="0.25">
      <c r="A474" t="s">
        <v>104</v>
      </c>
      <c r="B474" t="s">
        <v>37</v>
      </c>
      <c r="C474" t="s">
        <v>17</v>
      </c>
      <c r="K474" s="25">
        <f>(Table2[[#This Row],[Home Pace]]/100)*(VLOOKUP(Table2[[#This Row],[Home/Neutral]],home_lookup,8,FALSE)+VLOOKUP(Table2[[#This Row],[Home/Neutral]],OFR_lookup,2,FALSE)+VLOOKUP(Table2[[#This Row],[Visitor/Neutral]],def_diff_lookup,6,FALSE))</f>
        <v>105.39749809362122</v>
      </c>
      <c r="L474" s="25"/>
      <c r="M474" s="25">
        <f>(Table2[[#This Row],[Away Pace]]/100)*(VLOOKUP(Table2[[#This Row],[Visitor/Neutral]],OFR_lookup,2,FALSE)+VLOOKUP(Table2[[#This Row],[Home/Neutral]],def_diff_lookup,6,FALSE))</f>
        <v>107.11523466666668</v>
      </c>
      <c r="N474" s="25"/>
      <c r="O474" s="25"/>
      <c r="P474">
        <f>VLOOKUP(Table2[[#This Row],[Home/Neutral]],pace_lookup,7,FALSE)</f>
        <v>92.1</v>
      </c>
      <c r="Q474" s="5">
        <f>VLOOKUP(Table2[[#This Row],[Visitor/Neutral]],pace_lookup,7,FALSE)</f>
        <v>96.7</v>
      </c>
      <c r="R474" s="9"/>
      <c r="V474" s="2">
        <f>-home-VLOOKUP(Table2[[#This Row],[Home/Neutral]],rtg_vlookup,4,FALSE)+VLOOKUP(Table2[[#This Row],[Visitor/Neutral]],rtg_vlookup,4,FALSE)</f>
        <v>8.9948815165876699</v>
      </c>
      <c r="W474" s="25"/>
      <c r="X474" s="2"/>
      <c r="Y474" s="2">
        <f>Table2[[#This Row],[Away EV]]-Table2[[#This Row],[Home EV]]</f>
        <v>1.7177365730454568</v>
      </c>
      <c r="Z474" s="33"/>
      <c r="AA474" s="34"/>
      <c r="AB474" s="5" t="b">
        <f>IF(VLOOKUP(Table2[[#This Row],[Home/Neutral]],division_lookup,9,FALSE)=VLOOKUP(Table2[[#This Row],[Visitor/Neutral]],division_lookup,9,FALSE),TRUE,FALSE)</f>
        <v>1</v>
      </c>
      <c r="AC474" s="19" t="str">
        <f>VLOOKUP(Table2[[#This Row],[Home/Neutral]],division_lookup,9,FALSE)</f>
        <v>SW</v>
      </c>
      <c r="AD474" s="19"/>
      <c r="AE474" s="19" t="str">
        <f>IF(Table2[[#This Row],[Total EV ®]]&lt;Table2[[#This Row],[Total (V)]],"UNDER","OVER")</f>
        <v>OVER</v>
      </c>
      <c r="AF474" s="30">
        <f>Table2[[#This Row],[(A) Spread]]-Table2[[#This Row],[Spread (V)]]</f>
        <v>0</v>
      </c>
      <c r="AG474" s="19"/>
      <c r="AH474" s="2">
        <f>Table2[[#This Row],[EV]]-Table2[[#This Row],[Spread (V)]]</f>
        <v>1.7177365730454568</v>
      </c>
      <c r="AI474" s="22">
        <f>Table2[[#This Row],[(A)]]-Table2[[#This Row],[Spread]]</f>
        <v>8.9948815165876699</v>
      </c>
      <c r="AJ474" s="1">
        <f>Table2[[#This Row],[(A) Err]]^2</f>
        <v>80.907893497450502</v>
      </c>
      <c r="AK474" s="6">
        <f>Table2[[#This Row],[EV]]-Table2[[#This Row],[Spread]]</f>
        <v>1.7177365730454568</v>
      </c>
      <c r="AL474" s="1">
        <f>Table2[[#This Row],[EV Err]]^2</f>
        <v>2.9506189343779501</v>
      </c>
    </row>
    <row r="475" spans="1:38" x14ac:dyDescent="0.25">
      <c r="A475" t="s">
        <v>104</v>
      </c>
      <c r="B475" t="s">
        <v>24</v>
      </c>
      <c r="C475" t="s">
        <v>20</v>
      </c>
      <c r="K475" s="25">
        <f>(Table2[[#This Row],[Home Pace]]/100)*(VLOOKUP(Table2[[#This Row],[Home/Neutral]],home_lookup,8,FALSE)+VLOOKUP(Table2[[#This Row],[Home/Neutral]],OFR_lookup,2,FALSE)+VLOOKUP(Table2[[#This Row],[Visitor/Neutral]],def_diff_lookup,6,FALSE))</f>
        <v>107.72796432830941</v>
      </c>
      <c r="L475" s="25"/>
      <c r="M475" s="25">
        <f>(Table2[[#This Row],[Away Pace]]/100)*(VLOOKUP(Table2[[#This Row],[Visitor/Neutral]],OFR_lookup,2,FALSE)+VLOOKUP(Table2[[#This Row],[Home/Neutral]],def_diff_lookup,6,FALSE))</f>
        <v>100.49964600000001</v>
      </c>
      <c r="N475" s="25"/>
      <c r="O475" s="25"/>
      <c r="P475">
        <f>VLOOKUP(Table2[[#This Row],[Home/Neutral]],pace_lookup,7,FALSE)</f>
        <v>99.9</v>
      </c>
      <c r="Q475" s="5">
        <f>VLOOKUP(Table2[[#This Row],[Visitor/Neutral]],pace_lookup,7,FALSE)</f>
        <v>90.9</v>
      </c>
      <c r="R475" s="9"/>
      <c r="V475" s="2">
        <f>-home-VLOOKUP(Table2[[#This Row],[Home/Neutral]],rtg_vlookup,4,FALSE)+VLOOKUP(Table2[[#This Row],[Visitor/Neutral]],rtg_vlookup,4,FALSE)</f>
        <v>-1.2451184834123306</v>
      </c>
      <c r="W475" s="25"/>
      <c r="X475" s="2"/>
      <c r="Y475" s="2">
        <f>Table2[[#This Row],[Away EV]]-Table2[[#This Row],[Home EV]]</f>
        <v>-7.228318328309399</v>
      </c>
      <c r="Z475" s="33"/>
      <c r="AA475" s="34"/>
      <c r="AB475" s="5" t="b">
        <f>IF(VLOOKUP(Table2[[#This Row],[Home/Neutral]],division_lookup,9,FALSE)=VLOOKUP(Table2[[#This Row],[Visitor/Neutral]],division_lookup,9,FALSE),TRUE,FALSE)</f>
        <v>0</v>
      </c>
      <c r="AC475" s="19" t="str">
        <f>VLOOKUP(Table2[[#This Row],[Home/Neutral]],division_lookup,9,FALSE)</f>
        <v>P</v>
      </c>
      <c r="AD475" s="19"/>
      <c r="AE475" s="19" t="str">
        <f>IF(Table2[[#This Row],[Total EV ®]]&lt;Table2[[#This Row],[Total (V)]],"UNDER","OVER")</f>
        <v>OVER</v>
      </c>
      <c r="AF475" s="30">
        <f>Table2[[#This Row],[(A) Spread]]-Table2[[#This Row],[Spread (V)]]</f>
        <v>0</v>
      </c>
      <c r="AG475" s="19"/>
      <c r="AH475" s="2">
        <f>Table2[[#This Row],[EV]]-Table2[[#This Row],[Spread (V)]]</f>
        <v>-7.228318328309399</v>
      </c>
      <c r="AI475" s="22">
        <f>Table2[[#This Row],[(A)]]-Table2[[#This Row],[Spread]]</f>
        <v>-1.2451184834123306</v>
      </c>
      <c r="AJ475" s="1">
        <f>Table2[[#This Row],[(A) Err]]^2</f>
        <v>1.5503200377350221</v>
      </c>
      <c r="AK475" s="6">
        <f>Table2[[#This Row],[EV]]-Table2[[#This Row],[Spread]]</f>
        <v>-7.228318328309399</v>
      </c>
      <c r="AL475" s="1">
        <f>Table2[[#This Row],[EV Err]]^2</f>
        <v>52.248585855373584</v>
      </c>
    </row>
    <row r="476" spans="1:38" x14ac:dyDescent="0.25">
      <c r="A476" t="s">
        <v>104</v>
      </c>
      <c r="B476" t="s">
        <v>21</v>
      </c>
      <c r="C476" t="s">
        <v>18</v>
      </c>
      <c r="K476" s="25">
        <f>(Table2[[#This Row],[Home Pace]]/100)*(VLOOKUP(Table2[[#This Row],[Home/Neutral]],home_lookup,8,FALSE)+VLOOKUP(Table2[[#This Row],[Home/Neutral]],OFR_lookup,2,FALSE)+VLOOKUP(Table2[[#This Row],[Visitor/Neutral]],def_diff_lookup,6,FALSE))</f>
        <v>97.541051175243894</v>
      </c>
      <c r="L476" s="25"/>
      <c r="M476" s="25">
        <f>(Table2[[#This Row],[Away Pace]]/100)*(VLOOKUP(Table2[[#This Row],[Visitor/Neutral]],OFR_lookup,2,FALSE)+VLOOKUP(Table2[[#This Row],[Home/Neutral]],def_diff_lookup,6,FALSE))</f>
        <v>100.18721333333335</v>
      </c>
      <c r="N476" s="25"/>
      <c r="O476" s="25"/>
      <c r="P476">
        <f>VLOOKUP(Table2[[#This Row],[Home/Neutral]],pace_lookup,7,FALSE)</f>
        <v>94.2</v>
      </c>
      <c r="Q476" s="5">
        <f>VLOOKUP(Table2[[#This Row],[Visitor/Neutral]],pace_lookup,7,FALSE)</f>
        <v>99.5</v>
      </c>
      <c r="R476" s="9"/>
      <c r="V476" s="2">
        <f>-home-VLOOKUP(Table2[[#This Row],[Home/Neutral]],rtg_vlookup,4,FALSE)+VLOOKUP(Table2[[#This Row],[Visitor/Neutral]],rtg_vlookup,4,FALSE)</f>
        <v>-0.30511848341233083</v>
      </c>
      <c r="W476" s="25"/>
      <c r="X476" s="2"/>
      <c r="Y476" s="2">
        <f>Table2[[#This Row],[Away EV]]-Table2[[#This Row],[Home EV]]</f>
        <v>2.646162158089453</v>
      </c>
      <c r="Z476" s="33"/>
      <c r="AA476" s="34"/>
      <c r="AB476" s="5" t="b">
        <f>IF(VLOOKUP(Table2[[#This Row],[Home/Neutral]],division_lookup,9,FALSE)=VLOOKUP(Table2[[#This Row],[Visitor/Neutral]],division_lookup,9,FALSE),TRUE,FALSE)</f>
        <v>0</v>
      </c>
      <c r="AC476" s="19" t="str">
        <f>VLOOKUP(Table2[[#This Row],[Home/Neutral]],division_lookup,9,FALSE)</f>
        <v>SE</v>
      </c>
      <c r="AD476" s="19"/>
      <c r="AE476" s="19" t="str">
        <f>IF(Table2[[#This Row],[Total EV ®]]&lt;Table2[[#This Row],[Total (V)]],"UNDER","OVER")</f>
        <v>OVER</v>
      </c>
      <c r="AF476" s="30">
        <f>Table2[[#This Row],[(A) Spread]]-Table2[[#This Row],[Spread (V)]]</f>
        <v>0</v>
      </c>
      <c r="AG476" s="19"/>
      <c r="AH476" s="2">
        <f>Table2[[#This Row],[EV]]-Table2[[#This Row],[Spread (V)]]</f>
        <v>2.646162158089453</v>
      </c>
      <c r="AI476" s="22">
        <f>Table2[[#This Row],[(A)]]-Table2[[#This Row],[Spread]]</f>
        <v>-0.30511848341233083</v>
      </c>
      <c r="AJ476" s="1">
        <f>Table2[[#This Row],[(A) Err]]^2</f>
        <v>9.3097288919840801E-2</v>
      </c>
      <c r="AK476" s="6">
        <f>Table2[[#This Row],[EV]]-Table2[[#This Row],[Spread]]</f>
        <v>2.646162158089453</v>
      </c>
      <c r="AL476" s="1">
        <f>Table2[[#This Row],[EV Err]]^2</f>
        <v>7.0021741669046316</v>
      </c>
    </row>
    <row r="477" spans="1:38" x14ac:dyDescent="0.25">
      <c r="A477" t="s">
        <v>105</v>
      </c>
      <c r="B477" t="s">
        <v>11</v>
      </c>
      <c r="C477" t="s">
        <v>31</v>
      </c>
      <c r="K477" s="25">
        <f>(Table2[[#This Row],[Home Pace]]/100)*(VLOOKUP(Table2[[#This Row],[Home/Neutral]],home_lookup,8,FALSE)+VLOOKUP(Table2[[#This Row],[Home/Neutral]],OFR_lookup,2,FALSE)+VLOOKUP(Table2[[#This Row],[Visitor/Neutral]],def_diff_lookup,6,FALSE))</f>
        <v>103.21621904407282</v>
      </c>
      <c r="L477" s="25"/>
      <c r="M477" s="25">
        <f>(Table2[[#This Row],[Away Pace]]/100)*(VLOOKUP(Table2[[#This Row],[Visitor/Neutral]],OFR_lookup,2,FALSE)+VLOOKUP(Table2[[#This Row],[Home/Neutral]],def_diff_lookup,6,FALSE))</f>
        <v>96.941440000000014</v>
      </c>
      <c r="N477" s="25"/>
      <c r="O477" s="25"/>
      <c r="P477">
        <f>VLOOKUP(Table2[[#This Row],[Home/Neutral]],pace_lookup,7,FALSE)</f>
        <v>99.7</v>
      </c>
      <c r="Q477" s="5">
        <f>VLOOKUP(Table2[[#This Row],[Visitor/Neutral]],pace_lookup,7,FALSE)</f>
        <v>96</v>
      </c>
      <c r="R477" s="9"/>
      <c r="V477" s="2">
        <f>-home-VLOOKUP(Table2[[#This Row],[Home/Neutral]],rtg_vlookup,4,FALSE)+VLOOKUP(Table2[[#This Row],[Visitor/Neutral]],rtg_vlookup,4,FALSE)</f>
        <v>-11.285118483412331</v>
      </c>
      <c r="W477" s="25"/>
      <c r="X477" s="2"/>
      <c r="Y477" s="2">
        <f>Table2[[#This Row],[Away EV]]-Table2[[#This Row],[Home EV]]</f>
        <v>-6.2747790440728011</v>
      </c>
      <c r="Z477" s="33"/>
      <c r="AA477" s="34"/>
      <c r="AB477" s="5" t="b">
        <f>IF(VLOOKUP(Table2[[#This Row],[Home/Neutral]],division_lookup,9,FALSE)=VLOOKUP(Table2[[#This Row],[Visitor/Neutral]],division_lookup,9,FALSE),TRUE,FALSE)</f>
        <v>0</v>
      </c>
      <c r="AC477" s="19" t="str">
        <f>VLOOKUP(Table2[[#This Row],[Home/Neutral]],division_lookup,9,FALSE)</f>
        <v>SE</v>
      </c>
      <c r="AD477" s="19"/>
      <c r="AE477" s="19" t="str">
        <f>IF(Table2[[#This Row],[Total EV ®]]&lt;Table2[[#This Row],[Total (V)]],"UNDER","OVER")</f>
        <v>OVER</v>
      </c>
      <c r="AF477" s="30">
        <f>Table2[[#This Row],[(A) Spread]]-Table2[[#This Row],[Spread (V)]]</f>
        <v>0</v>
      </c>
      <c r="AG477" s="19"/>
      <c r="AH477" s="2">
        <f>Table2[[#This Row],[EV]]-Table2[[#This Row],[Spread (V)]]</f>
        <v>-6.2747790440728011</v>
      </c>
      <c r="AI477" s="22">
        <f>Table2[[#This Row],[(A)]]-Table2[[#This Row],[Spread]]</f>
        <v>-11.285118483412331</v>
      </c>
      <c r="AJ477" s="1">
        <f>Table2[[#This Row],[(A) Err]]^2</f>
        <v>127.35389918465464</v>
      </c>
      <c r="AK477" s="6">
        <f>Table2[[#This Row],[EV]]-Table2[[#This Row],[Spread]]</f>
        <v>-6.2747790440728011</v>
      </c>
      <c r="AL477" s="1">
        <f>Table2[[#This Row],[EV Err]]^2</f>
        <v>39.372852051935176</v>
      </c>
    </row>
    <row r="478" spans="1:38" x14ac:dyDescent="0.25">
      <c r="A478" t="s">
        <v>105</v>
      </c>
      <c r="B478" t="s">
        <v>13</v>
      </c>
      <c r="C478" t="s">
        <v>35</v>
      </c>
      <c r="K478" s="25">
        <f>(Table2[[#This Row],[Home Pace]]/100)*(VLOOKUP(Table2[[#This Row],[Home/Neutral]],home_lookup,8,FALSE)+VLOOKUP(Table2[[#This Row],[Home/Neutral]],OFR_lookup,2,FALSE)+VLOOKUP(Table2[[#This Row],[Visitor/Neutral]],def_diff_lookup,6,FALSE))</f>
        <v>108.765791084504</v>
      </c>
      <c r="L478" s="25"/>
      <c r="M478" s="25">
        <f>(Table2[[#This Row],[Away Pace]]/100)*(VLOOKUP(Table2[[#This Row],[Visitor/Neutral]],OFR_lookup,2,FALSE)+VLOOKUP(Table2[[#This Row],[Home/Neutral]],def_diff_lookup,6,FALSE))</f>
        <v>105.14404133333335</v>
      </c>
      <c r="N478" s="25"/>
      <c r="O478" s="25"/>
      <c r="P478">
        <f>VLOOKUP(Table2[[#This Row],[Home/Neutral]],pace_lookup,7,FALSE)</f>
        <v>94.5</v>
      </c>
      <c r="Q478" s="5">
        <f>VLOOKUP(Table2[[#This Row],[Visitor/Neutral]],pace_lookup,7,FALSE)</f>
        <v>102.2</v>
      </c>
      <c r="R478" s="9"/>
      <c r="V478" s="2">
        <f>-home-VLOOKUP(Table2[[#This Row],[Home/Neutral]],rtg_vlookup,4,FALSE)+VLOOKUP(Table2[[#This Row],[Visitor/Neutral]],rtg_vlookup,4,FALSE)</f>
        <v>-14.67511848341233</v>
      </c>
      <c r="W478" s="25"/>
      <c r="X478" s="2"/>
      <c r="Y478" s="2">
        <f>Table2[[#This Row],[Away EV]]-Table2[[#This Row],[Home EV]]</f>
        <v>-3.621749751170654</v>
      </c>
      <c r="Z478" s="33"/>
      <c r="AA478" s="34"/>
      <c r="AB478" s="5" t="b">
        <f>IF(VLOOKUP(Table2[[#This Row],[Home/Neutral]],division_lookup,9,FALSE)=VLOOKUP(Table2[[#This Row],[Visitor/Neutral]],division_lookup,9,FALSE),TRUE,FALSE)</f>
        <v>0</v>
      </c>
      <c r="AC478" s="19" t="str">
        <f>VLOOKUP(Table2[[#This Row],[Home/Neutral]],division_lookup,9,FALSE)</f>
        <v>C</v>
      </c>
      <c r="AD478" s="19"/>
      <c r="AE478" s="19" t="str">
        <f>IF(Table2[[#This Row],[Total EV ®]]&lt;Table2[[#This Row],[Total (V)]],"UNDER","OVER")</f>
        <v>OVER</v>
      </c>
      <c r="AF478" s="30">
        <f>Table2[[#This Row],[(A) Spread]]-Table2[[#This Row],[Spread (V)]]</f>
        <v>0</v>
      </c>
      <c r="AG478" s="19"/>
      <c r="AH478" s="2">
        <f>Table2[[#This Row],[EV]]-Table2[[#This Row],[Spread (V)]]</f>
        <v>-3.621749751170654</v>
      </c>
      <c r="AI478" s="22">
        <f>Table2[[#This Row],[(A)]]-Table2[[#This Row],[Spread]]</f>
        <v>-14.67511848341233</v>
      </c>
      <c r="AJ478" s="1">
        <f>Table2[[#This Row],[(A) Err]]^2</f>
        <v>215.35910250219021</v>
      </c>
      <c r="AK478" s="6">
        <f>Table2[[#This Row],[EV]]-Table2[[#This Row],[Spread]]</f>
        <v>-3.621749751170654</v>
      </c>
      <c r="AL478" s="1">
        <f>Table2[[#This Row],[EV Err]]^2</f>
        <v>13.117071260104694</v>
      </c>
    </row>
    <row r="479" spans="1:38" x14ac:dyDescent="0.25">
      <c r="A479" t="s">
        <v>105</v>
      </c>
      <c r="B479" t="s">
        <v>27</v>
      </c>
      <c r="C479" t="s">
        <v>22</v>
      </c>
      <c r="K479" s="25">
        <f>(Table2[[#This Row],[Home Pace]]/100)*(VLOOKUP(Table2[[#This Row],[Home/Neutral]],home_lookup,8,FALSE)+VLOOKUP(Table2[[#This Row],[Home/Neutral]],OFR_lookup,2,FALSE)+VLOOKUP(Table2[[#This Row],[Visitor/Neutral]],def_diff_lookup,6,FALSE))</f>
        <v>108.54495642647258</v>
      </c>
      <c r="L479" s="25"/>
      <c r="M479" s="25">
        <f>(Table2[[#This Row],[Away Pace]]/100)*(VLOOKUP(Table2[[#This Row],[Visitor/Neutral]],OFR_lookup,2,FALSE)+VLOOKUP(Table2[[#This Row],[Home/Neutral]],def_diff_lookup,6,FALSE))</f>
        <v>104.94717133333336</v>
      </c>
      <c r="N479" s="25"/>
      <c r="O479" s="25"/>
      <c r="P479">
        <f>VLOOKUP(Table2[[#This Row],[Home/Neutral]],pace_lookup,7,FALSE)</f>
        <v>99</v>
      </c>
      <c r="Q479" s="5">
        <f>VLOOKUP(Table2[[#This Row],[Visitor/Neutral]],pace_lookup,7,FALSE)</f>
        <v>94.7</v>
      </c>
      <c r="R479" s="9"/>
      <c r="V479" s="2">
        <f>-home-VLOOKUP(Table2[[#This Row],[Home/Neutral]],rtg_vlookup,4,FALSE)+VLOOKUP(Table2[[#This Row],[Visitor/Neutral]],rtg_vlookup,4,FALSE)</f>
        <v>-1.2251184834123308</v>
      </c>
      <c r="W479" s="25"/>
      <c r="X479" s="2"/>
      <c r="Y479" s="2">
        <f>Table2[[#This Row],[Away EV]]-Table2[[#This Row],[Home EV]]</f>
        <v>-3.5977850931392226</v>
      </c>
      <c r="Z479" s="33"/>
      <c r="AA479" s="34"/>
      <c r="AB479" s="5" t="b">
        <f>IF(VLOOKUP(Table2[[#This Row],[Home/Neutral]],division_lookup,9,FALSE)=VLOOKUP(Table2[[#This Row],[Visitor/Neutral]],division_lookup,9,FALSE),TRUE,FALSE)</f>
        <v>1</v>
      </c>
      <c r="AC479" s="19" t="str">
        <f>VLOOKUP(Table2[[#This Row],[Home/Neutral]],division_lookup,9,FALSE)</f>
        <v>NW</v>
      </c>
      <c r="AD479" s="19"/>
      <c r="AE479" s="19" t="str">
        <f>IF(Table2[[#This Row],[Total EV ®]]&lt;Table2[[#This Row],[Total (V)]],"UNDER","OVER")</f>
        <v>OVER</v>
      </c>
      <c r="AF479" s="30">
        <f>Table2[[#This Row],[(A) Spread]]-Table2[[#This Row],[Spread (V)]]</f>
        <v>0</v>
      </c>
      <c r="AG479" s="19"/>
      <c r="AH479" s="2">
        <f>Table2[[#This Row],[EV]]-Table2[[#This Row],[Spread (V)]]</f>
        <v>-3.5977850931392226</v>
      </c>
      <c r="AI479" s="22">
        <f>Table2[[#This Row],[(A)]]-Table2[[#This Row],[Spread]]</f>
        <v>-1.2251184834123308</v>
      </c>
      <c r="AJ479" s="1">
        <f>Table2[[#This Row],[(A) Err]]^2</f>
        <v>1.5009152983985294</v>
      </c>
      <c r="AK479" s="6">
        <f>Table2[[#This Row],[EV]]-Table2[[#This Row],[Spread]]</f>
        <v>-3.5977850931392226</v>
      </c>
      <c r="AL479" s="1">
        <f>Table2[[#This Row],[EV Err]]^2</f>
        <v>12.944057576414805</v>
      </c>
    </row>
    <row r="480" spans="1:38" x14ac:dyDescent="0.25">
      <c r="A480" t="s">
        <v>105</v>
      </c>
      <c r="B480" t="s">
        <v>25</v>
      </c>
      <c r="C480" t="s">
        <v>30</v>
      </c>
      <c r="K480" s="25">
        <f>(Table2[[#This Row],[Home Pace]]/100)*(VLOOKUP(Table2[[#This Row],[Home/Neutral]],home_lookup,8,FALSE)+VLOOKUP(Table2[[#This Row],[Home/Neutral]],OFR_lookup,2,FALSE)+VLOOKUP(Table2[[#This Row],[Visitor/Neutral]],def_diff_lookup,6,FALSE))</f>
        <v>105.09406444427258</v>
      </c>
      <c r="L480" s="25"/>
      <c r="M480" s="25">
        <f>(Table2[[#This Row],[Away Pace]]/100)*(VLOOKUP(Table2[[#This Row],[Visitor/Neutral]],OFR_lookup,2,FALSE)+VLOOKUP(Table2[[#This Row],[Home/Neutral]],def_diff_lookup,6,FALSE))</f>
        <v>98.77536533333334</v>
      </c>
      <c r="N480" s="25"/>
      <c r="O480" s="25"/>
      <c r="P480">
        <f>VLOOKUP(Table2[[#This Row],[Home/Neutral]],pace_lookup,7,FALSE)</f>
        <v>94.4</v>
      </c>
      <c r="Q480" s="5">
        <f>VLOOKUP(Table2[[#This Row],[Visitor/Neutral]],pace_lookup,7,FALSE)</f>
        <v>96.8</v>
      </c>
      <c r="R480" s="9"/>
      <c r="V480" s="2">
        <f>-home-VLOOKUP(Table2[[#This Row],[Home/Neutral]],rtg_vlookup,4,FALSE)+VLOOKUP(Table2[[#This Row],[Visitor/Neutral]],rtg_vlookup,4,FALSE)</f>
        <v>-5.2251184834123308</v>
      </c>
      <c r="W480" s="25"/>
      <c r="X480" s="2"/>
      <c r="Y480" s="2">
        <f>Table2[[#This Row],[Away EV]]-Table2[[#This Row],[Home EV]]</f>
        <v>-6.3186991109392352</v>
      </c>
      <c r="Z480" s="33"/>
      <c r="AA480" s="34"/>
      <c r="AB480" s="5" t="b">
        <f>IF(VLOOKUP(Table2[[#This Row],[Home/Neutral]],division_lookup,9,FALSE)=VLOOKUP(Table2[[#This Row],[Visitor/Neutral]],division_lookup,9,FALSE),TRUE,FALSE)</f>
        <v>1</v>
      </c>
      <c r="AC480" s="19" t="str">
        <f>VLOOKUP(Table2[[#This Row],[Home/Neutral]],division_lookup,9,FALSE)</f>
        <v>C</v>
      </c>
      <c r="AD480" s="19"/>
      <c r="AE480" s="19" t="str">
        <f>IF(Table2[[#This Row],[Total EV ®]]&lt;Table2[[#This Row],[Total (V)]],"UNDER","OVER")</f>
        <v>OVER</v>
      </c>
      <c r="AF480" s="30">
        <f>Table2[[#This Row],[(A) Spread]]-Table2[[#This Row],[Spread (V)]]</f>
        <v>0</v>
      </c>
      <c r="AG480" s="19"/>
      <c r="AH480" s="2">
        <f>Table2[[#This Row],[EV]]-Table2[[#This Row],[Spread (V)]]</f>
        <v>-6.3186991109392352</v>
      </c>
      <c r="AI480" s="22">
        <f>Table2[[#This Row],[(A)]]-Table2[[#This Row],[Spread]]</f>
        <v>-5.2251184834123308</v>
      </c>
      <c r="AJ480" s="1">
        <f>Table2[[#This Row],[(A) Err]]^2</f>
        <v>27.301863165697174</v>
      </c>
      <c r="AK480" s="6">
        <f>Table2[[#This Row],[EV]]-Table2[[#This Row],[Spread]]</f>
        <v>-6.3186991109392352</v>
      </c>
      <c r="AL480" s="1">
        <f>Table2[[#This Row],[EV Err]]^2</f>
        <v>39.925958454584283</v>
      </c>
    </row>
    <row r="481" spans="1:38" x14ac:dyDescent="0.25">
      <c r="A481" t="s">
        <v>105</v>
      </c>
      <c r="B481" t="s">
        <v>10</v>
      </c>
      <c r="C481" t="s">
        <v>14</v>
      </c>
      <c r="K481" s="25">
        <f>(Table2[[#This Row],[Home Pace]]/100)*(VLOOKUP(Table2[[#This Row],[Home/Neutral]],home_lookup,8,FALSE)+VLOOKUP(Table2[[#This Row],[Home/Neutral]],OFR_lookup,2,FALSE)+VLOOKUP(Table2[[#This Row],[Visitor/Neutral]],def_diff_lookup,6,FALSE))</f>
        <v>109.09200853790561</v>
      </c>
      <c r="L481" s="25"/>
      <c r="M481" s="25">
        <f>(Table2[[#This Row],[Away Pace]]/100)*(VLOOKUP(Table2[[#This Row],[Visitor/Neutral]],OFR_lookup,2,FALSE)+VLOOKUP(Table2[[#This Row],[Home/Neutral]],def_diff_lookup,6,FALSE))</f>
        <v>110.04588933333335</v>
      </c>
      <c r="N481" s="25"/>
      <c r="O481" s="25"/>
      <c r="P481">
        <f>VLOOKUP(Table2[[#This Row],[Home/Neutral]],pace_lookup,7,FALSE)</f>
        <v>100.3</v>
      </c>
      <c r="Q481" s="5">
        <f>VLOOKUP(Table2[[#This Row],[Visitor/Neutral]],pace_lookup,7,FALSE)</f>
        <v>95.9</v>
      </c>
      <c r="R481" s="9"/>
      <c r="V481" s="2">
        <f>-home-VLOOKUP(Table2[[#This Row],[Home/Neutral]],rtg_vlookup,4,FALSE)+VLOOKUP(Table2[[#This Row],[Visitor/Neutral]],rtg_vlookup,4,FALSE)</f>
        <v>-6.2351184834123314</v>
      </c>
      <c r="W481" s="25"/>
      <c r="X481" s="2"/>
      <c r="Y481" s="2">
        <f>Table2[[#This Row],[Away EV]]-Table2[[#This Row],[Home EV]]</f>
        <v>0.95388079542773596</v>
      </c>
      <c r="Z481" s="33"/>
      <c r="AA481" s="34"/>
      <c r="AB481" s="5" t="b">
        <f>IF(VLOOKUP(Table2[[#This Row],[Home/Neutral]],division_lookup,9,FALSE)=VLOOKUP(Table2[[#This Row],[Visitor/Neutral]],division_lookup,9,FALSE),TRUE,FALSE)</f>
        <v>0</v>
      </c>
      <c r="AC481" s="19" t="str">
        <f>VLOOKUP(Table2[[#This Row],[Home/Neutral]],division_lookup,9,FALSE)</f>
        <v>P</v>
      </c>
      <c r="AD481" s="19"/>
      <c r="AE481" s="19" t="str">
        <f>IF(Table2[[#This Row],[Total EV ®]]&lt;Table2[[#This Row],[Total (V)]],"UNDER","OVER")</f>
        <v>OVER</v>
      </c>
      <c r="AF481" s="30">
        <f>Table2[[#This Row],[(A) Spread]]-Table2[[#This Row],[Spread (V)]]</f>
        <v>0</v>
      </c>
      <c r="AG481" s="19"/>
      <c r="AH481" s="2">
        <f>Table2[[#This Row],[EV]]-Table2[[#This Row],[Spread (V)]]</f>
        <v>0.95388079542773596</v>
      </c>
      <c r="AI481" s="22">
        <f>Table2[[#This Row],[(A)]]-Table2[[#This Row],[Spread]]</f>
        <v>-6.2351184834123314</v>
      </c>
      <c r="AJ481" s="1">
        <f>Table2[[#This Row],[(A) Err]]^2</f>
        <v>38.876702502190092</v>
      </c>
      <c r="AK481" s="6">
        <f>Table2[[#This Row],[EV]]-Table2[[#This Row],[Spread]]</f>
        <v>0.95388079542773596</v>
      </c>
      <c r="AL481" s="1">
        <f>Table2[[#This Row],[EV Err]]^2</f>
        <v>0.90988857188585026</v>
      </c>
    </row>
    <row r="482" spans="1:38" x14ac:dyDescent="0.25">
      <c r="A482" t="s">
        <v>105</v>
      </c>
      <c r="B482" t="s">
        <v>34</v>
      </c>
      <c r="C482" t="s">
        <v>4</v>
      </c>
      <c r="K482" s="25">
        <f>(Table2[[#This Row],[Home Pace]]/100)*(VLOOKUP(Table2[[#This Row],[Home/Neutral]],home_lookup,8,FALSE)+VLOOKUP(Table2[[#This Row],[Home/Neutral]],OFR_lookup,2,FALSE)+VLOOKUP(Table2[[#This Row],[Visitor/Neutral]],def_diff_lookup,6,FALSE))</f>
        <v>98.880758645655547</v>
      </c>
      <c r="L482" s="25"/>
      <c r="M482" s="25">
        <f>(Table2[[#This Row],[Away Pace]]/100)*(VLOOKUP(Table2[[#This Row],[Visitor/Neutral]],OFR_lookup,2,FALSE)+VLOOKUP(Table2[[#This Row],[Home/Neutral]],def_diff_lookup,6,FALSE))</f>
        <v>110.704244</v>
      </c>
      <c r="N482" s="25"/>
      <c r="O482" s="25"/>
      <c r="P482">
        <f>VLOOKUP(Table2[[#This Row],[Home/Neutral]],pace_lookup,7,FALSE)</f>
        <v>98.8</v>
      </c>
      <c r="Q482" s="5">
        <f>VLOOKUP(Table2[[#This Row],[Visitor/Neutral]],pace_lookup,7,FALSE)</f>
        <v>96.6</v>
      </c>
      <c r="R482" s="9"/>
      <c r="V482" s="2">
        <f>-home-VLOOKUP(Table2[[#This Row],[Home/Neutral]],rtg_vlookup,4,FALSE)+VLOOKUP(Table2[[#This Row],[Visitor/Neutral]],rtg_vlookup,4,FALSE)</f>
        <v>16.944881516587671</v>
      </c>
      <c r="W482" s="25"/>
      <c r="X482" s="2"/>
      <c r="Y482" s="2">
        <f>Table2[[#This Row],[Away EV]]-Table2[[#This Row],[Home EV]]</f>
        <v>11.823485354344456</v>
      </c>
      <c r="Z482" s="33"/>
      <c r="AA482" s="34"/>
      <c r="AB482" s="5" t="b">
        <f>IF(VLOOKUP(Table2[[#This Row],[Home/Neutral]],division_lookup,9,FALSE)=VLOOKUP(Table2[[#This Row],[Visitor/Neutral]],division_lookup,9,FALSE),TRUE,FALSE)</f>
        <v>0</v>
      </c>
      <c r="AC482" s="19" t="str">
        <f>VLOOKUP(Table2[[#This Row],[Home/Neutral]],division_lookup,9,FALSE)</f>
        <v>SW</v>
      </c>
      <c r="AD482" s="19"/>
      <c r="AE482" s="19" t="str">
        <f>IF(Table2[[#This Row],[Total EV ®]]&lt;Table2[[#This Row],[Total (V)]],"UNDER","OVER")</f>
        <v>OVER</v>
      </c>
      <c r="AF482" s="30">
        <f>Table2[[#This Row],[(A) Spread]]-Table2[[#This Row],[Spread (V)]]</f>
        <v>0</v>
      </c>
      <c r="AG482" s="19"/>
      <c r="AH482" s="2">
        <f>Table2[[#This Row],[EV]]-Table2[[#This Row],[Spread (V)]]</f>
        <v>11.823485354344456</v>
      </c>
      <c r="AI482" s="22">
        <f>Table2[[#This Row],[(A)]]-Table2[[#This Row],[Spread]]</f>
        <v>16.944881516587671</v>
      </c>
      <c r="AJ482" s="1">
        <f>Table2[[#This Row],[(A) Err]]^2</f>
        <v>287.12900961119448</v>
      </c>
      <c r="AK482" s="6">
        <f>Table2[[#This Row],[EV]]-Table2[[#This Row],[Spread]]</f>
        <v>11.823485354344456</v>
      </c>
      <c r="AL482" s="1">
        <f>Table2[[#This Row],[EV Err]]^2</f>
        <v>139.79480592439785</v>
      </c>
    </row>
    <row r="483" spans="1:38" x14ac:dyDescent="0.25">
      <c r="A483" t="s">
        <v>105</v>
      </c>
      <c r="B483" t="s">
        <v>38</v>
      </c>
      <c r="C483" t="s">
        <v>16</v>
      </c>
      <c r="K483" s="25">
        <f>(Table2[[#This Row],[Home Pace]]/100)*(VLOOKUP(Table2[[#This Row],[Home/Neutral]],home_lookup,8,FALSE)+VLOOKUP(Table2[[#This Row],[Home/Neutral]],OFR_lookup,2,FALSE)+VLOOKUP(Table2[[#This Row],[Visitor/Neutral]],def_diff_lookup,6,FALSE))</f>
        <v>104.3292916789148</v>
      </c>
      <c r="L483" s="25"/>
      <c r="M483" s="25">
        <f>(Table2[[#This Row],[Away Pace]]/100)*(VLOOKUP(Table2[[#This Row],[Visitor/Neutral]],OFR_lookup,2,FALSE)+VLOOKUP(Table2[[#This Row],[Home/Neutral]],def_diff_lookup,6,FALSE))</f>
        <v>105.5639</v>
      </c>
      <c r="N483" s="25"/>
      <c r="O483" s="25"/>
      <c r="P483">
        <f>VLOOKUP(Table2[[#This Row],[Home/Neutral]],pace_lookup,7,FALSE)</f>
        <v>94.2</v>
      </c>
      <c r="Q483" s="5">
        <f>VLOOKUP(Table2[[#This Row],[Visitor/Neutral]],pace_lookup,7,FALSE)</f>
        <v>97.5</v>
      </c>
      <c r="R483" s="9"/>
      <c r="V483" s="2">
        <f>-home-VLOOKUP(Table2[[#This Row],[Home/Neutral]],rtg_vlookup,4,FALSE)+VLOOKUP(Table2[[#This Row],[Visitor/Neutral]],rtg_vlookup,4,FALSE)</f>
        <v>8.584881516587668</v>
      </c>
      <c r="W483" s="25"/>
      <c r="X483" s="2"/>
      <c r="Y483" s="2">
        <f>Table2[[#This Row],[Away EV]]-Table2[[#This Row],[Home EV]]</f>
        <v>1.2346083210852044</v>
      </c>
      <c r="Z483" s="33"/>
      <c r="AA483" s="34"/>
      <c r="AB483" s="5" t="b">
        <f>IF(VLOOKUP(Table2[[#This Row],[Home/Neutral]],division_lookup,9,FALSE)=VLOOKUP(Table2[[#This Row],[Visitor/Neutral]],division_lookup,9,FALSE),TRUE,FALSE)</f>
        <v>1</v>
      </c>
      <c r="AC483" s="19" t="str">
        <f>VLOOKUP(Table2[[#This Row],[Home/Neutral]],division_lookup,9,FALSE)</f>
        <v>SE</v>
      </c>
      <c r="AD483" s="19"/>
      <c r="AE483" s="19" t="str">
        <f>IF(Table2[[#This Row],[Total EV ®]]&lt;Table2[[#This Row],[Total (V)]],"UNDER","OVER")</f>
        <v>OVER</v>
      </c>
      <c r="AF483" s="30">
        <f>Table2[[#This Row],[(A) Spread]]-Table2[[#This Row],[Spread (V)]]</f>
        <v>0</v>
      </c>
      <c r="AG483" s="19"/>
      <c r="AH483" s="2">
        <f>Table2[[#This Row],[EV]]-Table2[[#This Row],[Spread (V)]]</f>
        <v>1.2346083210852044</v>
      </c>
      <c r="AI483" s="22">
        <f>Table2[[#This Row],[(A)]]-Table2[[#This Row],[Spread]]</f>
        <v>8.584881516587668</v>
      </c>
      <c r="AJ483" s="1">
        <f>Table2[[#This Row],[(A) Err]]^2</f>
        <v>73.70019065384858</v>
      </c>
      <c r="AK483" s="6">
        <f>Table2[[#This Row],[EV]]-Table2[[#This Row],[Spread]]</f>
        <v>1.2346083210852044</v>
      </c>
      <c r="AL483" s="1">
        <f>Table2[[#This Row],[EV Err]]^2</f>
        <v>1.5242577064928271</v>
      </c>
    </row>
    <row r="484" spans="1:38" x14ac:dyDescent="0.25">
      <c r="A484" t="s">
        <v>105</v>
      </c>
      <c r="B484" t="s">
        <v>32</v>
      </c>
      <c r="C484" t="s">
        <v>29</v>
      </c>
      <c r="K484" s="25">
        <f>(Table2[[#This Row],[Home Pace]]/100)*(VLOOKUP(Table2[[#This Row],[Home/Neutral]],home_lookup,8,FALSE)+VLOOKUP(Table2[[#This Row],[Home/Neutral]],OFR_lookup,2,FALSE)+VLOOKUP(Table2[[#This Row],[Visitor/Neutral]],def_diff_lookup,6,FALSE))</f>
        <v>112.49177112001838</v>
      </c>
      <c r="L484" s="25"/>
      <c r="M484" s="25">
        <f>(Table2[[#This Row],[Away Pace]]/100)*(VLOOKUP(Table2[[#This Row],[Visitor/Neutral]],OFR_lookup,2,FALSE)+VLOOKUP(Table2[[#This Row],[Home/Neutral]],def_diff_lookup,6,FALSE))</f>
        <v>105.44120533333334</v>
      </c>
      <c r="N484" s="25"/>
      <c r="O484" s="25"/>
      <c r="P484">
        <f>VLOOKUP(Table2[[#This Row],[Home/Neutral]],pace_lookup,7,FALSE)</f>
        <v>98.6</v>
      </c>
      <c r="Q484" s="5">
        <f>VLOOKUP(Table2[[#This Row],[Visitor/Neutral]],pace_lookup,7,FALSE)</f>
        <v>93.8</v>
      </c>
      <c r="R484" s="9"/>
      <c r="V484" s="2">
        <f>-home-VLOOKUP(Table2[[#This Row],[Home/Neutral]],rtg_vlookup,4,FALSE)+VLOOKUP(Table2[[#This Row],[Visitor/Neutral]],rtg_vlookup,4,FALSE)</f>
        <v>-2.1351184834123309</v>
      </c>
      <c r="W484" s="25"/>
      <c r="X484" s="2"/>
      <c r="Y484" s="2">
        <f>Table2[[#This Row],[Away EV]]-Table2[[#This Row],[Home EV]]</f>
        <v>-7.0505657866850413</v>
      </c>
      <c r="Z484" s="33"/>
      <c r="AA484" s="34"/>
      <c r="AB484" s="5" t="b">
        <f>IF(VLOOKUP(Table2[[#This Row],[Home/Neutral]],division_lookup,9,FALSE)=VLOOKUP(Table2[[#This Row],[Visitor/Neutral]],division_lookup,9,FALSE),TRUE,FALSE)</f>
        <v>0</v>
      </c>
      <c r="AC484" s="19" t="str">
        <f>VLOOKUP(Table2[[#This Row],[Home/Neutral]],division_lookup,9,FALSE)</f>
        <v>NW</v>
      </c>
      <c r="AD484" s="19"/>
      <c r="AE484" s="19" t="str">
        <f>IF(Table2[[#This Row],[Total EV ®]]&lt;Table2[[#This Row],[Total (V)]],"UNDER","OVER")</f>
        <v>OVER</v>
      </c>
      <c r="AF484" s="30">
        <f>Table2[[#This Row],[(A) Spread]]-Table2[[#This Row],[Spread (V)]]</f>
        <v>0</v>
      </c>
      <c r="AG484" s="19"/>
      <c r="AH484" s="2">
        <f>Table2[[#This Row],[EV]]-Table2[[#This Row],[Spread (V)]]</f>
        <v>-7.0505657866850413</v>
      </c>
      <c r="AI484" s="22">
        <f>Table2[[#This Row],[(A)]]-Table2[[#This Row],[Spread]]</f>
        <v>-2.1351184834123309</v>
      </c>
      <c r="AJ484" s="1">
        <f>Table2[[#This Row],[(A) Err]]^2</f>
        <v>4.5587309382089716</v>
      </c>
      <c r="AK484" s="6">
        <f>Table2[[#This Row],[EV]]-Table2[[#This Row],[Spread]]</f>
        <v>-7.0505657866850413</v>
      </c>
      <c r="AL484" s="1">
        <f>Table2[[#This Row],[EV Err]]^2</f>
        <v>49.710477912373655</v>
      </c>
    </row>
    <row r="485" spans="1:38" x14ac:dyDescent="0.25">
      <c r="A485" t="s">
        <v>105</v>
      </c>
      <c r="B485" t="s">
        <v>6</v>
      </c>
      <c r="C485" t="s">
        <v>36</v>
      </c>
      <c r="K485" s="25">
        <f>(Table2[[#This Row],[Home Pace]]/100)*(VLOOKUP(Table2[[#This Row],[Home/Neutral]],home_lookup,8,FALSE)+VLOOKUP(Table2[[#This Row],[Home/Neutral]],OFR_lookup,2,FALSE)+VLOOKUP(Table2[[#This Row],[Visitor/Neutral]],def_diff_lookup,6,FALSE))</f>
        <v>105.68491787062243</v>
      </c>
      <c r="L485" s="25"/>
      <c r="M485" s="25">
        <f>(Table2[[#This Row],[Away Pace]]/100)*(VLOOKUP(Table2[[#This Row],[Visitor/Neutral]],OFR_lookup,2,FALSE)+VLOOKUP(Table2[[#This Row],[Home/Neutral]],def_diff_lookup,6,FALSE))</f>
        <v>102.87520133333335</v>
      </c>
      <c r="N485" s="25"/>
      <c r="O485" s="25"/>
      <c r="P485">
        <f>VLOOKUP(Table2[[#This Row],[Home/Neutral]],pace_lookup,7,FALSE)</f>
        <v>93.1</v>
      </c>
      <c r="Q485" s="5">
        <f>VLOOKUP(Table2[[#This Row],[Visitor/Neutral]],pace_lookup,7,FALSE)</f>
        <v>102.2</v>
      </c>
      <c r="R485" s="9"/>
      <c r="V485" s="2">
        <f>-home-VLOOKUP(Table2[[#This Row],[Home/Neutral]],rtg_vlookup,4,FALSE)+VLOOKUP(Table2[[#This Row],[Visitor/Neutral]],rtg_vlookup,4,FALSE)</f>
        <v>-15.92511848341233</v>
      </c>
      <c r="W485" s="25"/>
      <c r="X485" s="2"/>
      <c r="Y485" s="2">
        <f>Table2[[#This Row],[Away EV]]-Table2[[#This Row],[Home EV]]</f>
        <v>-2.8097165372890771</v>
      </c>
      <c r="Z485" s="33"/>
      <c r="AA485" s="34"/>
      <c r="AB485" s="5" t="b">
        <f>IF(VLOOKUP(Table2[[#This Row],[Home/Neutral]],division_lookup,9,FALSE)=VLOOKUP(Table2[[#This Row],[Visitor/Neutral]],division_lookup,9,FALSE),TRUE,FALSE)</f>
        <v>0</v>
      </c>
      <c r="AC485" s="19" t="str">
        <f>VLOOKUP(Table2[[#This Row],[Home/Neutral]],division_lookup,9,FALSE)</f>
        <v>SW</v>
      </c>
      <c r="AD485" s="19"/>
      <c r="AE485" s="19" t="str">
        <f>IF(Table2[[#This Row],[Total EV ®]]&lt;Table2[[#This Row],[Total (V)]],"UNDER","OVER")</f>
        <v>OVER</v>
      </c>
      <c r="AF485" s="30">
        <f>Table2[[#This Row],[(A) Spread]]-Table2[[#This Row],[Spread (V)]]</f>
        <v>0</v>
      </c>
      <c r="AG485" s="19"/>
      <c r="AH485" s="2">
        <f>Table2[[#This Row],[EV]]-Table2[[#This Row],[Spread (V)]]</f>
        <v>-2.8097165372890771</v>
      </c>
      <c r="AI485" s="22">
        <f>Table2[[#This Row],[(A)]]-Table2[[#This Row],[Spread]]</f>
        <v>-15.92511848341233</v>
      </c>
      <c r="AJ485" s="1">
        <f>Table2[[#This Row],[(A) Err]]^2</f>
        <v>253.60939871072102</v>
      </c>
      <c r="AK485" s="6">
        <f>Table2[[#This Row],[EV]]-Table2[[#This Row],[Spread]]</f>
        <v>-2.8097165372890771</v>
      </c>
      <c r="AL485" s="1">
        <f>Table2[[#This Row],[EV Err]]^2</f>
        <v>7.8945070199157215</v>
      </c>
    </row>
    <row r="486" spans="1:38" x14ac:dyDescent="0.25">
      <c r="A486" t="s">
        <v>105</v>
      </c>
      <c r="B486" t="s">
        <v>28</v>
      </c>
      <c r="C486" t="s">
        <v>33</v>
      </c>
      <c r="K486" s="25">
        <f>(Table2[[#This Row],[Home Pace]]/100)*(VLOOKUP(Table2[[#This Row],[Home/Neutral]],home_lookup,8,FALSE)+VLOOKUP(Table2[[#This Row],[Home/Neutral]],OFR_lookup,2,FALSE)+VLOOKUP(Table2[[#This Row],[Visitor/Neutral]],def_diff_lookup,6,FALSE))</f>
        <v>110.71328553204273</v>
      </c>
      <c r="L486" s="25"/>
      <c r="M486" s="25">
        <f>(Table2[[#This Row],[Away Pace]]/100)*(VLOOKUP(Table2[[#This Row],[Visitor/Neutral]],OFR_lookup,2,FALSE)+VLOOKUP(Table2[[#This Row],[Home/Neutral]],def_diff_lookup,6,FALSE))</f>
        <v>104.61311466666668</v>
      </c>
      <c r="N486" s="25"/>
      <c r="O486" s="25"/>
      <c r="P486">
        <f>VLOOKUP(Table2[[#This Row],[Home/Neutral]],pace_lookup,7,FALSE)</f>
        <v>96.3</v>
      </c>
      <c r="Q486" s="5">
        <f>VLOOKUP(Table2[[#This Row],[Visitor/Neutral]],pace_lookup,7,FALSE)</f>
        <v>98.2</v>
      </c>
      <c r="R486" s="9"/>
      <c r="V486" s="2">
        <f>-home-VLOOKUP(Table2[[#This Row],[Home/Neutral]],rtg_vlookup,4,FALSE)+VLOOKUP(Table2[[#This Row],[Visitor/Neutral]],rtg_vlookup,4,FALSE)</f>
        <v>-6.0551184834123308</v>
      </c>
      <c r="W486" s="25"/>
      <c r="X486" s="2"/>
      <c r="Y486" s="2">
        <f>Table2[[#This Row],[Away EV]]-Table2[[#This Row],[Home EV]]</f>
        <v>-6.1001708653760573</v>
      </c>
      <c r="Z486" s="33"/>
      <c r="AA486" s="34"/>
      <c r="AB486" s="5" t="b">
        <f>IF(VLOOKUP(Table2[[#This Row],[Home/Neutral]],division_lookup,9,FALSE)=VLOOKUP(Table2[[#This Row],[Visitor/Neutral]],division_lookup,9,FALSE),TRUE,FALSE)</f>
        <v>0</v>
      </c>
      <c r="AC486" s="19" t="str">
        <f>VLOOKUP(Table2[[#This Row],[Home/Neutral]],division_lookup,9,FALSE)</f>
        <v>SE</v>
      </c>
      <c r="AD486" s="19"/>
      <c r="AE486" s="19" t="str">
        <f>IF(Table2[[#This Row],[Total EV ®]]&lt;Table2[[#This Row],[Total (V)]],"UNDER","OVER")</f>
        <v>OVER</v>
      </c>
      <c r="AF486" s="30">
        <f>Table2[[#This Row],[(A) Spread]]-Table2[[#This Row],[Spread (V)]]</f>
        <v>0</v>
      </c>
      <c r="AG486" s="19"/>
      <c r="AH486" s="2">
        <f>Table2[[#This Row],[EV]]-Table2[[#This Row],[Spread (V)]]</f>
        <v>-6.1001708653760573</v>
      </c>
      <c r="AI486" s="22">
        <f>Table2[[#This Row],[(A)]]-Table2[[#This Row],[Spread]]</f>
        <v>-6.0551184834123308</v>
      </c>
      <c r="AJ486" s="1">
        <f>Table2[[#This Row],[(A) Err]]^2</f>
        <v>36.664459848161648</v>
      </c>
      <c r="AK486" s="6">
        <f>Table2[[#This Row],[EV]]-Table2[[#This Row],[Spread]]</f>
        <v>-6.1001708653760573</v>
      </c>
      <c r="AL486" s="1">
        <f>Table2[[#This Row],[EV Err]]^2</f>
        <v>37.212084586782879</v>
      </c>
    </row>
    <row r="487" spans="1:38" x14ac:dyDescent="0.25">
      <c r="A487" t="s">
        <v>106</v>
      </c>
      <c r="B487" t="s">
        <v>16</v>
      </c>
      <c r="C487" t="s">
        <v>21</v>
      </c>
      <c r="K487" s="25">
        <f>(Table2[[#This Row],[Home Pace]]/100)*(VLOOKUP(Table2[[#This Row],[Home/Neutral]],home_lookup,8,FALSE)+VLOOKUP(Table2[[#This Row],[Home/Neutral]],OFR_lookup,2,FALSE)+VLOOKUP(Table2[[#This Row],[Visitor/Neutral]],def_diff_lookup,6,FALSE))</f>
        <v>100.03835601115951</v>
      </c>
      <c r="L487" s="25"/>
      <c r="M487" s="25">
        <f>(Table2[[#This Row],[Away Pace]]/100)*(VLOOKUP(Table2[[#This Row],[Visitor/Neutral]],OFR_lookup,2,FALSE)+VLOOKUP(Table2[[#This Row],[Home/Neutral]],def_diff_lookup,6,FALSE))</f>
        <v>94.850608000000022</v>
      </c>
      <c r="N487" s="25"/>
      <c r="O487" s="25"/>
      <c r="P487">
        <f>VLOOKUP(Table2[[#This Row],[Home/Neutral]],pace_lookup,7,FALSE)</f>
        <v>97.5</v>
      </c>
      <c r="Q487" s="5">
        <f>VLOOKUP(Table2[[#This Row],[Visitor/Neutral]],pace_lookup,7,FALSE)</f>
        <v>94.2</v>
      </c>
      <c r="R487" s="9"/>
      <c r="V487" s="2">
        <f>-home-VLOOKUP(Table2[[#This Row],[Home/Neutral]],rtg_vlookup,4,FALSE)+VLOOKUP(Table2[[#This Row],[Visitor/Neutral]],rtg_vlookup,4,FALSE)</f>
        <v>-5.4351184834123307</v>
      </c>
      <c r="W487" s="25"/>
      <c r="X487" s="2"/>
      <c r="Y487" s="2">
        <f>Table2[[#This Row],[Away EV]]-Table2[[#This Row],[Home EV]]</f>
        <v>-5.1877480111594849</v>
      </c>
      <c r="Z487" s="33"/>
      <c r="AA487" s="34"/>
      <c r="AB487" s="5" t="b">
        <f>IF(VLOOKUP(Table2[[#This Row],[Home/Neutral]],division_lookup,9,FALSE)=VLOOKUP(Table2[[#This Row],[Visitor/Neutral]],division_lookup,9,FALSE),TRUE,FALSE)</f>
        <v>1</v>
      </c>
      <c r="AC487" s="19" t="str">
        <f>VLOOKUP(Table2[[#This Row],[Home/Neutral]],division_lookup,9,FALSE)</f>
        <v>SE</v>
      </c>
      <c r="AD487" s="19"/>
      <c r="AE487" s="19" t="str">
        <f>IF(Table2[[#This Row],[Total EV ®]]&lt;Table2[[#This Row],[Total (V)]],"UNDER","OVER")</f>
        <v>OVER</v>
      </c>
      <c r="AF487" s="30">
        <f>Table2[[#This Row],[(A) Spread]]-Table2[[#This Row],[Spread (V)]]</f>
        <v>0</v>
      </c>
      <c r="AG487" s="19"/>
      <c r="AH487" s="2">
        <f>Table2[[#This Row],[EV]]-Table2[[#This Row],[Spread (V)]]</f>
        <v>-5.1877480111594849</v>
      </c>
      <c r="AI487" s="22">
        <f>Table2[[#This Row],[(A)]]-Table2[[#This Row],[Spread]]</f>
        <v>-5.4351184834123307</v>
      </c>
      <c r="AJ487" s="1">
        <f>Table2[[#This Row],[(A) Err]]^2</f>
        <v>29.540512928730355</v>
      </c>
      <c r="AK487" s="6">
        <f>Table2[[#This Row],[EV]]-Table2[[#This Row],[Spread]]</f>
        <v>-5.1877480111594849</v>
      </c>
      <c r="AL487" s="1">
        <f>Table2[[#This Row],[EV Err]]^2</f>
        <v>26.912729427289189</v>
      </c>
    </row>
    <row r="488" spans="1:38" x14ac:dyDescent="0.25">
      <c r="A488" t="s">
        <v>106</v>
      </c>
      <c r="B488" t="s">
        <v>8</v>
      </c>
      <c r="C488" t="s">
        <v>26</v>
      </c>
      <c r="K488" s="25">
        <f>(Table2[[#This Row],[Home Pace]]/100)*(VLOOKUP(Table2[[#This Row],[Home/Neutral]],home_lookup,8,FALSE)+VLOOKUP(Table2[[#This Row],[Home/Neutral]],OFR_lookup,2,FALSE)+VLOOKUP(Table2[[#This Row],[Visitor/Neutral]],def_diff_lookup,6,FALSE))</f>
        <v>106.48770036898181</v>
      </c>
      <c r="L488" s="25"/>
      <c r="M488" s="25">
        <f>(Table2[[#This Row],[Away Pace]]/100)*(VLOOKUP(Table2[[#This Row],[Visitor/Neutral]],OFR_lookup,2,FALSE)+VLOOKUP(Table2[[#This Row],[Home/Neutral]],def_diff_lookup,6,FALSE))</f>
        <v>101.63584</v>
      </c>
      <c r="N488" s="25"/>
      <c r="O488" s="25"/>
      <c r="P488">
        <f>VLOOKUP(Table2[[#This Row],[Home/Neutral]],pace_lookup,7,FALSE)</f>
        <v>97.2</v>
      </c>
      <c r="Q488" s="5">
        <f>VLOOKUP(Table2[[#This Row],[Visitor/Neutral]],pace_lookup,7,FALSE)</f>
        <v>96</v>
      </c>
      <c r="R488" s="9"/>
      <c r="V488" s="2">
        <f>-home-VLOOKUP(Table2[[#This Row],[Home/Neutral]],rtg_vlookup,4,FALSE)+VLOOKUP(Table2[[#This Row],[Visitor/Neutral]],rtg_vlookup,4,FALSE)</f>
        <v>-9.8051184834123308</v>
      </c>
      <c r="W488" s="25"/>
      <c r="X488" s="2"/>
      <c r="Y488" s="2">
        <f>Table2[[#This Row],[Away EV]]-Table2[[#This Row],[Home EV]]</f>
        <v>-4.8518603689818036</v>
      </c>
      <c r="Z488" s="33"/>
      <c r="AA488" s="34"/>
      <c r="AB488" s="5" t="b">
        <f>IF(VLOOKUP(Table2[[#This Row],[Home/Neutral]],division_lookup,9,FALSE)=VLOOKUP(Table2[[#This Row],[Visitor/Neutral]],division_lookup,9,FALSE),TRUE,FALSE)</f>
        <v>0</v>
      </c>
      <c r="AC488" s="19" t="str">
        <f>VLOOKUP(Table2[[#This Row],[Home/Neutral]],division_lookup,9,FALSE)</f>
        <v>C</v>
      </c>
      <c r="AD488" s="19"/>
      <c r="AE488" s="19" t="str">
        <f>IF(Table2[[#This Row],[Total EV ®]]&lt;Table2[[#This Row],[Total (V)]],"UNDER","OVER")</f>
        <v>OVER</v>
      </c>
      <c r="AF488" s="30">
        <f>Table2[[#This Row],[(A) Spread]]-Table2[[#This Row],[Spread (V)]]</f>
        <v>0</v>
      </c>
      <c r="AG488" s="19"/>
      <c r="AH488" s="2">
        <f>Table2[[#This Row],[EV]]-Table2[[#This Row],[Spread (V)]]</f>
        <v>-4.8518603689818036</v>
      </c>
      <c r="AI488" s="22">
        <f>Table2[[#This Row],[(A)]]-Table2[[#This Row],[Spread]]</f>
        <v>-9.8051184834123308</v>
      </c>
      <c r="AJ488" s="1">
        <f>Table2[[#This Row],[(A) Err]]^2</f>
        <v>96.140348473754131</v>
      </c>
      <c r="AK488" s="6">
        <f>Table2[[#This Row],[EV]]-Table2[[#This Row],[Spread]]</f>
        <v>-4.8518603689818036</v>
      </c>
      <c r="AL488" s="1">
        <f>Table2[[#This Row],[EV Err]]^2</f>
        <v>23.540549040096245</v>
      </c>
    </row>
    <row r="489" spans="1:38" x14ac:dyDescent="0.25">
      <c r="A489" t="s">
        <v>106</v>
      </c>
      <c r="B489" t="s">
        <v>24</v>
      </c>
      <c r="C489" t="s">
        <v>37</v>
      </c>
      <c r="K489" s="25">
        <f>(Table2[[#This Row],[Home Pace]]/100)*(VLOOKUP(Table2[[#This Row],[Home/Neutral]],home_lookup,8,FALSE)+VLOOKUP(Table2[[#This Row],[Home/Neutral]],OFR_lookup,2,FALSE)+VLOOKUP(Table2[[#This Row],[Visitor/Neutral]],def_diff_lookup,6,FALSE))</f>
        <v>106.1295643283094</v>
      </c>
      <c r="L489" s="25"/>
      <c r="M489" s="25">
        <f>(Table2[[#This Row],[Away Pace]]/100)*(VLOOKUP(Table2[[#This Row],[Visitor/Neutral]],OFR_lookup,2,FALSE)+VLOOKUP(Table2[[#This Row],[Home/Neutral]],def_diff_lookup,6,FALSE))</f>
        <v>91.842733999999993</v>
      </c>
      <c r="N489" s="25"/>
      <c r="O489" s="25"/>
      <c r="P489">
        <f>VLOOKUP(Table2[[#This Row],[Home/Neutral]],pace_lookup,7,FALSE)</f>
        <v>99.9</v>
      </c>
      <c r="Q489" s="5">
        <f>VLOOKUP(Table2[[#This Row],[Visitor/Neutral]],pace_lookup,7,FALSE)</f>
        <v>92.1</v>
      </c>
      <c r="R489" s="9"/>
      <c r="V489" s="2">
        <f>-home-VLOOKUP(Table2[[#This Row],[Home/Neutral]],rtg_vlookup,4,FALSE)+VLOOKUP(Table2[[#This Row],[Visitor/Neutral]],rtg_vlookup,4,FALSE)</f>
        <v>-10.465118483412331</v>
      </c>
      <c r="W489" s="25"/>
      <c r="X489" s="2"/>
      <c r="Y489" s="2">
        <f>Table2[[#This Row],[Away EV]]-Table2[[#This Row],[Home EV]]</f>
        <v>-14.286830328309406</v>
      </c>
      <c r="Z489" s="33"/>
      <c r="AA489" s="34"/>
      <c r="AB489" s="5" t="b">
        <f>IF(VLOOKUP(Table2[[#This Row],[Home/Neutral]],division_lookup,9,FALSE)=VLOOKUP(Table2[[#This Row],[Visitor/Neutral]],division_lookup,9,FALSE),TRUE,FALSE)</f>
        <v>0</v>
      </c>
      <c r="AC489" s="19" t="str">
        <f>VLOOKUP(Table2[[#This Row],[Home/Neutral]],division_lookup,9,FALSE)</f>
        <v>P</v>
      </c>
      <c r="AD489" s="19"/>
      <c r="AE489" s="19" t="str">
        <f>IF(Table2[[#This Row],[Total EV ®]]&lt;Table2[[#This Row],[Total (V)]],"UNDER","OVER")</f>
        <v>OVER</v>
      </c>
      <c r="AF489" s="30">
        <f>Table2[[#This Row],[(A) Spread]]-Table2[[#This Row],[Spread (V)]]</f>
        <v>0</v>
      </c>
      <c r="AG489" s="19"/>
      <c r="AH489" s="2">
        <f>Table2[[#This Row],[EV]]-Table2[[#This Row],[Spread (V)]]</f>
        <v>-14.286830328309406</v>
      </c>
      <c r="AI489" s="22">
        <f>Table2[[#This Row],[(A)]]-Table2[[#This Row],[Spread]]</f>
        <v>-10.465118483412331</v>
      </c>
      <c r="AJ489" s="1">
        <f>Table2[[#This Row],[(A) Err]]^2</f>
        <v>109.5187048718584</v>
      </c>
      <c r="AK489" s="6">
        <f>Table2[[#This Row],[EV]]-Table2[[#This Row],[Spread]]</f>
        <v>-14.286830328309406</v>
      </c>
      <c r="AL489" s="1">
        <f>Table2[[#This Row],[EV Err]]^2</f>
        <v>204.11352082990146</v>
      </c>
    </row>
    <row r="490" spans="1:38" x14ac:dyDescent="0.25">
      <c r="A490" t="s">
        <v>106</v>
      </c>
      <c r="B490" t="s">
        <v>23</v>
      </c>
      <c r="C490" t="s">
        <v>18</v>
      </c>
      <c r="K490" s="25">
        <f>(Table2[[#This Row],[Home Pace]]/100)*(VLOOKUP(Table2[[#This Row],[Home/Neutral]],home_lookup,8,FALSE)+VLOOKUP(Table2[[#This Row],[Home/Neutral]],OFR_lookup,2,FALSE)+VLOOKUP(Table2[[#This Row],[Visitor/Neutral]],def_diff_lookup,6,FALSE))</f>
        <v>98.067887358713591</v>
      </c>
      <c r="L490" s="25"/>
      <c r="M490" s="25">
        <f>(Table2[[#This Row],[Away Pace]]/100)*(VLOOKUP(Table2[[#This Row],[Visitor/Neutral]],OFR_lookup,2,FALSE)+VLOOKUP(Table2[[#This Row],[Home/Neutral]],def_diff_lookup,6,FALSE))</f>
        <v>99.580263333333349</v>
      </c>
      <c r="N490" s="25"/>
      <c r="O490" s="25"/>
      <c r="P490">
        <f>VLOOKUP(Table2[[#This Row],[Home/Neutral]],pace_lookup,7,FALSE)</f>
        <v>92.5</v>
      </c>
      <c r="Q490" s="5">
        <f>VLOOKUP(Table2[[#This Row],[Visitor/Neutral]],pace_lookup,7,FALSE)</f>
        <v>99.5</v>
      </c>
      <c r="R490" s="9"/>
      <c r="V490" s="2">
        <f>-home-VLOOKUP(Table2[[#This Row],[Home/Neutral]],rtg_vlookup,4,FALSE)+VLOOKUP(Table2[[#This Row],[Visitor/Neutral]],rtg_vlookup,4,FALSE)</f>
        <v>-2.795118483412331</v>
      </c>
      <c r="W490" s="25"/>
      <c r="X490" s="2"/>
      <c r="Y490" s="2">
        <f>Table2[[#This Row],[Away EV]]-Table2[[#This Row],[Home EV]]</f>
        <v>1.5123759746197578</v>
      </c>
      <c r="Z490" s="33"/>
      <c r="AA490" s="34"/>
      <c r="AB490" s="5" t="b">
        <f>IF(VLOOKUP(Table2[[#This Row],[Home/Neutral]],division_lookup,9,FALSE)=VLOOKUP(Table2[[#This Row],[Visitor/Neutral]],division_lookup,9,FALSE),TRUE,FALSE)</f>
        <v>0</v>
      </c>
      <c r="AC490" s="19" t="str">
        <f>VLOOKUP(Table2[[#This Row],[Home/Neutral]],division_lookup,9,FALSE)</f>
        <v>SW</v>
      </c>
      <c r="AD490" s="19"/>
      <c r="AE490" s="19" t="str">
        <f>IF(Table2[[#This Row],[Total EV ®]]&lt;Table2[[#This Row],[Total (V)]],"UNDER","OVER")</f>
        <v>OVER</v>
      </c>
      <c r="AF490" s="30">
        <f>Table2[[#This Row],[(A) Spread]]-Table2[[#This Row],[Spread (V)]]</f>
        <v>0</v>
      </c>
      <c r="AG490" s="19"/>
      <c r="AH490" s="2">
        <f>Table2[[#This Row],[EV]]-Table2[[#This Row],[Spread (V)]]</f>
        <v>1.5123759746197578</v>
      </c>
      <c r="AI490" s="22">
        <f>Table2[[#This Row],[(A)]]-Table2[[#This Row],[Spread]]</f>
        <v>-2.795118483412331</v>
      </c>
      <c r="AJ490" s="1">
        <f>Table2[[#This Row],[(A) Err]]^2</f>
        <v>7.8126873363132496</v>
      </c>
      <c r="AK490" s="6">
        <f>Table2[[#This Row],[EV]]-Table2[[#This Row],[Spread]]</f>
        <v>1.5123759746197578</v>
      </c>
      <c r="AL490" s="1">
        <f>Table2[[#This Row],[EV Err]]^2</f>
        <v>2.2872810886070623</v>
      </c>
    </row>
    <row r="491" spans="1:38" x14ac:dyDescent="0.25">
      <c r="A491" t="s">
        <v>106</v>
      </c>
      <c r="B491" t="s">
        <v>36</v>
      </c>
      <c r="C491" t="s">
        <v>14</v>
      </c>
      <c r="K491" s="25">
        <f>(Table2[[#This Row],[Home Pace]]/100)*(VLOOKUP(Table2[[#This Row],[Home/Neutral]],home_lookup,8,FALSE)+VLOOKUP(Table2[[#This Row],[Home/Neutral]],OFR_lookup,2,FALSE)+VLOOKUP(Table2[[#This Row],[Visitor/Neutral]],def_diff_lookup,6,FALSE))</f>
        <v>109.41397156604043</v>
      </c>
      <c r="L491" s="25"/>
      <c r="M491" s="25">
        <f>(Table2[[#This Row],[Away Pace]]/100)*(VLOOKUP(Table2[[#This Row],[Visitor/Neutral]],OFR_lookup,2,FALSE)+VLOOKUP(Table2[[#This Row],[Home/Neutral]],def_diff_lookup,6,FALSE))</f>
        <v>111.27340933333335</v>
      </c>
      <c r="N491" s="25"/>
      <c r="O491" s="25"/>
      <c r="P491">
        <f>VLOOKUP(Table2[[#This Row],[Home/Neutral]],pace_lookup,7,FALSE)</f>
        <v>102.2</v>
      </c>
      <c r="Q491" s="5">
        <f>VLOOKUP(Table2[[#This Row],[Visitor/Neutral]],pace_lookup,7,FALSE)</f>
        <v>95.9</v>
      </c>
      <c r="R491" s="9"/>
      <c r="V491" s="2">
        <f>-home-VLOOKUP(Table2[[#This Row],[Home/Neutral]],rtg_vlookup,4,FALSE)+VLOOKUP(Table2[[#This Row],[Visitor/Neutral]],rtg_vlookup,4,FALSE)</f>
        <v>8.4448815165876692</v>
      </c>
      <c r="W491" s="25"/>
      <c r="X491" s="2"/>
      <c r="Y491" s="2">
        <f>Table2[[#This Row],[Away EV]]-Table2[[#This Row],[Home EV]]</f>
        <v>1.859437767292917</v>
      </c>
      <c r="Z491" s="33"/>
      <c r="AA491" s="34"/>
      <c r="AB491" s="5" t="b">
        <f>IF(VLOOKUP(Table2[[#This Row],[Home/Neutral]],division_lookup,9,FALSE)=VLOOKUP(Table2[[#This Row],[Visitor/Neutral]],division_lookup,9,FALSE),TRUE,FALSE)</f>
        <v>0</v>
      </c>
      <c r="AC491" s="19" t="str">
        <f>VLOOKUP(Table2[[#This Row],[Home/Neutral]],division_lookup,9,FALSE)</f>
        <v>P</v>
      </c>
      <c r="AD491" s="19"/>
      <c r="AE491" s="19" t="str">
        <f>IF(Table2[[#This Row],[Total EV ®]]&lt;Table2[[#This Row],[Total (V)]],"UNDER","OVER")</f>
        <v>OVER</v>
      </c>
      <c r="AF491" s="30">
        <f>Table2[[#This Row],[(A) Spread]]-Table2[[#This Row],[Spread (V)]]</f>
        <v>0</v>
      </c>
      <c r="AG491" s="19"/>
      <c r="AH491" s="2">
        <f>Table2[[#This Row],[EV]]-Table2[[#This Row],[Spread (V)]]</f>
        <v>1.859437767292917</v>
      </c>
      <c r="AI491" s="22">
        <f>Table2[[#This Row],[(A)]]-Table2[[#This Row],[Spread]]</f>
        <v>8.4448815165876692</v>
      </c>
      <c r="AJ491" s="1">
        <f>Table2[[#This Row],[(A) Err]]^2</f>
        <v>71.316023829204056</v>
      </c>
      <c r="AK491" s="6">
        <f>Table2[[#This Row],[EV]]-Table2[[#This Row],[Spread]]</f>
        <v>1.859437767292917</v>
      </c>
      <c r="AL491" s="1">
        <f>Table2[[#This Row],[EV Err]]^2</f>
        <v>3.457508810435268</v>
      </c>
    </row>
    <row r="492" spans="1:38" x14ac:dyDescent="0.25">
      <c r="A492" t="s">
        <v>106</v>
      </c>
      <c r="B492" t="s">
        <v>20</v>
      </c>
      <c r="C492" t="s">
        <v>39</v>
      </c>
      <c r="K492" s="25">
        <f>(Table2[[#This Row],[Home Pace]]/100)*(VLOOKUP(Table2[[#This Row],[Home/Neutral]],home_lookup,8,FALSE)+VLOOKUP(Table2[[#This Row],[Home/Neutral]],OFR_lookup,2,FALSE)+VLOOKUP(Table2[[#This Row],[Visitor/Neutral]],def_diff_lookup,6,FALSE))</f>
        <v>106.65578528915177</v>
      </c>
      <c r="L492" s="25"/>
      <c r="M492" s="25">
        <f>(Table2[[#This Row],[Away Pace]]/100)*(VLOOKUP(Table2[[#This Row],[Visitor/Neutral]],OFR_lookup,2,FALSE)+VLOOKUP(Table2[[#This Row],[Home/Neutral]],def_diff_lookup,6,FALSE))</f>
        <v>96.135650000000012</v>
      </c>
      <c r="N492" s="25"/>
      <c r="O492" s="25"/>
      <c r="P492">
        <f>VLOOKUP(Table2[[#This Row],[Home/Neutral]],pace_lookup,7,FALSE)</f>
        <v>90.9</v>
      </c>
      <c r="Q492" s="5">
        <f>VLOOKUP(Table2[[#This Row],[Visitor/Neutral]],pace_lookup,7,FALSE)</f>
        <v>97.5</v>
      </c>
      <c r="R492" s="9"/>
      <c r="V492" s="2">
        <f>-home-VLOOKUP(Table2[[#This Row],[Home/Neutral]],rtg_vlookup,4,FALSE)+VLOOKUP(Table2[[#This Row],[Visitor/Neutral]],rtg_vlookup,4,FALSE)</f>
        <v>-13.735118483412331</v>
      </c>
      <c r="W492" s="25"/>
      <c r="X492" s="2"/>
      <c r="Y492" s="2">
        <f>Table2[[#This Row],[Away EV]]-Table2[[#This Row],[Home EV]]</f>
        <v>-10.520135289151753</v>
      </c>
      <c r="Z492" s="33"/>
      <c r="AA492" s="34"/>
      <c r="AB492" s="5" t="b">
        <f>IF(VLOOKUP(Table2[[#This Row],[Home/Neutral]],division_lookup,9,FALSE)=VLOOKUP(Table2[[#This Row],[Visitor/Neutral]],division_lookup,9,FALSE),TRUE,FALSE)</f>
        <v>0</v>
      </c>
      <c r="AC492" s="19" t="str">
        <f>VLOOKUP(Table2[[#This Row],[Home/Neutral]],division_lookup,9,FALSE)</f>
        <v>NW</v>
      </c>
      <c r="AD492" s="19"/>
      <c r="AE492" s="19" t="str">
        <f>IF(Table2[[#This Row],[Total EV ®]]&lt;Table2[[#This Row],[Total (V)]],"UNDER","OVER")</f>
        <v>OVER</v>
      </c>
      <c r="AF492" s="30">
        <f>Table2[[#This Row],[(A) Spread]]-Table2[[#This Row],[Spread (V)]]</f>
        <v>0</v>
      </c>
      <c r="AG492" s="19"/>
      <c r="AH492" s="2">
        <f>Table2[[#This Row],[EV]]-Table2[[#This Row],[Spread (V)]]</f>
        <v>-10.520135289151753</v>
      </c>
      <c r="AI492" s="22">
        <f>Table2[[#This Row],[(A)]]-Table2[[#This Row],[Spread]]</f>
        <v>-13.735118483412331</v>
      </c>
      <c r="AJ492" s="1">
        <f>Table2[[#This Row],[(A) Err]]^2</f>
        <v>188.65347975337505</v>
      </c>
      <c r="AK492" s="6">
        <f>Table2[[#This Row],[EV]]-Table2[[#This Row],[Spread]]</f>
        <v>-10.520135289151753</v>
      </c>
      <c r="AL492" s="1">
        <f>Table2[[#This Row],[EV Err]]^2</f>
        <v>110.67324650205603</v>
      </c>
    </row>
    <row r="493" spans="1:38" x14ac:dyDescent="0.25">
      <c r="A493" t="s">
        <v>107</v>
      </c>
      <c r="B493" t="s">
        <v>11</v>
      </c>
      <c r="C493" t="s">
        <v>25</v>
      </c>
      <c r="K493" s="25">
        <f>(Table2[[#This Row],[Home Pace]]/100)*(VLOOKUP(Table2[[#This Row],[Home/Neutral]],home_lookup,8,FALSE)+VLOOKUP(Table2[[#This Row],[Home/Neutral]],OFR_lookup,2,FALSE)+VLOOKUP(Table2[[#This Row],[Visitor/Neutral]],def_diff_lookup,6,FALSE))</f>
        <v>94.831449044072826</v>
      </c>
      <c r="L493" s="25"/>
      <c r="M493" s="25">
        <f>(Table2[[#This Row],[Away Pace]]/100)*(VLOOKUP(Table2[[#This Row],[Visitor/Neutral]],OFR_lookup,2,FALSE)+VLOOKUP(Table2[[#This Row],[Home/Neutral]],def_diff_lookup,6,FALSE))</f>
        <v>89.501269333333354</v>
      </c>
      <c r="N493" s="25"/>
      <c r="O493" s="25"/>
      <c r="P493">
        <f>VLOOKUP(Table2[[#This Row],[Home/Neutral]],pace_lookup,7,FALSE)</f>
        <v>99.7</v>
      </c>
      <c r="Q493" s="5">
        <f>VLOOKUP(Table2[[#This Row],[Visitor/Neutral]],pace_lookup,7,FALSE)</f>
        <v>94.4</v>
      </c>
      <c r="R493" s="9"/>
      <c r="V493" s="2">
        <f>-home-VLOOKUP(Table2[[#This Row],[Home/Neutral]],rtg_vlookup,4,FALSE)+VLOOKUP(Table2[[#This Row],[Visitor/Neutral]],rtg_vlookup,4,FALSE)</f>
        <v>-9.0551184834123308</v>
      </c>
      <c r="W493" s="25"/>
      <c r="X493" s="2"/>
      <c r="Y493" s="2">
        <f>Table2[[#This Row],[Away EV]]-Table2[[#This Row],[Home EV]]</f>
        <v>-5.3301797107394719</v>
      </c>
      <c r="Z493" s="33"/>
      <c r="AA493" s="34"/>
      <c r="AB493" s="5" t="b">
        <f>IF(VLOOKUP(Table2[[#This Row],[Home/Neutral]],division_lookup,9,FALSE)=VLOOKUP(Table2[[#This Row],[Visitor/Neutral]],division_lookup,9,FALSE),TRUE,FALSE)</f>
        <v>0</v>
      </c>
      <c r="AC493" s="19" t="str">
        <f>VLOOKUP(Table2[[#This Row],[Home/Neutral]],division_lookup,9,FALSE)</f>
        <v>SE</v>
      </c>
      <c r="AD493" s="19"/>
      <c r="AE493" s="19" t="str">
        <f>IF(Table2[[#This Row],[Total EV ®]]&lt;Table2[[#This Row],[Total (V)]],"UNDER","OVER")</f>
        <v>OVER</v>
      </c>
      <c r="AF493" s="30">
        <f>Table2[[#This Row],[(A) Spread]]-Table2[[#This Row],[Spread (V)]]</f>
        <v>0</v>
      </c>
      <c r="AG493" s="19"/>
      <c r="AH493" s="2">
        <f>Table2[[#This Row],[EV]]-Table2[[#This Row],[Spread (V)]]</f>
        <v>-5.3301797107394719</v>
      </c>
      <c r="AI493" s="22">
        <f>Table2[[#This Row],[(A)]]-Table2[[#This Row],[Spread]]</f>
        <v>-9.0551184834123308</v>
      </c>
      <c r="AJ493" s="1">
        <f>Table2[[#This Row],[(A) Err]]^2</f>
        <v>81.99517074863563</v>
      </c>
      <c r="AK493" s="6">
        <f>Table2[[#This Row],[EV]]-Table2[[#This Row],[Spread]]</f>
        <v>-5.3301797107394719</v>
      </c>
      <c r="AL493" s="1">
        <f>Table2[[#This Row],[EV Err]]^2</f>
        <v>28.41081574877872</v>
      </c>
    </row>
    <row r="494" spans="1:38" x14ac:dyDescent="0.25">
      <c r="A494" t="s">
        <v>107</v>
      </c>
      <c r="B494" t="s">
        <v>26</v>
      </c>
      <c r="C494" t="s">
        <v>21</v>
      </c>
      <c r="K494" s="25">
        <f>(Table2[[#This Row],[Home Pace]]/100)*(VLOOKUP(Table2[[#This Row],[Home/Neutral]],home_lookup,8,FALSE)+VLOOKUP(Table2[[#This Row],[Home/Neutral]],OFR_lookup,2,FALSE)+VLOOKUP(Table2[[#This Row],[Visitor/Neutral]],def_diff_lookup,6,FALSE))</f>
        <v>103.2321635891816</v>
      </c>
      <c r="L494" s="25"/>
      <c r="M494" s="25">
        <f>(Table2[[#This Row],[Away Pace]]/100)*(VLOOKUP(Table2[[#This Row],[Visitor/Neutral]],OFR_lookup,2,FALSE)+VLOOKUP(Table2[[#This Row],[Home/Neutral]],def_diff_lookup,6,FALSE))</f>
        <v>98.166448000000017</v>
      </c>
      <c r="N494" s="25"/>
      <c r="O494" s="25"/>
      <c r="P494">
        <f>VLOOKUP(Table2[[#This Row],[Home/Neutral]],pace_lookup,7,FALSE)</f>
        <v>96</v>
      </c>
      <c r="Q494" s="5">
        <f>VLOOKUP(Table2[[#This Row],[Visitor/Neutral]],pace_lookup,7,FALSE)</f>
        <v>94.2</v>
      </c>
      <c r="R494" s="9"/>
      <c r="V494" s="2">
        <f>-home-VLOOKUP(Table2[[#This Row],[Home/Neutral]],rtg_vlookup,4,FALSE)+VLOOKUP(Table2[[#This Row],[Visitor/Neutral]],rtg_vlookup,4,FALSE)</f>
        <v>-2.5951184834123309</v>
      </c>
      <c r="W494" s="25"/>
      <c r="X494" s="2"/>
      <c r="Y494" s="2">
        <f>Table2[[#This Row],[Away EV]]-Table2[[#This Row],[Home EV]]</f>
        <v>-5.065715589181579</v>
      </c>
      <c r="Z494" s="33"/>
      <c r="AA494" s="34"/>
      <c r="AB494" s="5" t="b">
        <f>IF(VLOOKUP(Table2[[#This Row],[Home/Neutral]],division_lookup,9,FALSE)=VLOOKUP(Table2[[#This Row],[Visitor/Neutral]],division_lookup,9,FALSE),TRUE,FALSE)</f>
        <v>0</v>
      </c>
      <c r="AC494" s="19" t="str">
        <f>VLOOKUP(Table2[[#This Row],[Home/Neutral]],division_lookup,9,FALSE)</f>
        <v>A</v>
      </c>
      <c r="AD494" s="19"/>
      <c r="AE494" s="19" t="str">
        <f>IF(Table2[[#This Row],[Total EV ®]]&lt;Table2[[#This Row],[Total (V)]],"UNDER","OVER")</f>
        <v>OVER</v>
      </c>
      <c r="AF494" s="30">
        <f>Table2[[#This Row],[(A) Spread]]-Table2[[#This Row],[Spread (V)]]</f>
        <v>0</v>
      </c>
      <c r="AG494" s="19"/>
      <c r="AH494" s="2">
        <f>Table2[[#This Row],[EV]]-Table2[[#This Row],[Spread (V)]]</f>
        <v>-5.065715589181579</v>
      </c>
      <c r="AI494" s="22">
        <f>Table2[[#This Row],[(A)]]-Table2[[#This Row],[Spread]]</f>
        <v>-2.5951184834123309</v>
      </c>
      <c r="AJ494" s="1">
        <f>Table2[[#This Row],[(A) Err]]^2</f>
        <v>6.7346399429483164</v>
      </c>
      <c r="AK494" s="6">
        <f>Table2[[#This Row],[EV]]-Table2[[#This Row],[Spread]]</f>
        <v>-5.065715589181579</v>
      </c>
      <c r="AL494" s="1">
        <f>Table2[[#This Row],[EV Err]]^2</f>
        <v>25.661474430477274</v>
      </c>
    </row>
    <row r="495" spans="1:38" x14ac:dyDescent="0.25">
      <c r="A495" t="s">
        <v>107</v>
      </c>
      <c r="B495" t="s">
        <v>27</v>
      </c>
      <c r="C495" t="s">
        <v>39</v>
      </c>
      <c r="K495" s="25">
        <f>(Table2[[#This Row],[Home Pace]]/100)*(VLOOKUP(Table2[[#This Row],[Home/Neutral]],home_lookup,8,FALSE)+VLOOKUP(Table2[[#This Row],[Home/Neutral]],OFR_lookup,2,FALSE)+VLOOKUP(Table2[[#This Row],[Visitor/Neutral]],def_diff_lookup,6,FALSE))</f>
        <v>107.54505642647257</v>
      </c>
      <c r="L495" s="25"/>
      <c r="M495" s="25">
        <f>(Table2[[#This Row],[Away Pace]]/100)*(VLOOKUP(Table2[[#This Row],[Visitor/Neutral]],OFR_lookup,2,FALSE)+VLOOKUP(Table2[[#This Row],[Home/Neutral]],def_diff_lookup,6,FALSE))</f>
        <v>97.149650000000008</v>
      </c>
      <c r="N495" s="25"/>
      <c r="O495" s="25"/>
      <c r="P495">
        <f>VLOOKUP(Table2[[#This Row],[Home/Neutral]],pace_lookup,7,FALSE)</f>
        <v>99</v>
      </c>
      <c r="Q495" s="5">
        <f>VLOOKUP(Table2[[#This Row],[Visitor/Neutral]],pace_lookup,7,FALSE)</f>
        <v>97.5</v>
      </c>
      <c r="R495" s="9"/>
      <c r="V495" s="2">
        <f>-home-VLOOKUP(Table2[[#This Row],[Home/Neutral]],rtg_vlookup,4,FALSE)+VLOOKUP(Table2[[#This Row],[Visitor/Neutral]],rtg_vlookup,4,FALSE)</f>
        <v>-11.40511848341233</v>
      </c>
      <c r="W495" s="25"/>
      <c r="X495" s="2"/>
      <c r="Y495" s="2">
        <f>Table2[[#This Row],[Away EV]]-Table2[[#This Row],[Home EV]]</f>
        <v>-10.395406426472562</v>
      </c>
      <c r="Z495" s="33"/>
      <c r="AA495" s="34"/>
      <c r="AB495" s="5" t="b">
        <f>IF(VLOOKUP(Table2[[#This Row],[Home/Neutral]],division_lookup,9,FALSE)=VLOOKUP(Table2[[#This Row],[Visitor/Neutral]],division_lookup,9,FALSE),TRUE,FALSE)</f>
        <v>0</v>
      </c>
      <c r="AC495" s="19" t="str">
        <f>VLOOKUP(Table2[[#This Row],[Home/Neutral]],division_lookup,9,FALSE)</f>
        <v>NW</v>
      </c>
      <c r="AD495" s="19"/>
      <c r="AE495" s="19" t="str">
        <f>IF(Table2[[#This Row],[Total EV ®]]&lt;Table2[[#This Row],[Total (V)]],"UNDER","OVER")</f>
        <v>OVER</v>
      </c>
      <c r="AF495" s="30">
        <f>Table2[[#This Row],[(A) Spread]]-Table2[[#This Row],[Spread (V)]]</f>
        <v>0</v>
      </c>
      <c r="AG495" s="19"/>
      <c r="AH495" s="2">
        <f>Table2[[#This Row],[EV]]-Table2[[#This Row],[Spread (V)]]</f>
        <v>-10.395406426472562</v>
      </c>
      <c r="AI495" s="22">
        <f>Table2[[#This Row],[(A)]]-Table2[[#This Row],[Spread]]</f>
        <v>-11.40511848341233</v>
      </c>
      <c r="AJ495" s="1">
        <f>Table2[[#This Row],[(A) Err]]^2</f>
        <v>130.07672762067358</v>
      </c>
      <c r="AK495" s="6">
        <f>Table2[[#This Row],[EV]]-Table2[[#This Row],[Spread]]</f>
        <v>-10.395406426472562</v>
      </c>
      <c r="AL495" s="1">
        <f>Table2[[#This Row],[EV Err]]^2</f>
        <v>108.06447477154704</v>
      </c>
    </row>
    <row r="496" spans="1:38" x14ac:dyDescent="0.25">
      <c r="A496" t="s">
        <v>107</v>
      </c>
      <c r="B496" t="s">
        <v>10</v>
      </c>
      <c r="C496" t="s">
        <v>37</v>
      </c>
      <c r="K496" s="25">
        <f>(Table2[[#This Row],[Home Pace]]/100)*(VLOOKUP(Table2[[#This Row],[Home/Neutral]],home_lookup,8,FALSE)+VLOOKUP(Table2[[#This Row],[Home/Neutral]],OFR_lookup,2,FALSE)+VLOOKUP(Table2[[#This Row],[Visitor/Neutral]],def_diff_lookup,6,FALSE))</f>
        <v>104.12715853790561</v>
      </c>
      <c r="L496" s="25"/>
      <c r="M496" s="25">
        <f>(Table2[[#This Row],[Away Pace]]/100)*(VLOOKUP(Table2[[#This Row],[Visitor/Neutral]],OFR_lookup,2,FALSE)+VLOOKUP(Table2[[#This Row],[Home/Neutral]],def_diff_lookup,6,FALSE))</f>
        <v>89.641543999999996</v>
      </c>
      <c r="N496" s="25"/>
      <c r="O496" s="25"/>
      <c r="P496">
        <f>VLOOKUP(Table2[[#This Row],[Home/Neutral]],pace_lookup,7,FALSE)</f>
        <v>100.3</v>
      </c>
      <c r="Q496" s="5">
        <f>VLOOKUP(Table2[[#This Row],[Visitor/Neutral]],pace_lookup,7,FALSE)</f>
        <v>92.1</v>
      </c>
      <c r="R496" s="9"/>
      <c r="V496" s="2">
        <f>-home-VLOOKUP(Table2[[#This Row],[Home/Neutral]],rtg_vlookup,4,FALSE)+VLOOKUP(Table2[[#This Row],[Visitor/Neutral]],rtg_vlookup,4,FALSE)</f>
        <v>-18.685118483412332</v>
      </c>
      <c r="W496" s="25"/>
      <c r="X496" s="2"/>
      <c r="Y496" s="2">
        <f>Table2[[#This Row],[Away EV]]-Table2[[#This Row],[Home EV]]</f>
        <v>-14.485614537905619</v>
      </c>
      <c r="Z496" s="33"/>
      <c r="AA496" s="34"/>
      <c r="AB496" s="5" t="b">
        <f>IF(VLOOKUP(Table2[[#This Row],[Home/Neutral]],division_lookup,9,FALSE)=VLOOKUP(Table2[[#This Row],[Visitor/Neutral]],division_lookup,9,FALSE),TRUE,FALSE)</f>
        <v>0</v>
      </c>
      <c r="AC496" s="19" t="str">
        <f>VLOOKUP(Table2[[#This Row],[Home/Neutral]],division_lookup,9,FALSE)</f>
        <v>P</v>
      </c>
      <c r="AD496" s="19"/>
      <c r="AE496" s="19" t="str">
        <f>IF(Table2[[#This Row],[Total EV ®]]&lt;Table2[[#This Row],[Total (V)]],"UNDER","OVER")</f>
        <v>OVER</v>
      </c>
      <c r="AF496" s="30">
        <f>Table2[[#This Row],[(A) Spread]]-Table2[[#This Row],[Spread (V)]]</f>
        <v>0</v>
      </c>
      <c r="AG496" s="19"/>
      <c r="AH496" s="2">
        <f>Table2[[#This Row],[EV]]-Table2[[#This Row],[Spread (V)]]</f>
        <v>-14.485614537905619</v>
      </c>
      <c r="AI496" s="22">
        <f>Table2[[#This Row],[(A)]]-Table2[[#This Row],[Spread]]</f>
        <v>-18.685118483412332</v>
      </c>
      <c r="AJ496" s="1">
        <f>Table2[[#This Row],[(A) Err]]^2</f>
        <v>349.13365273915713</v>
      </c>
      <c r="AK496" s="6">
        <f>Table2[[#This Row],[EV]]-Table2[[#This Row],[Spread]]</f>
        <v>-14.485614537905619</v>
      </c>
      <c r="AL496" s="1">
        <f>Table2[[#This Row],[EV Err]]^2</f>
        <v>209.83302854078261</v>
      </c>
    </row>
    <row r="497" spans="1:38" x14ac:dyDescent="0.25">
      <c r="A497" t="s">
        <v>107</v>
      </c>
      <c r="B497" t="s">
        <v>17</v>
      </c>
      <c r="C497" t="s">
        <v>4</v>
      </c>
      <c r="K497" s="25">
        <f>(Table2[[#This Row],[Home Pace]]/100)*(VLOOKUP(Table2[[#This Row],[Home/Neutral]],home_lookup,8,FALSE)+VLOOKUP(Table2[[#This Row],[Home/Neutral]],OFR_lookup,2,FALSE)+VLOOKUP(Table2[[#This Row],[Visitor/Neutral]],def_diff_lookup,6,FALSE))</f>
        <v>103.40849692873545</v>
      </c>
      <c r="L497" s="25"/>
      <c r="M497" s="25">
        <f>(Table2[[#This Row],[Away Pace]]/100)*(VLOOKUP(Table2[[#This Row],[Visitor/Neutral]],OFR_lookup,2,FALSE)+VLOOKUP(Table2[[#This Row],[Home/Neutral]],def_diff_lookup,6,FALSE))</f>
        <v>114.123884</v>
      </c>
      <c r="N497" s="25"/>
      <c r="O497" s="25"/>
      <c r="P497">
        <f>VLOOKUP(Table2[[#This Row],[Home/Neutral]],pace_lookup,7,FALSE)</f>
        <v>96.7</v>
      </c>
      <c r="Q497" s="5">
        <f>VLOOKUP(Table2[[#This Row],[Visitor/Neutral]],pace_lookup,7,FALSE)</f>
        <v>96.6</v>
      </c>
      <c r="R497" s="9"/>
      <c r="V497" s="2">
        <f>-home-VLOOKUP(Table2[[#This Row],[Home/Neutral]],rtg_vlookup,4,FALSE)+VLOOKUP(Table2[[#This Row],[Visitor/Neutral]],rtg_vlookup,4,FALSE)</f>
        <v>7.6748815165876696</v>
      </c>
      <c r="W497" s="25"/>
      <c r="X497" s="2"/>
      <c r="Y497" s="2">
        <f>Table2[[#This Row],[Away EV]]-Table2[[#This Row],[Home EV]]</f>
        <v>10.715387071264558</v>
      </c>
      <c r="Z497" s="33"/>
      <c r="AA497" s="34"/>
      <c r="AB497" s="5" t="b">
        <f>IF(VLOOKUP(Table2[[#This Row],[Home/Neutral]],division_lookup,9,FALSE)=VLOOKUP(Table2[[#This Row],[Visitor/Neutral]],division_lookup,9,FALSE),TRUE,FALSE)</f>
        <v>0</v>
      </c>
      <c r="AC497" s="19" t="str">
        <f>VLOOKUP(Table2[[#This Row],[Home/Neutral]],division_lookup,9,FALSE)</f>
        <v>SW</v>
      </c>
      <c r="AD497" s="19"/>
      <c r="AE497" s="19" t="str">
        <f>IF(Table2[[#This Row],[Total EV ®]]&lt;Table2[[#This Row],[Total (V)]],"UNDER","OVER")</f>
        <v>OVER</v>
      </c>
      <c r="AF497" s="30">
        <f>Table2[[#This Row],[(A) Spread]]-Table2[[#This Row],[Spread (V)]]</f>
        <v>0</v>
      </c>
      <c r="AG497" s="19"/>
      <c r="AH497" s="2">
        <f>Table2[[#This Row],[EV]]-Table2[[#This Row],[Spread (V)]]</f>
        <v>10.715387071264558</v>
      </c>
      <c r="AI497" s="22">
        <f>Table2[[#This Row],[(A)]]-Table2[[#This Row],[Spread]]</f>
        <v>7.6748815165876696</v>
      </c>
      <c r="AJ497" s="1">
        <f>Table2[[#This Row],[(A) Err]]^2</f>
        <v>58.903806293659045</v>
      </c>
      <c r="AK497" s="6">
        <f>Table2[[#This Row],[EV]]-Table2[[#This Row],[Spread]]</f>
        <v>10.715387071264558</v>
      </c>
      <c r="AL497" s="1">
        <f>Table2[[#This Row],[EV Err]]^2</f>
        <v>114.81952008702365</v>
      </c>
    </row>
    <row r="498" spans="1:38" x14ac:dyDescent="0.25">
      <c r="A498" t="s">
        <v>107</v>
      </c>
      <c r="B498" t="s">
        <v>33</v>
      </c>
      <c r="C498" t="s">
        <v>13</v>
      </c>
      <c r="K498" s="25">
        <f>(Table2[[#This Row],[Home Pace]]/100)*(VLOOKUP(Table2[[#This Row],[Home/Neutral]],home_lookup,8,FALSE)+VLOOKUP(Table2[[#This Row],[Home/Neutral]],OFR_lookup,2,FALSE)+VLOOKUP(Table2[[#This Row],[Visitor/Neutral]],def_diff_lookup,6,FALSE))</f>
        <v>106.84141852057508</v>
      </c>
      <c r="L498" s="25"/>
      <c r="M498" s="25">
        <f>(Table2[[#This Row],[Away Pace]]/100)*(VLOOKUP(Table2[[#This Row],[Visitor/Neutral]],OFR_lookup,2,FALSE)+VLOOKUP(Table2[[#This Row],[Home/Neutral]],def_diff_lookup,6,FALSE))</f>
        <v>107.48493000000001</v>
      </c>
      <c r="N498" s="25"/>
      <c r="O498" s="25"/>
      <c r="P498">
        <f>VLOOKUP(Table2[[#This Row],[Home/Neutral]],pace_lookup,7,FALSE)</f>
        <v>98.2</v>
      </c>
      <c r="Q498" s="5">
        <f>VLOOKUP(Table2[[#This Row],[Visitor/Neutral]],pace_lookup,7,FALSE)</f>
        <v>94.5</v>
      </c>
      <c r="R498" s="9"/>
      <c r="V498" s="2">
        <f>-home-VLOOKUP(Table2[[#This Row],[Home/Neutral]],rtg_vlookup,4,FALSE)+VLOOKUP(Table2[[#This Row],[Visitor/Neutral]],rtg_vlookup,4,FALSE)</f>
        <v>8.1548815165876682</v>
      </c>
      <c r="W498" s="25"/>
      <c r="X498" s="2"/>
      <c r="Y498" s="2">
        <f>Table2[[#This Row],[Away EV]]-Table2[[#This Row],[Home EV]]</f>
        <v>0.64351147942493014</v>
      </c>
      <c r="Z498" s="33"/>
      <c r="AA498" s="34"/>
      <c r="AB498" s="5" t="b">
        <f>IF(VLOOKUP(Table2[[#This Row],[Home/Neutral]],division_lookup,9,FALSE)=VLOOKUP(Table2[[#This Row],[Visitor/Neutral]],division_lookup,9,FALSE),TRUE,FALSE)</f>
        <v>1</v>
      </c>
      <c r="AC498" s="19" t="str">
        <f>VLOOKUP(Table2[[#This Row],[Home/Neutral]],division_lookup,9,FALSE)</f>
        <v>C</v>
      </c>
      <c r="AD498" s="19"/>
      <c r="AE498" s="19" t="str">
        <f>IF(Table2[[#This Row],[Total EV ®]]&lt;Table2[[#This Row],[Total (V)]],"UNDER","OVER")</f>
        <v>OVER</v>
      </c>
      <c r="AF498" s="30">
        <f>Table2[[#This Row],[(A) Spread]]-Table2[[#This Row],[Spread (V)]]</f>
        <v>0</v>
      </c>
      <c r="AG498" s="19"/>
      <c r="AH498" s="2">
        <f>Table2[[#This Row],[EV]]-Table2[[#This Row],[Spread (V)]]</f>
        <v>0.64351147942493014</v>
      </c>
      <c r="AI498" s="22">
        <f>Table2[[#This Row],[(A)]]-Table2[[#This Row],[Spread]]</f>
        <v>8.1548815165876682</v>
      </c>
      <c r="AJ498" s="1">
        <f>Table2[[#This Row],[(A) Err]]^2</f>
        <v>66.502092549583182</v>
      </c>
      <c r="AK498" s="6">
        <f>Table2[[#This Row],[EV]]-Table2[[#This Row],[Spread]]</f>
        <v>0.64351147942493014</v>
      </c>
      <c r="AL498" s="1">
        <f>Table2[[#This Row],[EV Err]]^2</f>
        <v>0.41410702415166228</v>
      </c>
    </row>
    <row r="499" spans="1:38" x14ac:dyDescent="0.25">
      <c r="A499" t="s">
        <v>107</v>
      </c>
      <c r="B499" t="s">
        <v>22</v>
      </c>
      <c r="C499" t="s">
        <v>30</v>
      </c>
      <c r="K499" s="25">
        <f>(Table2[[#This Row],[Home Pace]]/100)*(VLOOKUP(Table2[[#This Row],[Home/Neutral]],home_lookup,8,FALSE)+VLOOKUP(Table2[[#This Row],[Home/Neutral]],OFR_lookup,2,FALSE)+VLOOKUP(Table2[[#This Row],[Visitor/Neutral]],def_diff_lookup,6,FALSE))</f>
        <v>112.75311922968977</v>
      </c>
      <c r="L499" s="25"/>
      <c r="M499" s="25">
        <f>(Table2[[#This Row],[Away Pace]]/100)*(VLOOKUP(Table2[[#This Row],[Visitor/Neutral]],OFR_lookup,2,FALSE)+VLOOKUP(Table2[[#This Row],[Home/Neutral]],def_diff_lookup,6,FALSE))</f>
        <v>106.24832533333334</v>
      </c>
      <c r="N499" s="25"/>
      <c r="O499" s="25"/>
      <c r="P499">
        <f>VLOOKUP(Table2[[#This Row],[Home/Neutral]],pace_lookup,7,FALSE)</f>
        <v>94.7</v>
      </c>
      <c r="Q499" s="5">
        <f>VLOOKUP(Table2[[#This Row],[Visitor/Neutral]],pace_lookup,7,FALSE)</f>
        <v>96.8</v>
      </c>
      <c r="R499" s="9"/>
      <c r="V499" s="2">
        <f>-home-VLOOKUP(Table2[[#This Row],[Home/Neutral]],rtg_vlookup,4,FALSE)+VLOOKUP(Table2[[#This Row],[Visitor/Neutral]],rtg_vlookup,4,FALSE)</f>
        <v>-6.1451184834123307</v>
      </c>
      <c r="W499" s="25"/>
      <c r="X499" s="2"/>
      <c r="Y499" s="2">
        <f>Table2[[#This Row],[Away EV]]-Table2[[#This Row],[Home EV]]</f>
        <v>-6.504793896356432</v>
      </c>
      <c r="Z499" s="33"/>
      <c r="AA499" s="34"/>
      <c r="AB499" s="5" t="b">
        <f>IF(VLOOKUP(Table2[[#This Row],[Home/Neutral]],division_lookup,9,FALSE)=VLOOKUP(Table2[[#This Row],[Visitor/Neutral]],division_lookup,9,FALSE),TRUE,FALSE)</f>
        <v>0</v>
      </c>
      <c r="AC499" s="19" t="str">
        <f>VLOOKUP(Table2[[#This Row],[Home/Neutral]],division_lookup,9,FALSE)</f>
        <v>NW</v>
      </c>
      <c r="AD499" s="19"/>
      <c r="AE499" s="19" t="str">
        <f>IF(Table2[[#This Row],[Total EV ®]]&lt;Table2[[#This Row],[Total (V)]],"UNDER","OVER")</f>
        <v>OVER</v>
      </c>
      <c r="AF499" s="30">
        <f>Table2[[#This Row],[(A) Spread]]-Table2[[#This Row],[Spread (V)]]</f>
        <v>0</v>
      </c>
      <c r="AG499" s="19"/>
      <c r="AH499" s="2">
        <f>Table2[[#This Row],[EV]]-Table2[[#This Row],[Spread (V)]]</f>
        <v>-6.504793896356432</v>
      </c>
      <c r="AI499" s="22">
        <f>Table2[[#This Row],[(A)]]-Table2[[#This Row],[Spread]]</f>
        <v>-6.1451184834123307</v>
      </c>
      <c r="AJ499" s="1">
        <f>Table2[[#This Row],[(A) Err]]^2</f>
        <v>37.762481175175864</v>
      </c>
      <c r="AK499" s="6">
        <f>Table2[[#This Row],[EV]]-Table2[[#This Row],[Spread]]</f>
        <v>-6.504793896356432</v>
      </c>
      <c r="AL499" s="1">
        <f>Table2[[#This Row],[EV Err]]^2</f>
        <v>42.312343634075894</v>
      </c>
    </row>
    <row r="500" spans="1:38" x14ac:dyDescent="0.25">
      <c r="A500" t="s">
        <v>107</v>
      </c>
      <c r="B500" t="s">
        <v>34</v>
      </c>
      <c r="C500" t="s">
        <v>31</v>
      </c>
      <c r="K500" s="25">
        <f>(Table2[[#This Row],[Home Pace]]/100)*(VLOOKUP(Table2[[#This Row],[Home/Neutral]],home_lookup,8,FALSE)+VLOOKUP(Table2[[#This Row],[Home/Neutral]],OFR_lookup,2,FALSE)+VLOOKUP(Table2[[#This Row],[Visitor/Neutral]],def_diff_lookup,6,FALSE))</f>
        <v>109.56103864565556</v>
      </c>
      <c r="L500" s="25"/>
      <c r="M500" s="25">
        <f>(Table2[[#This Row],[Away Pace]]/100)*(VLOOKUP(Table2[[#This Row],[Visitor/Neutral]],OFR_lookup,2,FALSE)+VLOOKUP(Table2[[#This Row],[Home/Neutral]],def_diff_lookup,6,FALSE))</f>
        <v>104.17984</v>
      </c>
      <c r="N500" s="25"/>
      <c r="O500" s="25"/>
      <c r="P500">
        <f>VLOOKUP(Table2[[#This Row],[Home/Neutral]],pace_lookup,7,FALSE)</f>
        <v>98.8</v>
      </c>
      <c r="Q500" s="5">
        <f>VLOOKUP(Table2[[#This Row],[Visitor/Neutral]],pace_lookup,7,FALSE)</f>
        <v>96</v>
      </c>
      <c r="R500" s="9"/>
      <c r="V500" s="2">
        <f>-home-VLOOKUP(Table2[[#This Row],[Home/Neutral]],rtg_vlookup,4,FALSE)+VLOOKUP(Table2[[#This Row],[Visitor/Neutral]],rtg_vlookup,4,FALSE)</f>
        <v>6.4881516587669275E-2</v>
      </c>
      <c r="W500" s="25"/>
      <c r="X500" s="2"/>
      <c r="Y500" s="2">
        <f>Table2[[#This Row],[Away EV]]-Table2[[#This Row],[Home EV]]</f>
        <v>-5.3811986456555587</v>
      </c>
      <c r="Z500" s="33"/>
      <c r="AA500" s="34"/>
      <c r="AB500" s="5" t="b">
        <f>IF(VLOOKUP(Table2[[#This Row],[Home/Neutral]],division_lookup,9,FALSE)=VLOOKUP(Table2[[#This Row],[Visitor/Neutral]],division_lookup,9,FALSE),TRUE,FALSE)</f>
        <v>0</v>
      </c>
      <c r="AC500" s="19" t="str">
        <f>VLOOKUP(Table2[[#This Row],[Home/Neutral]],division_lookup,9,FALSE)</f>
        <v>SW</v>
      </c>
      <c r="AD500" s="19"/>
      <c r="AE500" s="19" t="str">
        <f>IF(Table2[[#This Row],[Total EV ®]]&lt;Table2[[#This Row],[Total (V)]],"UNDER","OVER")</f>
        <v>OVER</v>
      </c>
      <c r="AF500" s="30">
        <f>Table2[[#This Row],[(A) Spread]]-Table2[[#This Row],[Spread (V)]]</f>
        <v>0</v>
      </c>
      <c r="AG500" s="19"/>
      <c r="AH500" s="2">
        <f>Table2[[#This Row],[EV]]-Table2[[#This Row],[Spread (V)]]</f>
        <v>-5.3811986456555587</v>
      </c>
      <c r="AI500" s="22">
        <f>Table2[[#This Row],[(A)]]-Table2[[#This Row],[Spread]]</f>
        <v>6.4881516587669275E-2</v>
      </c>
      <c r="AJ500" s="1">
        <f>Table2[[#This Row],[(A) Err]]^2</f>
        <v>4.2096111947160031E-3</v>
      </c>
      <c r="AK500" s="6">
        <f>Table2[[#This Row],[EV]]-Table2[[#This Row],[Spread]]</f>
        <v>-5.3811986456555587</v>
      </c>
      <c r="AL500" s="1">
        <f>Table2[[#This Row],[EV Err]]^2</f>
        <v>28.957298864005221</v>
      </c>
    </row>
    <row r="501" spans="1:38" x14ac:dyDescent="0.25">
      <c r="A501" t="s">
        <v>107</v>
      </c>
      <c r="B501" t="s">
        <v>6</v>
      </c>
      <c r="C501" t="s">
        <v>32</v>
      </c>
      <c r="K501" s="25">
        <f>(Table2[[#This Row],[Home Pace]]/100)*(VLOOKUP(Table2[[#This Row],[Home/Neutral]],home_lookup,8,FALSE)+VLOOKUP(Table2[[#This Row],[Home/Neutral]],OFR_lookup,2,FALSE)+VLOOKUP(Table2[[#This Row],[Visitor/Neutral]],def_diff_lookup,6,FALSE))</f>
        <v>107.74242787062244</v>
      </c>
      <c r="L501" s="25"/>
      <c r="M501" s="25">
        <f>(Table2[[#This Row],[Away Pace]]/100)*(VLOOKUP(Table2[[#This Row],[Visitor/Neutral]],OFR_lookup,2,FALSE)+VLOOKUP(Table2[[#This Row],[Home/Neutral]],def_diff_lookup,6,FALSE))</f>
        <v>104.69413733333334</v>
      </c>
      <c r="N501" s="25"/>
      <c r="O501" s="25"/>
      <c r="P501">
        <f>VLOOKUP(Table2[[#This Row],[Home/Neutral]],pace_lookup,7,FALSE)</f>
        <v>93.1</v>
      </c>
      <c r="Q501" s="5">
        <f>VLOOKUP(Table2[[#This Row],[Visitor/Neutral]],pace_lookup,7,FALSE)</f>
        <v>98.6</v>
      </c>
      <c r="R501" s="9"/>
      <c r="V501" s="2">
        <f>-home-VLOOKUP(Table2[[#This Row],[Home/Neutral]],rtg_vlookup,4,FALSE)+VLOOKUP(Table2[[#This Row],[Visitor/Neutral]],rtg_vlookup,4,FALSE)</f>
        <v>-12.60511848341233</v>
      </c>
      <c r="W501" s="25"/>
      <c r="X501" s="2"/>
      <c r="Y501" s="2">
        <f>Table2[[#This Row],[Away EV]]-Table2[[#This Row],[Home EV]]</f>
        <v>-3.0482905372890912</v>
      </c>
      <c r="Z501" s="33"/>
      <c r="AA501" s="34"/>
      <c r="AB501" s="5" t="b">
        <f>IF(VLOOKUP(Table2[[#This Row],[Home/Neutral]],division_lookup,9,FALSE)=VLOOKUP(Table2[[#This Row],[Visitor/Neutral]],division_lookup,9,FALSE),TRUE,FALSE)</f>
        <v>0</v>
      </c>
      <c r="AC501" s="19" t="str">
        <f>VLOOKUP(Table2[[#This Row],[Home/Neutral]],division_lookup,9,FALSE)</f>
        <v>SW</v>
      </c>
      <c r="AD501" s="19"/>
      <c r="AE501" s="19" t="str">
        <f>IF(Table2[[#This Row],[Total EV ®]]&lt;Table2[[#This Row],[Total (V)]],"UNDER","OVER")</f>
        <v>OVER</v>
      </c>
      <c r="AF501" s="30">
        <f>Table2[[#This Row],[(A) Spread]]-Table2[[#This Row],[Spread (V)]]</f>
        <v>0</v>
      </c>
      <c r="AG501" s="19"/>
      <c r="AH501" s="2">
        <f>Table2[[#This Row],[EV]]-Table2[[#This Row],[Spread (V)]]</f>
        <v>-3.0482905372890912</v>
      </c>
      <c r="AI501" s="22">
        <f>Table2[[#This Row],[(A)]]-Table2[[#This Row],[Spread]]</f>
        <v>-12.60511848341233</v>
      </c>
      <c r="AJ501" s="1">
        <f>Table2[[#This Row],[(A) Err]]^2</f>
        <v>158.88901198086316</v>
      </c>
      <c r="AK501" s="6">
        <f>Table2[[#This Row],[EV]]-Table2[[#This Row],[Spread]]</f>
        <v>-3.0482905372890912</v>
      </c>
      <c r="AL501" s="1">
        <f>Table2[[#This Row],[EV Err]]^2</f>
        <v>9.2920751997262165</v>
      </c>
    </row>
    <row r="502" spans="1:38" x14ac:dyDescent="0.25">
      <c r="A502" t="s">
        <v>107</v>
      </c>
      <c r="B502" t="s">
        <v>28</v>
      </c>
      <c r="C502" t="s">
        <v>35</v>
      </c>
      <c r="K502" s="25">
        <f>(Table2[[#This Row],[Home Pace]]/100)*(VLOOKUP(Table2[[#This Row],[Home/Neutral]],home_lookup,8,FALSE)+VLOOKUP(Table2[[#This Row],[Home/Neutral]],OFR_lookup,2,FALSE)+VLOOKUP(Table2[[#This Row],[Visitor/Neutral]],def_diff_lookup,6,FALSE))</f>
        <v>111.76295553204272</v>
      </c>
      <c r="L502" s="25"/>
      <c r="M502" s="25">
        <f>(Table2[[#This Row],[Away Pace]]/100)*(VLOOKUP(Table2[[#This Row],[Visitor/Neutral]],OFR_lookup,2,FALSE)+VLOOKUP(Table2[[#This Row],[Home/Neutral]],def_diff_lookup,6,FALSE))</f>
        <v>108.89478133333336</v>
      </c>
      <c r="N502" s="25"/>
      <c r="O502" s="25"/>
      <c r="P502">
        <f>VLOOKUP(Table2[[#This Row],[Home/Neutral]],pace_lookup,7,FALSE)</f>
        <v>96.3</v>
      </c>
      <c r="Q502" s="5">
        <f>VLOOKUP(Table2[[#This Row],[Visitor/Neutral]],pace_lookup,7,FALSE)</f>
        <v>102.2</v>
      </c>
      <c r="R502" s="9"/>
      <c r="V502" s="2">
        <f>-home-VLOOKUP(Table2[[#This Row],[Home/Neutral]],rtg_vlookup,4,FALSE)+VLOOKUP(Table2[[#This Row],[Visitor/Neutral]],rtg_vlookup,4,FALSE)</f>
        <v>-7.1251184834123302</v>
      </c>
      <c r="W502" s="25"/>
      <c r="X502" s="2"/>
      <c r="Y502" s="2">
        <f>Table2[[#This Row],[Away EV]]-Table2[[#This Row],[Home EV]]</f>
        <v>-2.8681741987093687</v>
      </c>
      <c r="Z502" s="33"/>
      <c r="AA502" s="34"/>
      <c r="AB502" s="5" t="b">
        <f>IF(VLOOKUP(Table2[[#This Row],[Home/Neutral]],division_lookup,9,FALSE)=VLOOKUP(Table2[[#This Row],[Visitor/Neutral]],division_lookup,9,FALSE),TRUE,FALSE)</f>
        <v>0</v>
      </c>
      <c r="AC502" s="19" t="str">
        <f>VLOOKUP(Table2[[#This Row],[Home/Neutral]],division_lookup,9,FALSE)</f>
        <v>SE</v>
      </c>
      <c r="AD502" s="19"/>
      <c r="AE502" s="19" t="str">
        <f>IF(Table2[[#This Row],[Total EV ®]]&lt;Table2[[#This Row],[Total (V)]],"UNDER","OVER")</f>
        <v>OVER</v>
      </c>
      <c r="AF502" s="30">
        <f>Table2[[#This Row],[(A) Spread]]-Table2[[#This Row],[Spread (V)]]</f>
        <v>0</v>
      </c>
      <c r="AG502" s="19"/>
      <c r="AH502" s="2">
        <f>Table2[[#This Row],[EV]]-Table2[[#This Row],[Spread (V)]]</f>
        <v>-2.8681741987093687</v>
      </c>
      <c r="AI502" s="22">
        <f>Table2[[#This Row],[(A)]]-Table2[[#This Row],[Spread]]</f>
        <v>-7.1251184834123302</v>
      </c>
      <c r="AJ502" s="1">
        <f>Table2[[#This Row],[(A) Err]]^2</f>
        <v>50.767313402664023</v>
      </c>
      <c r="AK502" s="6">
        <f>Table2[[#This Row],[EV]]-Table2[[#This Row],[Spread]]</f>
        <v>-2.8681741987093687</v>
      </c>
      <c r="AL502" s="1">
        <f>Table2[[#This Row],[EV Err]]^2</f>
        <v>8.2264232341421302</v>
      </c>
    </row>
    <row r="503" spans="1:38" x14ac:dyDescent="0.25">
      <c r="A503" t="s">
        <v>108</v>
      </c>
      <c r="B503" t="s">
        <v>13</v>
      </c>
      <c r="C503" t="s">
        <v>30</v>
      </c>
      <c r="K503" s="25">
        <f>(Table2[[#This Row],[Home Pace]]/100)*(VLOOKUP(Table2[[#This Row],[Home/Neutral]],home_lookup,8,FALSE)+VLOOKUP(Table2[[#This Row],[Home/Neutral]],OFR_lookup,2,FALSE)+VLOOKUP(Table2[[#This Row],[Visitor/Neutral]],def_diff_lookup,6,FALSE))</f>
        <v>107.21599108450401</v>
      </c>
      <c r="L503" s="25"/>
      <c r="M503" s="25">
        <f>(Table2[[#This Row],[Away Pace]]/100)*(VLOOKUP(Table2[[#This Row],[Visitor/Neutral]],OFR_lookup,2,FALSE)+VLOOKUP(Table2[[#This Row],[Home/Neutral]],def_diff_lookup,6,FALSE))</f>
        <v>101.67936533333335</v>
      </c>
      <c r="N503" s="25"/>
      <c r="O503" s="25"/>
      <c r="P503">
        <f>VLOOKUP(Table2[[#This Row],[Home/Neutral]],pace_lookup,7,FALSE)</f>
        <v>94.5</v>
      </c>
      <c r="Q503" s="5">
        <f>VLOOKUP(Table2[[#This Row],[Visitor/Neutral]],pace_lookup,7,FALSE)</f>
        <v>96.8</v>
      </c>
      <c r="R503" s="9"/>
      <c r="V503" s="2">
        <f>-home-VLOOKUP(Table2[[#This Row],[Home/Neutral]],rtg_vlookup,4,FALSE)+VLOOKUP(Table2[[#This Row],[Visitor/Neutral]],rtg_vlookup,4,FALSE)</f>
        <v>-10.875118483412331</v>
      </c>
      <c r="W503" s="25"/>
      <c r="X503" s="2"/>
      <c r="Y503" s="2">
        <f>Table2[[#This Row],[Away EV]]-Table2[[#This Row],[Home EV]]</f>
        <v>-5.5366257511706607</v>
      </c>
      <c r="Z503" s="33"/>
      <c r="AA503" s="34"/>
      <c r="AB503" s="5" t="b">
        <f>IF(VLOOKUP(Table2[[#This Row],[Home/Neutral]],division_lookup,9,FALSE)=VLOOKUP(Table2[[#This Row],[Visitor/Neutral]],division_lookup,9,FALSE),TRUE,FALSE)</f>
        <v>1</v>
      </c>
      <c r="AC503" s="19" t="str">
        <f>VLOOKUP(Table2[[#This Row],[Home/Neutral]],division_lookup,9,FALSE)</f>
        <v>C</v>
      </c>
      <c r="AD503" s="19"/>
      <c r="AE503" s="19" t="str">
        <f>IF(Table2[[#This Row],[Total EV ®]]&lt;Table2[[#This Row],[Total (V)]],"UNDER","OVER")</f>
        <v>OVER</v>
      </c>
      <c r="AF503" s="30">
        <f>Table2[[#This Row],[(A) Spread]]-Table2[[#This Row],[Spread (V)]]</f>
        <v>0</v>
      </c>
      <c r="AG503" s="19"/>
      <c r="AH503" s="2">
        <f>Table2[[#This Row],[EV]]-Table2[[#This Row],[Spread (V)]]</f>
        <v>-5.5366257511706607</v>
      </c>
      <c r="AI503" s="22">
        <f>Table2[[#This Row],[(A)]]-Table2[[#This Row],[Spread]]</f>
        <v>-10.875118483412331</v>
      </c>
      <c r="AJ503" s="1">
        <f>Table2[[#This Row],[(A) Err]]^2</f>
        <v>118.26820202825652</v>
      </c>
      <c r="AK503" s="6">
        <f>Table2[[#This Row],[EV]]-Table2[[#This Row],[Spread]]</f>
        <v>-5.5366257511706607</v>
      </c>
      <c r="AL503" s="1">
        <f>Table2[[#This Row],[EV Err]]^2</f>
        <v>30.654224708526083</v>
      </c>
    </row>
    <row r="504" spans="1:38" x14ac:dyDescent="0.25">
      <c r="A504" t="s">
        <v>108</v>
      </c>
      <c r="B504" t="s">
        <v>16</v>
      </c>
      <c r="C504" t="s">
        <v>8</v>
      </c>
      <c r="K504" s="25">
        <f>(Table2[[#This Row],[Home Pace]]/100)*(VLOOKUP(Table2[[#This Row],[Home/Neutral]],home_lookup,8,FALSE)+VLOOKUP(Table2[[#This Row],[Home/Neutral]],OFR_lookup,2,FALSE)+VLOOKUP(Table2[[#This Row],[Visitor/Neutral]],def_diff_lookup,6,FALSE))</f>
        <v>101.79335601115952</v>
      </c>
      <c r="L504" s="25"/>
      <c r="M504" s="25">
        <f>(Table2[[#This Row],[Away Pace]]/100)*(VLOOKUP(Table2[[#This Row],[Visitor/Neutral]],OFR_lookup,2,FALSE)+VLOOKUP(Table2[[#This Row],[Home/Neutral]],def_diff_lookup,6,FALSE))</f>
        <v>106.35688800000001</v>
      </c>
      <c r="N504" s="25"/>
      <c r="O504" s="25"/>
      <c r="P504">
        <f>VLOOKUP(Table2[[#This Row],[Home/Neutral]],pace_lookup,7,FALSE)</f>
        <v>97.5</v>
      </c>
      <c r="Q504" s="5">
        <f>VLOOKUP(Table2[[#This Row],[Visitor/Neutral]],pace_lookup,7,FALSE)</f>
        <v>97.2</v>
      </c>
      <c r="R504" s="9"/>
      <c r="V504" s="2">
        <f>-home-VLOOKUP(Table2[[#This Row],[Home/Neutral]],rtg_vlookup,4,FALSE)+VLOOKUP(Table2[[#This Row],[Visitor/Neutral]],rtg_vlookup,4,FALSE)</f>
        <v>1.5148815165876695</v>
      </c>
      <c r="W504" s="25"/>
      <c r="X504" s="2"/>
      <c r="Y504" s="2">
        <f>Table2[[#This Row],[Away EV]]-Table2[[#This Row],[Home EV]]</f>
        <v>4.563531988840495</v>
      </c>
      <c r="Z504" s="33"/>
      <c r="AA504" s="34"/>
      <c r="AB504" s="5" t="b">
        <f>IF(VLOOKUP(Table2[[#This Row],[Home/Neutral]],division_lookup,9,FALSE)=VLOOKUP(Table2[[#This Row],[Visitor/Neutral]],division_lookup,9,FALSE),TRUE,FALSE)</f>
        <v>0</v>
      </c>
      <c r="AC504" s="19" t="str">
        <f>VLOOKUP(Table2[[#This Row],[Home/Neutral]],division_lookup,9,FALSE)</f>
        <v>SE</v>
      </c>
      <c r="AD504" s="19"/>
      <c r="AE504" s="19" t="str">
        <f>IF(Table2[[#This Row],[Total EV ®]]&lt;Table2[[#This Row],[Total (V)]],"UNDER","OVER")</f>
        <v>OVER</v>
      </c>
      <c r="AF504" s="30">
        <f>Table2[[#This Row],[(A) Spread]]-Table2[[#This Row],[Spread (V)]]</f>
        <v>0</v>
      </c>
      <c r="AG504" s="19"/>
      <c r="AH504" s="2">
        <f>Table2[[#This Row],[EV]]-Table2[[#This Row],[Spread (V)]]</f>
        <v>4.563531988840495</v>
      </c>
      <c r="AI504" s="22">
        <f>Table2[[#This Row],[(A)]]-Table2[[#This Row],[Spread]]</f>
        <v>1.5148815165876695</v>
      </c>
      <c r="AJ504" s="1">
        <f>Table2[[#This Row],[(A) Err]]^2</f>
        <v>2.2948660092989575</v>
      </c>
      <c r="AK504" s="6">
        <f>Table2[[#This Row],[EV]]-Table2[[#This Row],[Spread]]</f>
        <v>4.563531988840495</v>
      </c>
      <c r="AL504" s="1">
        <f>Table2[[#This Row],[EV Err]]^2</f>
        <v>20.825824213170485</v>
      </c>
    </row>
    <row r="505" spans="1:38" x14ac:dyDescent="0.25">
      <c r="A505" t="s">
        <v>108</v>
      </c>
      <c r="B505" t="s">
        <v>17</v>
      </c>
      <c r="C505" t="s">
        <v>31</v>
      </c>
      <c r="K505" s="25">
        <f>(Table2[[#This Row],[Home Pace]]/100)*(VLOOKUP(Table2[[#This Row],[Home/Neutral]],home_lookup,8,FALSE)+VLOOKUP(Table2[[#This Row],[Home/Neutral]],OFR_lookup,2,FALSE)+VLOOKUP(Table2[[#This Row],[Visitor/Neutral]],def_diff_lookup,6,FALSE))</f>
        <v>113.86176692873545</v>
      </c>
      <c r="L505" s="25"/>
      <c r="M505" s="25">
        <f>(Table2[[#This Row],[Away Pace]]/100)*(VLOOKUP(Table2[[#This Row],[Visitor/Neutral]],OFR_lookup,2,FALSE)+VLOOKUP(Table2[[#This Row],[Home/Neutral]],def_diff_lookup,6,FALSE))</f>
        <v>107.57824000000001</v>
      </c>
      <c r="N505" s="25"/>
      <c r="O505" s="25"/>
      <c r="P505">
        <f>VLOOKUP(Table2[[#This Row],[Home/Neutral]],pace_lookup,7,FALSE)</f>
        <v>96.7</v>
      </c>
      <c r="Q505" s="5">
        <f>VLOOKUP(Table2[[#This Row],[Visitor/Neutral]],pace_lookup,7,FALSE)</f>
        <v>96</v>
      </c>
      <c r="R505" s="9"/>
      <c r="V505" s="2">
        <f>-home-VLOOKUP(Table2[[#This Row],[Home/Neutral]],rtg_vlookup,4,FALSE)+VLOOKUP(Table2[[#This Row],[Visitor/Neutral]],rtg_vlookup,4,FALSE)</f>
        <v>-9.2051184834123312</v>
      </c>
      <c r="W505" s="25"/>
      <c r="X505" s="2"/>
      <c r="Y505" s="2">
        <f>Table2[[#This Row],[Away EV]]-Table2[[#This Row],[Home EV]]</f>
        <v>-6.2835269287354407</v>
      </c>
      <c r="Z505" s="33"/>
      <c r="AA505" s="34"/>
      <c r="AB505" s="5" t="b">
        <f>IF(VLOOKUP(Table2[[#This Row],[Home/Neutral]],division_lookup,9,FALSE)=VLOOKUP(Table2[[#This Row],[Visitor/Neutral]],division_lookup,9,FALSE),TRUE,FALSE)</f>
        <v>0</v>
      </c>
      <c r="AC505" s="19" t="str">
        <f>VLOOKUP(Table2[[#This Row],[Home/Neutral]],division_lookup,9,FALSE)</f>
        <v>SW</v>
      </c>
      <c r="AD505" s="19"/>
      <c r="AE505" s="19" t="str">
        <f>IF(Table2[[#This Row],[Total EV ®]]&lt;Table2[[#This Row],[Total (V)]],"UNDER","OVER")</f>
        <v>OVER</v>
      </c>
      <c r="AF505" s="30">
        <f>Table2[[#This Row],[(A) Spread]]-Table2[[#This Row],[Spread (V)]]</f>
        <v>0</v>
      </c>
      <c r="AG505" s="19"/>
      <c r="AH505" s="2">
        <f>Table2[[#This Row],[EV]]-Table2[[#This Row],[Spread (V)]]</f>
        <v>-6.2835269287354407</v>
      </c>
      <c r="AI505" s="22">
        <f>Table2[[#This Row],[(A)]]-Table2[[#This Row],[Spread]]</f>
        <v>-9.2051184834123312</v>
      </c>
      <c r="AJ505" s="1">
        <f>Table2[[#This Row],[(A) Err]]^2</f>
        <v>84.734206293659341</v>
      </c>
      <c r="AK505" s="6">
        <f>Table2[[#This Row],[EV]]-Table2[[#This Row],[Spread]]</f>
        <v>-6.2835269287354407</v>
      </c>
      <c r="AL505" s="1">
        <f>Table2[[#This Row],[EV Err]]^2</f>
        <v>39.48271066414344</v>
      </c>
    </row>
    <row r="506" spans="1:38" x14ac:dyDescent="0.25">
      <c r="A506" t="s">
        <v>108</v>
      </c>
      <c r="B506" t="s">
        <v>18</v>
      </c>
      <c r="C506" t="s">
        <v>4</v>
      </c>
      <c r="K506" s="25">
        <f>(Table2[[#This Row],[Home Pace]]/100)*(VLOOKUP(Table2[[#This Row],[Home/Neutral]],home_lookup,8,FALSE)+VLOOKUP(Table2[[#This Row],[Home/Neutral]],OFR_lookup,2,FALSE)+VLOOKUP(Table2[[#This Row],[Visitor/Neutral]],def_diff_lookup,6,FALSE))</f>
        <v>96.81570616021132</v>
      </c>
      <c r="L506" s="25"/>
      <c r="M506" s="25">
        <f>(Table2[[#This Row],[Away Pace]]/100)*(VLOOKUP(Table2[[#This Row],[Visitor/Neutral]],OFR_lookup,2,FALSE)+VLOOKUP(Table2[[#This Row],[Home/Neutral]],def_diff_lookup,6,FALSE))</f>
        <v>106.917524</v>
      </c>
      <c r="N506" s="25"/>
      <c r="O506" s="25"/>
      <c r="P506">
        <f>VLOOKUP(Table2[[#This Row],[Home/Neutral]],pace_lookup,7,FALSE)</f>
        <v>99.5</v>
      </c>
      <c r="Q506" s="5">
        <f>VLOOKUP(Table2[[#This Row],[Visitor/Neutral]],pace_lookup,7,FALSE)</f>
        <v>96.6</v>
      </c>
      <c r="R506" s="9"/>
      <c r="V506" s="2">
        <f>-home-VLOOKUP(Table2[[#This Row],[Home/Neutral]],rtg_vlookup,4,FALSE)+VLOOKUP(Table2[[#This Row],[Visitor/Neutral]],rtg_vlookup,4,FALSE)</f>
        <v>9.5848815165876697</v>
      </c>
      <c r="W506" s="25"/>
      <c r="X506" s="2"/>
      <c r="Y506" s="2">
        <f>Table2[[#This Row],[Away EV]]-Table2[[#This Row],[Home EV]]</f>
        <v>10.10181783978868</v>
      </c>
      <c r="Z506" s="33"/>
      <c r="AA506" s="34"/>
      <c r="AB506" s="5" t="b">
        <f>IF(VLOOKUP(Table2[[#This Row],[Home/Neutral]],division_lookup,9,FALSE)=VLOOKUP(Table2[[#This Row],[Visitor/Neutral]],division_lookup,9,FALSE),TRUE,FALSE)</f>
        <v>0</v>
      </c>
      <c r="AC506" s="19" t="str">
        <f>VLOOKUP(Table2[[#This Row],[Home/Neutral]],division_lookup,9,FALSE)</f>
        <v>NW</v>
      </c>
      <c r="AD506" s="19"/>
      <c r="AE506" s="19" t="str">
        <f>IF(Table2[[#This Row],[Total EV ®]]&lt;Table2[[#This Row],[Total (V)]],"UNDER","OVER")</f>
        <v>OVER</v>
      </c>
      <c r="AF506" s="30">
        <f>Table2[[#This Row],[(A) Spread]]-Table2[[#This Row],[Spread (V)]]</f>
        <v>0</v>
      </c>
      <c r="AG506" s="19"/>
      <c r="AH506" s="2">
        <f>Table2[[#This Row],[EV]]-Table2[[#This Row],[Spread (V)]]</f>
        <v>10.10181783978868</v>
      </c>
      <c r="AI506" s="22">
        <f>Table2[[#This Row],[(A)]]-Table2[[#This Row],[Spread]]</f>
        <v>9.5848815165876697</v>
      </c>
      <c r="AJ506" s="1">
        <f>Table2[[#This Row],[(A) Err]]^2</f>
        <v>91.869953687023951</v>
      </c>
      <c r="AK506" s="6">
        <f>Table2[[#This Row],[EV]]-Table2[[#This Row],[Spread]]</f>
        <v>10.10181783978868</v>
      </c>
      <c r="AL506" s="1">
        <f>Table2[[#This Row],[EV Err]]^2</f>
        <v>102.04672366827283</v>
      </c>
    </row>
    <row r="507" spans="1:38" x14ac:dyDescent="0.25">
      <c r="A507" t="s">
        <v>108</v>
      </c>
      <c r="B507" t="s">
        <v>29</v>
      </c>
      <c r="C507" t="s">
        <v>23</v>
      </c>
      <c r="K507" s="25">
        <f>(Table2[[#This Row],[Home Pace]]/100)*(VLOOKUP(Table2[[#This Row],[Home/Neutral]],home_lookup,8,FALSE)+VLOOKUP(Table2[[#This Row],[Home/Neutral]],OFR_lookup,2,FALSE)+VLOOKUP(Table2[[#This Row],[Visitor/Neutral]],def_diff_lookup,6,FALSE))</f>
        <v>104.85264926898523</v>
      </c>
      <c r="L507" s="25"/>
      <c r="M507" s="25">
        <f>(Table2[[#This Row],[Away Pace]]/100)*(VLOOKUP(Table2[[#This Row],[Visitor/Neutral]],OFR_lookup,2,FALSE)+VLOOKUP(Table2[[#This Row],[Home/Neutral]],def_diff_lookup,6,FALSE))</f>
        <v>99.56761666666668</v>
      </c>
      <c r="N507" s="25"/>
      <c r="O507" s="25"/>
      <c r="P507">
        <f>VLOOKUP(Table2[[#This Row],[Home/Neutral]],pace_lookup,7,FALSE)</f>
        <v>93.8</v>
      </c>
      <c r="Q507" s="5">
        <f>VLOOKUP(Table2[[#This Row],[Visitor/Neutral]],pace_lookup,7,FALSE)</f>
        <v>92.5</v>
      </c>
      <c r="R507" s="9"/>
      <c r="V507" s="2">
        <f>-home-VLOOKUP(Table2[[#This Row],[Home/Neutral]],rtg_vlookup,4,FALSE)+VLOOKUP(Table2[[#This Row],[Visitor/Neutral]],rtg_vlookup,4,FALSE)</f>
        <v>1.9648815165876692</v>
      </c>
      <c r="W507" s="25"/>
      <c r="X507" s="2"/>
      <c r="Y507" s="2">
        <f>Table2[[#This Row],[Away EV]]-Table2[[#This Row],[Home EV]]</f>
        <v>-5.2850326023185517</v>
      </c>
      <c r="Z507" s="33"/>
      <c r="AA507" s="34"/>
      <c r="AB507" s="5" t="b">
        <f>IF(VLOOKUP(Table2[[#This Row],[Home/Neutral]],division_lookup,9,FALSE)=VLOOKUP(Table2[[#This Row],[Visitor/Neutral]],division_lookup,9,FALSE),TRUE,FALSE)</f>
        <v>0</v>
      </c>
      <c r="AC507" s="19" t="str">
        <f>VLOOKUP(Table2[[#This Row],[Home/Neutral]],division_lookup,9,FALSE)</f>
        <v>P</v>
      </c>
      <c r="AD507" s="19"/>
      <c r="AE507" s="19" t="str">
        <f>IF(Table2[[#This Row],[Total EV ®]]&lt;Table2[[#This Row],[Total (V)]],"UNDER","OVER")</f>
        <v>OVER</v>
      </c>
      <c r="AF507" s="30">
        <f>Table2[[#This Row],[(A) Spread]]-Table2[[#This Row],[Spread (V)]]</f>
        <v>0</v>
      </c>
      <c r="AG507" s="19"/>
      <c r="AH507" s="2">
        <f>Table2[[#This Row],[EV]]-Table2[[#This Row],[Spread (V)]]</f>
        <v>-5.2850326023185517</v>
      </c>
      <c r="AI507" s="22">
        <f>Table2[[#This Row],[(A)]]-Table2[[#This Row],[Spread]]</f>
        <v>1.9648815165876692</v>
      </c>
      <c r="AJ507" s="1">
        <f>Table2[[#This Row],[(A) Err]]^2</f>
        <v>3.8607593742278588</v>
      </c>
      <c r="AK507" s="6">
        <f>Table2[[#This Row],[EV]]-Table2[[#This Row],[Spread]]</f>
        <v>-5.2850326023185517</v>
      </c>
      <c r="AL507" s="1">
        <f>Table2[[#This Row],[EV Err]]^2</f>
        <v>27.931569607570001</v>
      </c>
    </row>
    <row r="508" spans="1:38" x14ac:dyDescent="0.25">
      <c r="A508" t="s">
        <v>108</v>
      </c>
      <c r="B508" t="s">
        <v>20</v>
      </c>
      <c r="C508" t="s">
        <v>36</v>
      </c>
      <c r="K508" s="25">
        <f>(Table2[[#This Row],[Home Pace]]/100)*(VLOOKUP(Table2[[#This Row],[Home/Neutral]],home_lookup,8,FALSE)+VLOOKUP(Table2[[#This Row],[Home/Neutral]],OFR_lookup,2,FALSE)+VLOOKUP(Table2[[#This Row],[Visitor/Neutral]],def_diff_lookup,6,FALSE))</f>
        <v>106.50125528915177</v>
      </c>
      <c r="L508" s="25"/>
      <c r="M508" s="25">
        <f>(Table2[[#This Row],[Away Pace]]/100)*(VLOOKUP(Table2[[#This Row],[Visitor/Neutral]],OFR_lookup,2,FALSE)+VLOOKUP(Table2[[#This Row],[Home/Neutral]],def_diff_lookup,6,FALSE))</f>
        <v>103.73368133333335</v>
      </c>
      <c r="N508" s="25"/>
      <c r="O508" s="25"/>
      <c r="P508">
        <f>VLOOKUP(Table2[[#This Row],[Home/Neutral]],pace_lookup,7,FALSE)</f>
        <v>90.9</v>
      </c>
      <c r="Q508" s="5">
        <f>VLOOKUP(Table2[[#This Row],[Visitor/Neutral]],pace_lookup,7,FALSE)</f>
        <v>102.2</v>
      </c>
      <c r="R508" s="9"/>
      <c r="V508" s="2">
        <f>-home-VLOOKUP(Table2[[#This Row],[Home/Neutral]],rtg_vlookup,4,FALSE)+VLOOKUP(Table2[[#This Row],[Visitor/Neutral]],rtg_vlookup,4,FALSE)</f>
        <v>-10.665118483412332</v>
      </c>
      <c r="W508" s="25"/>
      <c r="X508" s="2"/>
      <c r="Y508" s="2">
        <f>Table2[[#This Row],[Away EV]]-Table2[[#This Row],[Home EV]]</f>
        <v>-2.7675739558184205</v>
      </c>
      <c r="Z508" s="33"/>
      <c r="AA508" s="34"/>
      <c r="AB508" s="5" t="b">
        <f>IF(VLOOKUP(Table2[[#This Row],[Home/Neutral]],division_lookup,9,FALSE)=VLOOKUP(Table2[[#This Row],[Visitor/Neutral]],division_lookup,9,FALSE),TRUE,FALSE)</f>
        <v>0</v>
      </c>
      <c r="AC508" s="19" t="str">
        <f>VLOOKUP(Table2[[#This Row],[Home/Neutral]],division_lookup,9,FALSE)</f>
        <v>NW</v>
      </c>
      <c r="AD508" s="19"/>
      <c r="AE508" s="19" t="str">
        <f>IF(Table2[[#This Row],[Total EV ®]]&lt;Table2[[#This Row],[Total (V)]],"UNDER","OVER")</f>
        <v>OVER</v>
      </c>
      <c r="AF508" s="30">
        <f>Table2[[#This Row],[(A) Spread]]-Table2[[#This Row],[Spread (V)]]</f>
        <v>0</v>
      </c>
      <c r="AG508" s="19"/>
      <c r="AH508" s="2">
        <f>Table2[[#This Row],[EV]]-Table2[[#This Row],[Spread (V)]]</f>
        <v>-2.7675739558184205</v>
      </c>
      <c r="AI508" s="22">
        <f>Table2[[#This Row],[(A)]]-Table2[[#This Row],[Spread]]</f>
        <v>-10.665118483412332</v>
      </c>
      <c r="AJ508" s="1">
        <f>Table2[[#This Row],[(A) Err]]^2</f>
        <v>113.74475226522335</v>
      </c>
      <c r="AK508" s="6">
        <f>Table2[[#This Row],[EV]]-Table2[[#This Row],[Spread]]</f>
        <v>-2.7675739558184205</v>
      </c>
      <c r="AL508" s="1">
        <f>Table2[[#This Row],[EV Err]]^2</f>
        <v>7.6594656009244204</v>
      </c>
    </row>
    <row r="509" spans="1:38" x14ac:dyDescent="0.25">
      <c r="A509" t="s">
        <v>109</v>
      </c>
      <c r="B509" t="s">
        <v>11</v>
      </c>
      <c r="C509" t="s">
        <v>6</v>
      </c>
      <c r="K509" s="25">
        <f>(Table2[[#This Row],[Home Pace]]/100)*(VLOOKUP(Table2[[#This Row],[Home/Neutral]],home_lookup,8,FALSE)+VLOOKUP(Table2[[#This Row],[Home/Neutral]],OFR_lookup,2,FALSE)+VLOOKUP(Table2[[#This Row],[Visitor/Neutral]],def_diff_lookup,6,FALSE))</f>
        <v>96.217279044072825</v>
      </c>
      <c r="L509" s="25"/>
      <c r="M509" s="25">
        <f>(Table2[[#This Row],[Away Pace]]/100)*(VLOOKUP(Table2[[#This Row],[Visitor/Neutral]],OFR_lookup,2,FALSE)+VLOOKUP(Table2[[#This Row],[Home/Neutral]],def_diff_lookup,6,FALSE))</f>
        <v>96.089130666666676</v>
      </c>
      <c r="N509" s="25"/>
      <c r="O509" s="25"/>
      <c r="P509">
        <f>VLOOKUP(Table2[[#This Row],[Home/Neutral]],pace_lookup,7,FALSE)</f>
        <v>99.7</v>
      </c>
      <c r="Q509" s="5">
        <f>VLOOKUP(Table2[[#This Row],[Visitor/Neutral]],pace_lookup,7,FALSE)</f>
        <v>93.1</v>
      </c>
      <c r="R509" s="9"/>
      <c r="V509" s="2">
        <f>-home-VLOOKUP(Table2[[#This Row],[Home/Neutral]],rtg_vlookup,4,FALSE)+VLOOKUP(Table2[[#This Row],[Visitor/Neutral]],rtg_vlookup,4,FALSE)</f>
        <v>-2.045118483412331</v>
      </c>
      <c r="W509" s="25"/>
      <c r="X509" s="2"/>
      <c r="Y509" s="2">
        <f>Table2[[#This Row],[Away EV]]-Table2[[#This Row],[Home EV]]</f>
        <v>-0.12814837740614848</v>
      </c>
      <c r="Z509" s="33"/>
      <c r="AA509" s="34"/>
      <c r="AB509" s="5" t="b">
        <f>IF(VLOOKUP(Table2[[#This Row],[Home/Neutral]],division_lookup,9,FALSE)=VLOOKUP(Table2[[#This Row],[Visitor/Neutral]],division_lookup,9,FALSE),TRUE,FALSE)</f>
        <v>0</v>
      </c>
      <c r="AC509" s="19" t="str">
        <f>VLOOKUP(Table2[[#This Row],[Home/Neutral]],division_lookup,9,FALSE)</f>
        <v>SE</v>
      </c>
      <c r="AD509" s="19"/>
      <c r="AE509" s="19" t="str">
        <f>IF(Table2[[#This Row],[Total EV ®]]&lt;Table2[[#This Row],[Total (V)]],"UNDER","OVER")</f>
        <v>OVER</v>
      </c>
      <c r="AF509" s="30">
        <f>Table2[[#This Row],[(A) Spread]]-Table2[[#This Row],[Spread (V)]]</f>
        <v>0</v>
      </c>
      <c r="AG509" s="19"/>
      <c r="AH509" s="2">
        <f>Table2[[#This Row],[EV]]-Table2[[#This Row],[Spread (V)]]</f>
        <v>-0.12814837740614848</v>
      </c>
      <c r="AI509" s="22">
        <f>Table2[[#This Row],[(A)]]-Table2[[#This Row],[Spread]]</f>
        <v>-2.045118483412331</v>
      </c>
      <c r="AJ509" s="1">
        <f>Table2[[#This Row],[(A) Err]]^2</f>
        <v>4.1825096111947531</v>
      </c>
      <c r="AK509" s="6">
        <f>Table2[[#This Row],[EV]]-Table2[[#This Row],[Spread]]</f>
        <v>-0.12814837740614848</v>
      </c>
      <c r="AL509" s="1">
        <f>Table2[[#This Row],[EV Err]]^2</f>
        <v>1.6422006631828669E-2</v>
      </c>
    </row>
    <row r="510" spans="1:38" x14ac:dyDescent="0.25">
      <c r="A510" t="s">
        <v>109</v>
      </c>
      <c r="B510" t="s">
        <v>33</v>
      </c>
      <c r="C510" t="s">
        <v>38</v>
      </c>
      <c r="K510" s="25">
        <f>(Table2[[#This Row],[Home Pace]]/100)*(VLOOKUP(Table2[[#This Row],[Home/Neutral]],home_lookup,8,FALSE)+VLOOKUP(Table2[[#This Row],[Home/Neutral]],OFR_lookup,2,FALSE)+VLOOKUP(Table2[[#This Row],[Visitor/Neutral]],def_diff_lookup,6,FALSE))</f>
        <v>108.60901852057506</v>
      </c>
      <c r="L510" s="25"/>
      <c r="M510" s="25">
        <f>(Table2[[#This Row],[Away Pace]]/100)*(VLOOKUP(Table2[[#This Row],[Visitor/Neutral]],OFR_lookup,2,FALSE)+VLOOKUP(Table2[[#This Row],[Home/Neutral]],def_diff_lookup,6,FALSE))</f>
        <v>95.349868000000029</v>
      </c>
      <c r="N510" s="25"/>
      <c r="O510" s="25"/>
      <c r="P510">
        <f>VLOOKUP(Table2[[#This Row],[Home/Neutral]],pace_lookup,7,FALSE)</f>
        <v>98.2</v>
      </c>
      <c r="Q510" s="5">
        <f>VLOOKUP(Table2[[#This Row],[Visitor/Neutral]],pace_lookup,7,FALSE)</f>
        <v>94.2</v>
      </c>
      <c r="R510" s="9"/>
      <c r="V510" s="2">
        <f>-home-VLOOKUP(Table2[[#This Row],[Home/Neutral]],rtg_vlookup,4,FALSE)+VLOOKUP(Table2[[#This Row],[Visitor/Neutral]],rtg_vlookup,4,FALSE)</f>
        <v>-6.1751184834123301</v>
      </c>
      <c r="W510" s="25"/>
      <c r="X510" s="2"/>
      <c r="Y510" s="2">
        <f>Table2[[#This Row],[Away EV]]-Table2[[#This Row],[Home EV]]</f>
        <v>-13.259150520575034</v>
      </c>
      <c r="Z510" s="33"/>
      <c r="AA510" s="34"/>
      <c r="AB510" s="5" t="b">
        <f>IF(VLOOKUP(Table2[[#This Row],[Home/Neutral]],division_lookup,9,FALSE)=VLOOKUP(Table2[[#This Row],[Visitor/Neutral]],division_lookup,9,FALSE),TRUE,FALSE)</f>
        <v>0</v>
      </c>
      <c r="AC510" s="19" t="str">
        <f>VLOOKUP(Table2[[#This Row],[Home/Neutral]],division_lookup,9,FALSE)</f>
        <v>C</v>
      </c>
      <c r="AD510" s="19"/>
      <c r="AE510" s="19" t="str">
        <f>IF(Table2[[#This Row],[Total EV ®]]&lt;Table2[[#This Row],[Total (V)]],"UNDER","OVER")</f>
        <v>OVER</v>
      </c>
      <c r="AF510" s="30">
        <f>Table2[[#This Row],[(A) Spread]]-Table2[[#This Row],[Spread (V)]]</f>
        <v>0</v>
      </c>
      <c r="AG510" s="19"/>
      <c r="AH510" s="2">
        <f>Table2[[#This Row],[EV]]-Table2[[#This Row],[Spread (V)]]</f>
        <v>-13.259150520575034</v>
      </c>
      <c r="AI510" s="22">
        <f>Table2[[#This Row],[(A)]]-Table2[[#This Row],[Spread]]</f>
        <v>-6.1751184834123301</v>
      </c>
      <c r="AJ510" s="1">
        <f>Table2[[#This Row],[(A) Err]]^2</f>
        <v>38.132088284180597</v>
      </c>
      <c r="AK510" s="6">
        <f>Table2[[#This Row],[EV]]-Table2[[#This Row],[Spread]]</f>
        <v>-13.259150520575034</v>
      </c>
      <c r="AL510" s="1">
        <f>Table2[[#This Row],[EV Err]]^2</f>
        <v>175.8050725272652</v>
      </c>
    </row>
    <row r="511" spans="1:38" x14ac:dyDescent="0.25">
      <c r="A511" t="s">
        <v>109</v>
      </c>
      <c r="B511" t="s">
        <v>24</v>
      </c>
      <c r="C511" t="s">
        <v>14</v>
      </c>
      <c r="K511" s="25">
        <f>(Table2[[#This Row],[Home Pace]]/100)*(VLOOKUP(Table2[[#This Row],[Home/Neutral]],home_lookup,8,FALSE)+VLOOKUP(Table2[[#This Row],[Home/Neutral]],OFR_lookup,2,FALSE)+VLOOKUP(Table2[[#This Row],[Visitor/Neutral]],def_diff_lookup,6,FALSE))</f>
        <v>111.07461432830941</v>
      </c>
      <c r="L511" s="25"/>
      <c r="M511" s="25">
        <f>(Table2[[#This Row],[Away Pace]]/100)*(VLOOKUP(Table2[[#This Row],[Visitor/Neutral]],OFR_lookup,2,FALSE)+VLOOKUP(Table2[[#This Row],[Home/Neutral]],def_diff_lookup,6,FALSE))</f>
        <v>112.33789933333335</v>
      </c>
      <c r="N511" s="25"/>
      <c r="O511" s="25"/>
      <c r="P511">
        <f>VLOOKUP(Table2[[#This Row],[Home/Neutral]],pace_lookup,7,FALSE)</f>
        <v>99.9</v>
      </c>
      <c r="Q511" s="5">
        <f>VLOOKUP(Table2[[#This Row],[Visitor/Neutral]],pace_lookup,7,FALSE)</f>
        <v>95.9</v>
      </c>
      <c r="R511" s="9"/>
      <c r="V511" s="2">
        <f>-home-VLOOKUP(Table2[[#This Row],[Home/Neutral]],rtg_vlookup,4,FALSE)+VLOOKUP(Table2[[#This Row],[Visitor/Neutral]],rtg_vlookup,4,FALSE)</f>
        <v>1.9848815165876692</v>
      </c>
      <c r="W511" s="25"/>
      <c r="X511" s="2"/>
      <c r="Y511" s="2">
        <f>Table2[[#This Row],[Away EV]]-Table2[[#This Row],[Home EV]]</f>
        <v>1.2632850050239455</v>
      </c>
      <c r="Z511" s="33"/>
      <c r="AA511" s="34"/>
      <c r="AB511" s="5" t="b">
        <f>IF(VLOOKUP(Table2[[#This Row],[Home/Neutral]],division_lookup,9,FALSE)=VLOOKUP(Table2[[#This Row],[Visitor/Neutral]],division_lookup,9,FALSE),TRUE,FALSE)</f>
        <v>0</v>
      </c>
      <c r="AC511" s="19" t="str">
        <f>VLOOKUP(Table2[[#This Row],[Home/Neutral]],division_lookup,9,FALSE)</f>
        <v>P</v>
      </c>
      <c r="AD511" s="19"/>
      <c r="AE511" s="19" t="str">
        <f>IF(Table2[[#This Row],[Total EV ®]]&lt;Table2[[#This Row],[Total (V)]],"UNDER","OVER")</f>
        <v>OVER</v>
      </c>
      <c r="AF511" s="30">
        <f>Table2[[#This Row],[(A) Spread]]-Table2[[#This Row],[Spread (V)]]</f>
        <v>0</v>
      </c>
      <c r="AG511" s="19"/>
      <c r="AH511" s="2">
        <f>Table2[[#This Row],[EV]]-Table2[[#This Row],[Spread (V)]]</f>
        <v>1.2632850050239455</v>
      </c>
      <c r="AI511" s="22">
        <f>Table2[[#This Row],[(A)]]-Table2[[#This Row],[Spread]]</f>
        <v>1.9848815165876692</v>
      </c>
      <c r="AJ511" s="1">
        <f>Table2[[#This Row],[(A) Err]]^2</f>
        <v>3.9397546348913659</v>
      </c>
      <c r="AK511" s="6">
        <f>Table2[[#This Row],[EV]]-Table2[[#This Row],[Spread]]</f>
        <v>1.2632850050239455</v>
      </c>
      <c r="AL511" s="1">
        <f>Table2[[#This Row],[EV Err]]^2</f>
        <v>1.59588900391835</v>
      </c>
    </row>
    <row r="512" spans="1:38" x14ac:dyDescent="0.25">
      <c r="A512" t="s">
        <v>109</v>
      </c>
      <c r="B512" t="s">
        <v>21</v>
      </c>
      <c r="C512" t="s">
        <v>25</v>
      </c>
      <c r="K512" s="25">
        <f>(Table2[[#This Row],[Home Pace]]/100)*(VLOOKUP(Table2[[#This Row],[Home/Neutral]],home_lookup,8,FALSE)+VLOOKUP(Table2[[#This Row],[Home/Neutral]],OFR_lookup,2,FALSE)+VLOOKUP(Table2[[#This Row],[Visitor/Neutral]],def_diff_lookup,6,FALSE))</f>
        <v>98.002631175243906</v>
      </c>
      <c r="L512" s="25"/>
      <c r="M512" s="25">
        <f>(Table2[[#This Row],[Away Pace]]/100)*(VLOOKUP(Table2[[#This Row],[Visitor/Neutral]],OFR_lookup,2,FALSE)+VLOOKUP(Table2[[#This Row],[Home/Neutral]],def_diff_lookup,6,FALSE))</f>
        <v>93.305589333333344</v>
      </c>
      <c r="N512" s="25"/>
      <c r="O512" s="25"/>
      <c r="P512">
        <f>VLOOKUP(Table2[[#This Row],[Home/Neutral]],pace_lookup,7,FALSE)</f>
        <v>94.2</v>
      </c>
      <c r="Q512" s="5">
        <f>VLOOKUP(Table2[[#This Row],[Visitor/Neutral]],pace_lookup,7,FALSE)</f>
        <v>94.4</v>
      </c>
      <c r="R512" s="9"/>
      <c r="V512" s="2">
        <f>-home-VLOOKUP(Table2[[#This Row],[Home/Neutral]],rtg_vlookup,4,FALSE)+VLOOKUP(Table2[[#This Row],[Visitor/Neutral]],rtg_vlookup,4,FALSE)</f>
        <v>-2.6451184834123307</v>
      </c>
      <c r="W512" s="25"/>
      <c r="X512" s="2"/>
      <c r="Y512" s="2">
        <f>Table2[[#This Row],[Away EV]]-Table2[[#This Row],[Home EV]]</f>
        <v>-4.6970418419105613</v>
      </c>
      <c r="Z512" s="33"/>
      <c r="AA512" s="34"/>
      <c r="AB512" s="5" t="b">
        <f>IF(VLOOKUP(Table2[[#This Row],[Home/Neutral]],division_lookup,9,FALSE)=VLOOKUP(Table2[[#This Row],[Visitor/Neutral]],division_lookup,9,FALSE),TRUE,FALSE)</f>
        <v>0</v>
      </c>
      <c r="AC512" s="19" t="str">
        <f>VLOOKUP(Table2[[#This Row],[Home/Neutral]],division_lookup,9,FALSE)</f>
        <v>SE</v>
      </c>
      <c r="AD512" s="19"/>
      <c r="AE512" s="19" t="str">
        <f>IF(Table2[[#This Row],[Total EV ®]]&lt;Table2[[#This Row],[Total (V)]],"UNDER","OVER")</f>
        <v>OVER</v>
      </c>
      <c r="AF512" s="30">
        <f>Table2[[#This Row],[(A) Spread]]-Table2[[#This Row],[Spread (V)]]</f>
        <v>0</v>
      </c>
      <c r="AG512" s="19"/>
      <c r="AH512" s="2">
        <f>Table2[[#This Row],[EV]]-Table2[[#This Row],[Spread (V)]]</f>
        <v>-4.6970418419105613</v>
      </c>
      <c r="AI512" s="22">
        <f>Table2[[#This Row],[(A)]]-Table2[[#This Row],[Spread]]</f>
        <v>-2.6451184834123307</v>
      </c>
      <c r="AJ512" s="1">
        <f>Table2[[#This Row],[(A) Err]]^2</f>
        <v>6.9966517912895485</v>
      </c>
      <c r="AK512" s="6">
        <f>Table2[[#This Row],[EV]]-Table2[[#This Row],[Spread]]</f>
        <v>-4.6970418419105613</v>
      </c>
      <c r="AL512" s="1">
        <f>Table2[[#This Row],[EV Err]]^2</f>
        <v>22.062202064658557</v>
      </c>
    </row>
    <row r="513" spans="1:38" x14ac:dyDescent="0.25">
      <c r="A513" t="s">
        <v>109</v>
      </c>
      <c r="B513" t="s">
        <v>22</v>
      </c>
      <c r="C513" t="s">
        <v>32</v>
      </c>
      <c r="K513" s="25">
        <f>(Table2[[#This Row],[Home Pace]]/100)*(VLOOKUP(Table2[[#This Row],[Home/Neutral]],home_lookup,8,FALSE)+VLOOKUP(Table2[[#This Row],[Home/Neutral]],OFR_lookup,2,FALSE)+VLOOKUP(Table2[[#This Row],[Visitor/Neutral]],def_diff_lookup,6,FALSE))</f>
        <v>115.71722922968976</v>
      </c>
      <c r="L513" s="25"/>
      <c r="M513" s="25">
        <f>(Table2[[#This Row],[Away Pace]]/100)*(VLOOKUP(Table2[[#This Row],[Visitor/Neutral]],OFR_lookup,2,FALSE)+VLOOKUP(Table2[[#This Row],[Home/Neutral]],def_diff_lookup,6,FALSE))</f>
        <v>110.93551733333335</v>
      </c>
      <c r="N513" s="25"/>
      <c r="O513" s="25"/>
      <c r="P513">
        <f>VLOOKUP(Table2[[#This Row],[Home/Neutral]],pace_lookup,7,FALSE)</f>
        <v>94.7</v>
      </c>
      <c r="Q513" s="5">
        <f>VLOOKUP(Table2[[#This Row],[Visitor/Neutral]],pace_lookup,7,FALSE)</f>
        <v>98.6</v>
      </c>
      <c r="R513" s="9"/>
      <c r="V513" s="2">
        <f>-home-VLOOKUP(Table2[[#This Row],[Home/Neutral]],rtg_vlookup,4,FALSE)+VLOOKUP(Table2[[#This Row],[Visitor/Neutral]],rtg_vlookup,4,FALSE)</f>
        <v>-6.5151184834123308</v>
      </c>
      <c r="W513" s="25"/>
      <c r="X513" s="2"/>
      <c r="Y513" s="2">
        <f>Table2[[#This Row],[Away EV]]-Table2[[#This Row],[Home EV]]</f>
        <v>-4.7817118963564127</v>
      </c>
      <c r="Z513" s="33"/>
      <c r="AA513" s="34"/>
      <c r="AB513" s="5" t="b">
        <f>IF(VLOOKUP(Table2[[#This Row],[Home/Neutral]],division_lookup,9,FALSE)=VLOOKUP(Table2[[#This Row],[Visitor/Neutral]],division_lookup,9,FALSE),TRUE,FALSE)</f>
        <v>1</v>
      </c>
      <c r="AC513" s="19" t="str">
        <f>VLOOKUP(Table2[[#This Row],[Home/Neutral]],division_lookup,9,FALSE)</f>
        <v>NW</v>
      </c>
      <c r="AD513" s="19"/>
      <c r="AE513" s="19" t="str">
        <f>IF(Table2[[#This Row],[Total EV ®]]&lt;Table2[[#This Row],[Total (V)]],"UNDER","OVER")</f>
        <v>OVER</v>
      </c>
      <c r="AF513" s="30">
        <f>Table2[[#This Row],[(A) Spread]]-Table2[[#This Row],[Spread (V)]]</f>
        <v>0</v>
      </c>
      <c r="AG513" s="19"/>
      <c r="AH513" s="2">
        <f>Table2[[#This Row],[EV]]-Table2[[#This Row],[Spread (V)]]</f>
        <v>-4.7817118963564127</v>
      </c>
      <c r="AI513" s="22">
        <f>Table2[[#This Row],[(A)]]-Table2[[#This Row],[Spread]]</f>
        <v>-6.5151184834123308</v>
      </c>
      <c r="AJ513" s="1">
        <f>Table2[[#This Row],[(A) Err]]^2</f>
        <v>42.446768852900988</v>
      </c>
      <c r="AK513" s="6">
        <f>Table2[[#This Row],[EV]]-Table2[[#This Row],[Spread]]</f>
        <v>-4.7817118963564127</v>
      </c>
      <c r="AL513" s="1">
        <f>Table2[[#This Row],[EV Err]]^2</f>
        <v>22.864768659756439</v>
      </c>
    </row>
    <row r="514" spans="1:38" x14ac:dyDescent="0.25">
      <c r="A514" t="s">
        <v>110</v>
      </c>
      <c r="B514" t="s">
        <v>35</v>
      </c>
      <c r="C514" t="s">
        <v>20</v>
      </c>
      <c r="K514" s="25">
        <f>(Table2[[#This Row],[Home Pace]]/100)*(VLOOKUP(Table2[[#This Row],[Home/Neutral]],home_lookup,8,FALSE)+VLOOKUP(Table2[[#This Row],[Home/Neutral]],OFR_lookup,2,FALSE)+VLOOKUP(Table2[[#This Row],[Visitor/Neutral]],def_diff_lookup,6,FALSE))</f>
        <v>106.12793121209626</v>
      </c>
      <c r="L514" s="25"/>
      <c r="M514" s="25">
        <f>(Table2[[#This Row],[Away Pace]]/100)*(VLOOKUP(Table2[[#This Row],[Visitor/Neutral]],OFR_lookup,2,FALSE)+VLOOKUP(Table2[[#This Row],[Home/Neutral]],def_diff_lookup,6,FALSE))</f>
        <v>100.14513600000001</v>
      </c>
      <c r="N514" s="25"/>
      <c r="O514" s="25"/>
      <c r="P514">
        <f>VLOOKUP(Table2[[#This Row],[Home/Neutral]],pace_lookup,7,FALSE)</f>
        <v>102.2</v>
      </c>
      <c r="Q514" s="5">
        <f>VLOOKUP(Table2[[#This Row],[Visitor/Neutral]],pace_lookup,7,FALSE)</f>
        <v>90.9</v>
      </c>
      <c r="R514" s="9"/>
      <c r="V514" s="2">
        <f>-home-VLOOKUP(Table2[[#This Row],[Home/Neutral]],rtg_vlookup,4,FALSE)+VLOOKUP(Table2[[#This Row],[Visitor/Neutral]],rtg_vlookup,4,FALSE)</f>
        <v>5.3248815165876691</v>
      </c>
      <c r="W514" s="25"/>
      <c r="X514" s="2"/>
      <c r="Y514" s="2">
        <f>Table2[[#This Row],[Away EV]]-Table2[[#This Row],[Home EV]]</f>
        <v>-5.9827952120962493</v>
      </c>
      <c r="Z514" s="33"/>
      <c r="AA514" s="34"/>
      <c r="AB514" s="5" t="b">
        <f>IF(VLOOKUP(Table2[[#This Row],[Home/Neutral]],division_lookup,9,FALSE)=VLOOKUP(Table2[[#This Row],[Visitor/Neutral]],division_lookup,9,FALSE),TRUE,FALSE)</f>
        <v>0</v>
      </c>
      <c r="AC514" s="19" t="str">
        <f>VLOOKUP(Table2[[#This Row],[Home/Neutral]],division_lookup,9,FALSE)</f>
        <v>A</v>
      </c>
      <c r="AD514" s="19"/>
      <c r="AE514" s="19" t="str">
        <f>IF(Table2[[#This Row],[Total EV ®]]&lt;Table2[[#This Row],[Total (V)]],"UNDER","OVER")</f>
        <v>OVER</v>
      </c>
      <c r="AF514" s="30">
        <f>Table2[[#This Row],[(A) Spread]]-Table2[[#This Row],[Spread (V)]]</f>
        <v>0</v>
      </c>
      <c r="AG514" s="19"/>
      <c r="AH514" s="2">
        <f>Table2[[#This Row],[EV]]-Table2[[#This Row],[Spread (V)]]</f>
        <v>-5.9827952120962493</v>
      </c>
      <c r="AI514" s="22">
        <f>Table2[[#This Row],[(A)]]-Table2[[#This Row],[Spread]]</f>
        <v>5.3248815165876691</v>
      </c>
      <c r="AJ514" s="1">
        <f>Table2[[#This Row],[(A) Err]]^2</f>
        <v>28.354363165696995</v>
      </c>
      <c r="AK514" s="6">
        <f>Table2[[#This Row],[EV]]-Table2[[#This Row],[Spread]]</f>
        <v>-5.9827952120962493</v>
      </c>
      <c r="AL514" s="1">
        <f>Table2[[#This Row],[EV Err]]^2</f>
        <v>35.793838549881805</v>
      </c>
    </row>
    <row r="515" spans="1:38" x14ac:dyDescent="0.25">
      <c r="A515" t="s">
        <v>110</v>
      </c>
      <c r="B515" t="s">
        <v>13</v>
      </c>
      <c r="C515" t="s">
        <v>16</v>
      </c>
      <c r="K515" s="25">
        <f>(Table2[[#This Row],[Home Pace]]/100)*(VLOOKUP(Table2[[#This Row],[Home/Neutral]],home_lookup,8,FALSE)+VLOOKUP(Table2[[#This Row],[Home/Neutral]],OFR_lookup,2,FALSE)+VLOOKUP(Table2[[#This Row],[Visitor/Neutral]],def_diff_lookup,6,FALSE))</f>
        <v>103.71949108450401</v>
      </c>
      <c r="L515" s="25"/>
      <c r="M515" s="25">
        <f>(Table2[[#This Row],[Away Pace]]/100)*(VLOOKUP(Table2[[#This Row],[Visitor/Neutral]],OFR_lookup,2,FALSE)+VLOOKUP(Table2[[#This Row],[Home/Neutral]],def_diff_lookup,6,FALSE))</f>
        <v>103.80890000000001</v>
      </c>
      <c r="N515" s="25"/>
      <c r="O515" s="25"/>
      <c r="P515">
        <f>VLOOKUP(Table2[[#This Row],[Home/Neutral]],pace_lookup,7,FALSE)</f>
        <v>94.5</v>
      </c>
      <c r="Q515" s="5">
        <f>VLOOKUP(Table2[[#This Row],[Visitor/Neutral]],pace_lookup,7,FALSE)</f>
        <v>97.5</v>
      </c>
      <c r="R515" s="9"/>
      <c r="V515" s="2">
        <f>-home-VLOOKUP(Table2[[#This Row],[Home/Neutral]],rtg_vlookup,4,FALSE)+VLOOKUP(Table2[[#This Row],[Visitor/Neutral]],rtg_vlookup,4,FALSE)</f>
        <v>-5.7451184834123312</v>
      </c>
      <c r="W515" s="25"/>
      <c r="X515" s="2"/>
      <c r="Y515" s="2">
        <f>Table2[[#This Row],[Away EV]]-Table2[[#This Row],[Home EV]]</f>
        <v>8.9408915495994279E-2</v>
      </c>
      <c r="Z515" s="33"/>
      <c r="AA515" s="34"/>
      <c r="AB515" s="5" t="b">
        <f>IF(VLOOKUP(Table2[[#This Row],[Home/Neutral]],division_lookup,9,FALSE)=VLOOKUP(Table2[[#This Row],[Visitor/Neutral]],division_lookup,9,FALSE),TRUE,FALSE)</f>
        <v>0</v>
      </c>
      <c r="AC515" s="19" t="str">
        <f>VLOOKUP(Table2[[#This Row],[Home/Neutral]],division_lookup,9,FALSE)</f>
        <v>C</v>
      </c>
      <c r="AD515" s="19"/>
      <c r="AE515" s="19" t="str">
        <f>IF(Table2[[#This Row],[Total EV ®]]&lt;Table2[[#This Row],[Total (V)]],"UNDER","OVER")</f>
        <v>OVER</v>
      </c>
      <c r="AF515" s="30">
        <f>Table2[[#This Row],[(A) Spread]]-Table2[[#This Row],[Spread (V)]]</f>
        <v>0</v>
      </c>
      <c r="AG515" s="19"/>
      <c r="AH515" s="2">
        <f>Table2[[#This Row],[EV]]-Table2[[#This Row],[Spread (V)]]</f>
        <v>8.9408915495994279E-2</v>
      </c>
      <c r="AI515" s="22">
        <f>Table2[[#This Row],[(A)]]-Table2[[#This Row],[Spread]]</f>
        <v>-5.7451184834123312</v>
      </c>
      <c r="AJ515" s="1">
        <f>Table2[[#This Row],[(A) Err]]^2</f>
        <v>33.006386388446003</v>
      </c>
      <c r="AK515" s="6">
        <f>Table2[[#This Row],[EV]]-Table2[[#This Row],[Spread]]</f>
        <v>8.9408915495994279E-2</v>
      </c>
      <c r="AL515" s="1">
        <f>Table2[[#This Row],[EV Err]]^2</f>
        <v>7.9939541701698463E-3</v>
      </c>
    </row>
    <row r="516" spans="1:38" x14ac:dyDescent="0.25">
      <c r="A516" t="s">
        <v>110</v>
      </c>
      <c r="B516" t="s">
        <v>8</v>
      </c>
      <c r="C516" t="s">
        <v>34</v>
      </c>
      <c r="K516" s="25">
        <f>(Table2[[#This Row],[Home Pace]]/100)*(VLOOKUP(Table2[[#This Row],[Home/Neutral]],home_lookup,8,FALSE)+VLOOKUP(Table2[[#This Row],[Home/Neutral]],OFR_lookup,2,FALSE)+VLOOKUP(Table2[[#This Row],[Visitor/Neutral]],def_diff_lookup,6,FALSE))</f>
        <v>104.5339803689818</v>
      </c>
      <c r="L516" s="25"/>
      <c r="M516" s="25">
        <f>(Table2[[#This Row],[Away Pace]]/100)*(VLOOKUP(Table2[[#This Row],[Visitor/Neutral]],OFR_lookup,2,FALSE)+VLOOKUP(Table2[[#This Row],[Home/Neutral]],def_diff_lookup,6,FALSE))</f>
        <v>97.86205866666667</v>
      </c>
      <c r="N516" s="25"/>
      <c r="O516" s="25"/>
      <c r="P516">
        <f>VLOOKUP(Table2[[#This Row],[Home/Neutral]],pace_lookup,7,FALSE)</f>
        <v>97.2</v>
      </c>
      <c r="Q516" s="5">
        <f>VLOOKUP(Table2[[#This Row],[Visitor/Neutral]],pace_lookup,7,FALSE)</f>
        <v>98.8</v>
      </c>
      <c r="R516" s="9"/>
      <c r="V516" s="2">
        <f>-home-VLOOKUP(Table2[[#This Row],[Home/Neutral]],rtg_vlookup,4,FALSE)+VLOOKUP(Table2[[#This Row],[Visitor/Neutral]],rtg_vlookup,4,FALSE)</f>
        <v>-14.615118483412331</v>
      </c>
      <c r="W516" s="25"/>
      <c r="X516" s="2"/>
      <c r="Y516" s="2">
        <f>Table2[[#This Row],[Away EV]]-Table2[[#This Row],[Home EV]]</f>
        <v>-6.6719217023151316</v>
      </c>
      <c r="Z516" s="33"/>
      <c r="AA516" s="34"/>
      <c r="AB516" s="5" t="b">
        <f>IF(VLOOKUP(Table2[[#This Row],[Home/Neutral]],division_lookup,9,FALSE)=VLOOKUP(Table2[[#This Row],[Visitor/Neutral]],division_lookup,9,FALSE),TRUE,FALSE)</f>
        <v>0</v>
      </c>
      <c r="AC516" s="19" t="str">
        <f>VLOOKUP(Table2[[#This Row],[Home/Neutral]],division_lookup,9,FALSE)</f>
        <v>C</v>
      </c>
      <c r="AD516" s="19"/>
      <c r="AE516" s="19" t="str">
        <f>IF(Table2[[#This Row],[Total EV ®]]&lt;Table2[[#This Row],[Total (V)]],"UNDER","OVER")</f>
        <v>OVER</v>
      </c>
      <c r="AF516" s="30">
        <f>Table2[[#This Row],[(A) Spread]]-Table2[[#This Row],[Spread (V)]]</f>
        <v>0</v>
      </c>
      <c r="AG516" s="19"/>
      <c r="AH516" s="2">
        <f>Table2[[#This Row],[EV]]-Table2[[#This Row],[Spread (V)]]</f>
        <v>-6.6719217023151316</v>
      </c>
      <c r="AI516" s="22">
        <f>Table2[[#This Row],[(A)]]-Table2[[#This Row],[Spread]]</f>
        <v>-14.615118483412331</v>
      </c>
      <c r="AJ516" s="1">
        <f>Table2[[#This Row],[(A) Err]]^2</f>
        <v>213.60168828418077</v>
      </c>
      <c r="AK516" s="6">
        <f>Table2[[#This Row],[EV]]-Table2[[#This Row],[Spread]]</f>
        <v>-6.6719217023151316</v>
      </c>
      <c r="AL516" s="1">
        <f>Table2[[#This Row],[EV Err]]^2</f>
        <v>44.514539201823645</v>
      </c>
    </row>
    <row r="517" spans="1:38" x14ac:dyDescent="0.25">
      <c r="A517" t="s">
        <v>110</v>
      </c>
      <c r="B517" t="s">
        <v>10</v>
      </c>
      <c r="C517" t="s">
        <v>27</v>
      </c>
      <c r="K517" s="25">
        <f>(Table2[[#This Row],[Home Pace]]/100)*(VLOOKUP(Table2[[#This Row],[Home/Neutral]],home_lookup,8,FALSE)+VLOOKUP(Table2[[#This Row],[Home/Neutral]],OFR_lookup,2,FALSE)+VLOOKUP(Table2[[#This Row],[Visitor/Neutral]],def_diff_lookup,6,FALSE))</f>
        <v>106.77507853790561</v>
      </c>
      <c r="L517" s="25"/>
      <c r="M517" s="25">
        <f>(Table2[[#This Row],[Away Pace]]/100)*(VLOOKUP(Table2[[#This Row],[Visitor/Neutral]],OFR_lookup,2,FALSE)+VLOOKUP(Table2[[#This Row],[Home/Neutral]],def_diff_lookup,6,FALSE))</f>
        <v>105.80195999999999</v>
      </c>
      <c r="N517" s="25"/>
      <c r="O517" s="25"/>
      <c r="P517">
        <f>VLOOKUP(Table2[[#This Row],[Home/Neutral]],pace_lookup,7,FALSE)</f>
        <v>100.3</v>
      </c>
      <c r="Q517" s="5">
        <f>VLOOKUP(Table2[[#This Row],[Visitor/Neutral]],pace_lookup,7,FALSE)</f>
        <v>99</v>
      </c>
      <c r="R517" s="9"/>
      <c r="V517" s="2">
        <f>-home-VLOOKUP(Table2[[#This Row],[Home/Neutral]],rtg_vlookup,4,FALSE)+VLOOKUP(Table2[[#This Row],[Visitor/Neutral]],rtg_vlookup,4,FALSE)</f>
        <v>-11.795118483412331</v>
      </c>
      <c r="W517" s="25"/>
      <c r="X517" s="2"/>
      <c r="Y517" s="2">
        <f>Table2[[#This Row],[Away EV]]-Table2[[#This Row],[Home EV]]</f>
        <v>-0.97311853790561997</v>
      </c>
      <c r="Z517" s="33"/>
      <c r="AA517" s="34"/>
      <c r="AB517" s="5" t="b">
        <f>IF(VLOOKUP(Table2[[#This Row],[Home/Neutral]],division_lookup,9,FALSE)=VLOOKUP(Table2[[#This Row],[Visitor/Neutral]],division_lookup,9,FALSE),TRUE,FALSE)</f>
        <v>0</v>
      </c>
      <c r="AC517" s="19" t="str">
        <f>VLOOKUP(Table2[[#This Row],[Home/Neutral]],division_lookup,9,FALSE)</f>
        <v>P</v>
      </c>
      <c r="AD517" s="19"/>
      <c r="AE517" s="19" t="str">
        <f>IF(Table2[[#This Row],[Total EV ®]]&lt;Table2[[#This Row],[Total (V)]],"UNDER","OVER")</f>
        <v>OVER</v>
      </c>
      <c r="AF517" s="30">
        <f>Table2[[#This Row],[(A) Spread]]-Table2[[#This Row],[Spread (V)]]</f>
        <v>0</v>
      </c>
      <c r="AG517" s="19"/>
      <c r="AH517" s="2">
        <f>Table2[[#This Row],[EV]]-Table2[[#This Row],[Spread (V)]]</f>
        <v>-0.97311853790561997</v>
      </c>
      <c r="AI517" s="22">
        <f>Table2[[#This Row],[(A)]]-Table2[[#This Row],[Spread]]</f>
        <v>-11.795118483412331</v>
      </c>
      <c r="AJ517" s="1">
        <f>Table2[[#This Row],[(A) Err]]^2</f>
        <v>139.12482003773522</v>
      </c>
      <c r="AK517" s="6">
        <f>Table2[[#This Row],[EV]]-Table2[[#This Row],[Spread]]</f>
        <v>-0.97311853790561997</v>
      </c>
      <c r="AL517" s="1">
        <f>Table2[[#This Row],[EV Err]]^2</f>
        <v>0.94695968881557158</v>
      </c>
    </row>
    <row r="518" spans="1:38" x14ac:dyDescent="0.25">
      <c r="A518" t="s">
        <v>110</v>
      </c>
      <c r="B518" t="s">
        <v>17</v>
      </c>
      <c r="C518" t="s">
        <v>28</v>
      </c>
      <c r="K518" s="25">
        <f>(Table2[[#This Row],[Home Pace]]/100)*(VLOOKUP(Table2[[#This Row],[Home/Neutral]],home_lookup,8,FALSE)+VLOOKUP(Table2[[#This Row],[Home/Neutral]],OFR_lookup,2,FALSE)+VLOOKUP(Table2[[#This Row],[Visitor/Neutral]],def_diff_lookup,6,FALSE))</f>
        <v>112.17918692873545</v>
      </c>
      <c r="L518" s="25"/>
      <c r="M518" s="25">
        <f>(Table2[[#This Row],[Away Pace]]/100)*(VLOOKUP(Table2[[#This Row],[Visitor/Neutral]],OFR_lookup,2,FALSE)+VLOOKUP(Table2[[#This Row],[Home/Neutral]],def_diff_lookup,6,FALSE))</f>
        <v>106.566222</v>
      </c>
      <c r="N518" s="25"/>
      <c r="O518" s="25"/>
      <c r="P518">
        <f>VLOOKUP(Table2[[#This Row],[Home/Neutral]],pace_lookup,7,FALSE)</f>
        <v>96.7</v>
      </c>
      <c r="Q518" s="5">
        <f>VLOOKUP(Table2[[#This Row],[Visitor/Neutral]],pace_lookup,7,FALSE)</f>
        <v>96.3</v>
      </c>
      <c r="R518" s="9"/>
      <c r="V518" s="2">
        <f>-home-VLOOKUP(Table2[[#This Row],[Home/Neutral]],rtg_vlookup,4,FALSE)+VLOOKUP(Table2[[#This Row],[Visitor/Neutral]],rtg_vlookup,4,FALSE)</f>
        <v>-8.8751184834123311</v>
      </c>
      <c r="W518" s="25"/>
      <c r="X518" s="2"/>
      <c r="Y518" s="2">
        <f>Table2[[#This Row],[Away EV]]-Table2[[#This Row],[Home EV]]</f>
        <v>-5.6129649287354511</v>
      </c>
      <c r="Z518" s="33"/>
      <c r="AA518" s="34"/>
      <c r="AB518" s="5" t="b">
        <f>IF(VLOOKUP(Table2[[#This Row],[Home/Neutral]],division_lookup,9,FALSE)=VLOOKUP(Table2[[#This Row],[Visitor/Neutral]],division_lookup,9,FALSE),TRUE,FALSE)</f>
        <v>0</v>
      </c>
      <c r="AC518" s="19" t="str">
        <f>VLOOKUP(Table2[[#This Row],[Home/Neutral]],division_lookup,9,FALSE)</f>
        <v>SW</v>
      </c>
      <c r="AD518" s="19"/>
      <c r="AE518" s="19" t="str">
        <f>IF(Table2[[#This Row],[Total EV ®]]&lt;Table2[[#This Row],[Total (V)]],"UNDER","OVER")</f>
        <v>OVER</v>
      </c>
      <c r="AF518" s="30">
        <f>Table2[[#This Row],[(A) Spread]]-Table2[[#This Row],[Spread (V)]]</f>
        <v>0</v>
      </c>
      <c r="AG518" s="19"/>
      <c r="AH518" s="2">
        <f>Table2[[#This Row],[EV]]-Table2[[#This Row],[Spread (V)]]</f>
        <v>-5.6129649287354511</v>
      </c>
      <c r="AI518" s="22">
        <f>Table2[[#This Row],[(A)]]-Table2[[#This Row],[Spread]]</f>
        <v>-8.8751184834123311</v>
      </c>
      <c r="AJ518" s="1">
        <f>Table2[[#This Row],[(A) Err]]^2</f>
        <v>78.767728094607193</v>
      </c>
      <c r="AK518" s="6">
        <f>Table2[[#This Row],[EV]]-Table2[[#This Row],[Spread]]</f>
        <v>-5.6129649287354511</v>
      </c>
      <c r="AL518" s="1">
        <f>Table2[[#This Row],[EV Err]]^2</f>
        <v>31.505375291214168</v>
      </c>
    </row>
    <row r="519" spans="1:38" x14ac:dyDescent="0.25">
      <c r="A519" t="s">
        <v>110</v>
      </c>
      <c r="B519" t="s">
        <v>4</v>
      </c>
      <c r="C519" t="s">
        <v>36</v>
      </c>
      <c r="K519" s="25">
        <f>(Table2[[#This Row],[Home Pace]]/100)*(VLOOKUP(Table2[[#This Row],[Home/Neutral]],home_lookup,8,FALSE)+VLOOKUP(Table2[[#This Row],[Home/Neutral]],OFR_lookup,2,FALSE)+VLOOKUP(Table2[[#This Row],[Visitor/Neutral]],def_diff_lookup,6,FALSE))</f>
        <v>105.06384781393444</v>
      </c>
      <c r="L519" s="25"/>
      <c r="M519" s="25">
        <f>(Table2[[#This Row],[Away Pace]]/100)*(VLOOKUP(Table2[[#This Row],[Visitor/Neutral]],OFR_lookup,2,FALSE)+VLOOKUP(Table2[[#This Row],[Home/Neutral]],def_diff_lookup,6,FALSE))</f>
        <v>99.001821333333353</v>
      </c>
      <c r="N519" s="25"/>
      <c r="O519" s="25"/>
      <c r="P519">
        <f>VLOOKUP(Table2[[#This Row],[Home/Neutral]],pace_lookup,7,FALSE)</f>
        <v>96.6</v>
      </c>
      <c r="Q519" s="5">
        <f>VLOOKUP(Table2[[#This Row],[Visitor/Neutral]],pace_lookup,7,FALSE)</f>
        <v>102.2</v>
      </c>
      <c r="R519" s="9"/>
      <c r="V519" s="2">
        <f>-home-VLOOKUP(Table2[[#This Row],[Home/Neutral]],rtg_vlookup,4,FALSE)+VLOOKUP(Table2[[#This Row],[Visitor/Neutral]],rtg_vlookup,4,FALSE)</f>
        <v>-23.565118483412331</v>
      </c>
      <c r="W519" s="25"/>
      <c r="X519" s="2"/>
      <c r="Y519" s="2">
        <f>Table2[[#This Row],[Away EV]]-Table2[[#This Row],[Home EV]]</f>
        <v>-6.0620264806010908</v>
      </c>
      <c r="Z519" s="33"/>
      <c r="AA519" s="34"/>
      <c r="AB519" s="5" t="b">
        <f>IF(VLOOKUP(Table2[[#This Row],[Home/Neutral]],division_lookup,9,FALSE)=VLOOKUP(Table2[[#This Row],[Visitor/Neutral]],division_lookup,9,FALSE),TRUE,FALSE)</f>
        <v>1</v>
      </c>
      <c r="AC519" s="19" t="str">
        <f>VLOOKUP(Table2[[#This Row],[Home/Neutral]],division_lookup,9,FALSE)</f>
        <v>P</v>
      </c>
      <c r="AD519" s="19"/>
      <c r="AE519" s="19" t="str">
        <f>IF(Table2[[#This Row],[Total EV ®]]&lt;Table2[[#This Row],[Total (V)]],"UNDER","OVER")</f>
        <v>OVER</v>
      </c>
      <c r="AF519" s="30">
        <f>Table2[[#This Row],[(A) Spread]]-Table2[[#This Row],[Spread (V)]]</f>
        <v>0</v>
      </c>
      <c r="AG519" s="19"/>
      <c r="AH519" s="2">
        <f>Table2[[#This Row],[EV]]-Table2[[#This Row],[Spread (V)]]</f>
        <v>-6.0620264806010908</v>
      </c>
      <c r="AI519" s="22">
        <f>Table2[[#This Row],[(A)]]-Table2[[#This Row],[Spread]]</f>
        <v>-23.565118483412331</v>
      </c>
      <c r="AJ519" s="1">
        <f>Table2[[#This Row],[(A) Err]]^2</f>
        <v>555.31480913726148</v>
      </c>
      <c r="AK519" s="6">
        <f>Table2[[#This Row],[EV]]-Table2[[#This Row],[Spread]]</f>
        <v>-6.0620264806010908</v>
      </c>
      <c r="AL519" s="1">
        <f>Table2[[#This Row],[EV Err]]^2</f>
        <v>36.748165051508849</v>
      </c>
    </row>
    <row r="520" spans="1:38" x14ac:dyDescent="0.25">
      <c r="A520" t="s">
        <v>110</v>
      </c>
      <c r="B520" t="s">
        <v>30</v>
      </c>
      <c r="C520" t="s">
        <v>18</v>
      </c>
      <c r="K520" s="25">
        <f>(Table2[[#This Row],[Home Pace]]/100)*(VLOOKUP(Table2[[#This Row],[Home/Neutral]],home_lookup,8,FALSE)+VLOOKUP(Table2[[#This Row],[Home/Neutral]],OFR_lookup,2,FALSE)+VLOOKUP(Table2[[#This Row],[Visitor/Neutral]],def_diff_lookup,6,FALSE))</f>
        <v>104.06608034993644</v>
      </c>
      <c r="L520" s="25"/>
      <c r="M520" s="25">
        <f>(Table2[[#This Row],[Away Pace]]/100)*(VLOOKUP(Table2[[#This Row],[Visitor/Neutral]],OFR_lookup,2,FALSE)+VLOOKUP(Table2[[#This Row],[Home/Neutral]],def_diff_lookup,6,FALSE))</f>
        <v>105.85871333333336</v>
      </c>
      <c r="N520" s="25"/>
      <c r="O520" s="25"/>
      <c r="P520">
        <f>VLOOKUP(Table2[[#This Row],[Home/Neutral]],pace_lookup,7,FALSE)</f>
        <v>96.8</v>
      </c>
      <c r="Q520" s="5">
        <f>VLOOKUP(Table2[[#This Row],[Visitor/Neutral]],pace_lookup,7,FALSE)</f>
        <v>99.5</v>
      </c>
      <c r="R520" s="9"/>
      <c r="V520" s="2">
        <f>-home-VLOOKUP(Table2[[#This Row],[Home/Neutral]],rtg_vlookup,4,FALSE)+VLOOKUP(Table2[[#This Row],[Visitor/Neutral]],rtg_vlookup,4,FALSE)</f>
        <v>2.1148815165876691</v>
      </c>
      <c r="W520" s="25"/>
      <c r="X520" s="2"/>
      <c r="Y520" s="2">
        <f>Table2[[#This Row],[Away EV]]-Table2[[#This Row],[Home EV]]</f>
        <v>1.7926329833969135</v>
      </c>
      <c r="Z520" s="33"/>
      <c r="AA520" s="34"/>
      <c r="AB520" s="5" t="b">
        <f>IF(VLOOKUP(Table2[[#This Row],[Home/Neutral]],division_lookup,9,FALSE)=VLOOKUP(Table2[[#This Row],[Visitor/Neutral]],division_lookup,9,FALSE),TRUE,FALSE)</f>
        <v>0</v>
      </c>
      <c r="AC520" s="19" t="str">
        <f>VLOOKUP(Table2[[#This Row],[Home/Neutral]],division_lookup,9,FALSE)</f>
        <v>C</v>
      </c>
      <c r="AD520" s="19"/>
      <c r="AE520" s="19" t="str">
        <f>IF(Table2[[#This Row],[Total EV ®]]&lt;Table2[[#This Row],[Total (V)]],"UNDER","OVER")</f>
        <v>OVER</v>
      </c>
      <c r="AF520" s="30">
        <f>Table2[[#This Row],[(A) Spread]]-Table2[[#This Row],[Spread (V)]]</f>
        <v>0</v>
      </c>
      <c r="AG520" s="19"/>
      <c r="AH520" s="2">
        <f>Table2[[#This Row],[EV]]-Table2[[#This Row],[Spread (V)]]</f>
        <v>1.7926329833969135</v>
      </c>
      <c r="AI520" s="22">
        <f>Table2[[#This Row],[(A)]]-Table2[[#This Row],[Spread]]</f>
        <v>2.1148815165876691</v>
      </c>
      <c r="AJ520" s="1">
        <f>Table2[[#This Row],[(A) Err]]^2</f>
        <v>4.4727238292041589</v>
      </c>
      <c r="AK520" s="6">
        <f>Table2[[#This Row],[EV]]-Table2[[#This Row],[Spread]]</f>
        <v>1.7926329833969135</v>
      </c>
      <c r="AL520" s="1">
        <f>Table2[[#This Row],[EV Err]]^2</f>
        <v>3.2135330131625186</v>
      </c>
    </row>
    <row r="521" spans="1:38" x14ac:dyDescent="0.25">
      <c r="A521" t="s">
        <v>110</v>
      </c>
      <c r="B521" t="s">
        <v>31</v>
      </c>
      <c r="C521" t="s">
        <v>38</v>
      </c>
      <c r="K521" s="25">
        <f>(Table2[[#This Row],[Home Pace]]/100)*(VLOOKUP(Table2[[#This Row],[Home/Neutral]],home_lookup,8,FALSE)+VLOOKUP(Table2[[#This Row],[Home/Neutral]],OFR_lookup,2,FALSE)+VLOOKUP(Table2[[#This Row],[Visitor/Neutral]],def_diff_lookup,6,FALSE))</f>
        <v>111.4173743021789</v>
      </c>
      <c r="L521" s="25"/>
      <c r="M521" s="25">
        <f>(Table2[[#This Row],[Away Pace]]/100)*(VLOOKUP(Table2[[#This Row],[Visitor/Neutral]],OFR_lookup,2,FALSE)+VLOOKUP(Table2[[#This Row],[Home/Neutral]],def_diff_lookup,6,FALSE))</f>
        <v>97.459948000000026</v>
      </c>
      <c r="N521" s="25"/>
      <c r="O521" s="25"/>
      <c r="P521">
        <f>VLOOKUP(Table2[[#This Row],[Home/Neutral]],pace_lookup,7,FALSE)</f>
        <v>96</v>
      </c>
      <c r="Q521" s="5">
        <f>VLOOKUP(Table2[[#This Row],[Visitor/Neutral]],pace_lookup,7,FALSE)</f>
        <v>94.2</v>
      </c>
      <c r="R521" s="9"/>
      <c r="V521" s="2">
        <f>-home-VLOOKUP(Table2[[#This Row],[Home/Neutral]],rtg_vlookup,4,FALSE)+VLOOKUP(Table2[[#This Row],[Visitor/Neutral]],rtg_vlookup,4,FALSE)</f>
        <v>-9.1751184834123301</v>
      </c>
      <c r="W521" s="25"/>
      <c r="X521" s="2"/>
      <c r="Y521" s="2">
        <f>Table2[[#This Row],[Away EV]]-Table2[[#This Row],[Home EV]]</f>
        <v>-13.957426302178874</v>
      </c>
      <c r="Z521" s="33"/>
      <c r="AA521" s="34"/>
      <c r="AB521" s="5" t="b">
        <f>IF(VLOOKUP(Table2[[#This Row],[Home/Neutral]],division_lookup,9,FALSE)=VLOOKUP(Table2[[#This Row],[Visitor/Neutral]],division_lookup,9,FALSE),TRUE,FALSE)</f>
        <v>0</v>
      </c>
      <c r="AC521" s="19" t="str">
        <f>VLOOKUP(Table2[[#This Row],[Home/Neutral]],division_lookup,9,FALSE)</f>
        <v>A</v>
      </c>
      <c r="AD521" s="19"/>
      <c r="AE521" s="19" t="str">
        <f>IF(Table2[[#This Row],[Total EV ®]]&lt;Table2[[#This Row],[Total (V)]],"UNDER","OVER")</f>
        <v>OVER</v>
      </c>
      <c r="AF521" s="30">
        <f>Table2[[#This Row],[(A) Spread]]-Table2[[#This Row],[Spread (V)]]</f>
        <v>0</v>
      </c>
      <c r="AG521" s="19"/>
      <c r="AH521" s="2">
        <f>Table2[[#This Row],[EV]]-Table2[[#This Row],[Spread (V)]]</f>
        <v>-13.957426302178874</v>
      </c>
      <c r="AI521" s="22">
        <f>Table2[[#This Row],[(A)]]-Table2[[#This Row],[Spread]]</f>
        <v>-9.1751184834123301</v>
      </c>
      <c r="AJ521" s="1">
        <f>Table2[[#This Row],[(A) Err]]^2</f>
        <v>84.18279918465457</v>
      </c>
      <c r="AK521" s="6">
        <f>Table2[[#This Row],[EV]]-Table2[[#This Row],[Spread]]</f>
        <v>-13.957426302178874</v>
      </c>
      <c r="AL521" s="1">
        <f>Table2[[#This Row],[EV Err]]^2</f>
        <v>194.80974898075462</v>
      </c>
    </row>
    <row r="522" spans="1:38" x14ac:dyDescent="0.25">
      <c r="A522" t="s">
        <v>111</v>
      </c>
      <c r="B522" t="s">
        <v>26</v>
      </c>
      <c r="C522" t="s">
        <v>20</v>
      </c>
      <c r="K522" s="25">
        <f>(Table2[[#This Row],[Home Pace]]/100)*(VLOOKUP(Table2[[#This Row],[Home/Neutral]],home_lookup,8,FALSE)+VLOOKUP(Table2[[#This Row],[Home/Neutral]],OFR_lookup,2,FALSE)+VLOOKUP(Table2[[#This Row],[Visitor/Neutral]],def_diff_lookup,6,FALSE))</f>
        <v>105.4497635891816</v>
      </c>
      <c r="L522" s="25"/>
      <c r="M522" s="25">
        <f>(Table2[[#This Row],[Away Pace]]/100)*(VLOOKUP(Table2[[#This Row],[Visitor/Neutral]],OFR_lookup,2,FALSE)+VLOOKUP(Table2[[#This Row],[Home/Neutral]],def_diff_lookup,6,FALSE))</f>
        <v>98.490756000000019</v>
      </c>
      <c r="N522" s="25"/>
      <c r="O522" s="25"/>
      <c r="P522">
        <f>VLOOKUP(Table2[[#This Row],[Home/Neutral]],pace_lookup,7,FALSE)</f>
        <v>96</v>
      </c>
      <c r="Q522" s="5">
        <f>VLOOKUP(Table2[[#This Row],[Visitor/Neutral]],pace_lookup,7,FALSE)</f>
        <v>90.9</v>
      </c>
      <c r="R522" s="9"/>
      <c r="V522" s="2">
        <f>-home-VLOOKUP(Table2[[#This Row],[Home/Neutral]],rtg_vlookup,4,FALSE)+VLOOKUP(Table2[[#This Row],[Visitor/Neutral]],rtg_vlookup,4,FALSE)</f>
        <v>-0.76511848341233102</v>
      </c>
      <c r="W522" s="25"/>
      <c r="X522" s="2"/>
      <c r="Y522" s="2">
        <f>Table2[[#This Row],[Away EV]]-Table2[[#This Row],[Home EV]]</f>
        <v>-6.9590075891815815</v>
      </c>
      <c r="Z522" s="33"/>
      <c r="AA522" s="34"/>
      <c r="AB522" s="5" t="b">
        <f>IF(VLOOKUP(Table2[[#This Row],[Home/Neutral]],division_lookup,9,FALSE)=VLOOKUP(Table2[[#This Row],[Visitor/Neutral]],division_lookup,9,FALSE),TRUE,FALSE)</f>
        <v>0</v>
      </c>
      <c r="AC522" s="19" t="str">
        <f>VLOOKUP(Table2[[#This Row],[Home/Neutral]],division_lookup,9,FALSE)</f>
        <v>A</v>
      </c>
      <c r="AD522" s="19"/>
      <c r="AE522" s="19" t="str">
        <f>IF(Table2[[#This Row],[Total EV ®]]&lt;Table2[[#This Row],[Total (V)]],"UNDER","OVER")</f>
        <v>OVER</v>
      </c>
      <c r="AF522" s="30">
        <f>Table2[[#This Row],[(A) Spread]]-Table2[[#This Row],[Spread (V)]]</f>
        <v>0</v>
      </c>
      <c r="AG522" s="19"/>
      <c r="AH522" s="2">
        <f>Table2[[#This Row],[EV]]-Table2[[#This Row],[Spread (V)]]</f>
        <v>-6.9590075891815815</v>
      </c>
      <c r="AI522" s="22">
        <f>Table2[[#This Row],[(A)]]-Table2[[#This Row],[Spread]]</f>
        <v>-0.76511848341233102</v>
      </c>
      <c r="AJ522" s="1">
        <f>Table2[[#This Row],[(A) Err]]^2</f>
        <v>0.58540629365918551</v>
      </c>
      <c r="AK522" s="6">
        <f>Table2[[#This Row],[EV]]-Table2[[#This Row],[Spread]]</f>
        <v>-6.9590075891815815</v>
      </c>
      <c r="AL522" s="1">
        <f>Table2[[#This Row],[EV Err]]^2</f>
        <v>48.427786626286846</v>
      </c>
    </row>
    <row r="523" spans="1:38" x14ac:dyDescent="0.25">
      <c r="A523" t="s">
        <v>111</v>
      </c>
      <c r="B523" t="s">
        <v>37</v>
      </c>
      <c r="C523" t="s">
        <v>28</v>
      </c>
      <c r="K523" s="25">
        <f>(Table2[[#This Row],[Home Pace]]/100)*(VLOOKUP(Table2[[#This Row],[Home/Neutral]],home_lookup,8,FALSE)+VLOOKUP(Table2[[#This Row],[Home/Neutral]],OFR_lookup,2,FALSE)+VLOOKUP(Table2[[#This Row],[Visitor/Neutral]],def_diff_lookup,6,FALSE))</f>
        <v>105.12119809362123</v>
      </c>
      <c r="L523" s="25"/>
      <c r="M523" s="25">
        <f>(Table2[[#This Row],[Away Pace]]/100)*(VLOOKUP(Table2[[#This Row],[Visitor/Neutral]],OFR_lookup,2,FALSE)+VLOOKUP(Table2[[#This Row],[Home/Neutral]],def_diff_lookup,6,FALSE))</f>
        <v>100.460802</v>
      </c>
      <c r="N523" s="25"/>
      <c r="O523" s="25"/>
      <c r="P523">
        <f>VLOOKUP(Table2[[#This Row],[Home/Neutral]],pace_lookup,7,FALSE)</f>
        <v>92.1</v>
      </c>
      <c r="Q523" s="5">
        <f>VLOOKUP(Table2[[#This Row],[Visitor/Neutral]],pace_lookup,7,FALSE)</f>
        <v>96.3</v>
      </c>
      <c r="R523" s="9"/>
      <c r="V523" s="2">
        <f>-home-VLOOKUP(Table2[[#This Row],[Home/Neutral]],rtg_vlookup,4,FALSE)+VLOOKUP(Table2[[#This Row],[Visitor/Neutral]],rtg_vlookup,4,FALSE)</f>
        <v>2.8448815165876695</v>
      </c>
      <c r="W523" s="25"/>
      <c r="X523" s="2"/>
      <c r="Y523" s="2">
        <f>Table2[[#This Row],[Away EV]]-Table2[[#This Row],[Home EV]]</f>
        <v>-4.6603960936212303</v>
      </c>
      <c r="Z523" s="33"/>
      <c r="AA523" s="34"/>
      <c r="AB523" s="5" t="b">
        <f>IF(VLOOKUP(Table2[[#This Row],[Home/Neutral]],division_lookup,9,FALSE)=VLOOKUP(Table2[[#This Row],[Visitor/Neutral]],division_lookup,9,FALSE),TRUE,FALSE)</f>
        <v>0</v>
      </c>
      <c r="AC523" s="19" t="str">
        <f>VLOOKUP(Table2[[#This Row],[Home/Neutral]],division_lookup,9,FALSE)</f>
        <v>SW</v>
      </c>
      <c r="AD523" s="19"/>
      <c r="AE523" s="19" t="str">
        <f>IF(Table2[[#This Row],[Total EV ®]]&lt;Table2[[#This Row],[Total (V)]],"UNDER","OVER")</f>
        <v>OVER</v>
      </c>
      <c r="AF523" s="30">
        <f>Table2[[#This Row],[(A) Spread]]-Table2[[#This Row],[Spread (V)]]</f>
        <v>0</v>
      </c>
      <c r="AG523" s="19"/>
      <c r="AH523" s="2">
        <f>Table2[[#This Row],[EV]]-Table2[[#This Row],[Spread (V)]]</f>
        <v>-4.6603960936212303</v>
      </c>
      <c r="AI523" s="22">
        <f>Table2[[#This Row],[(A)]]-Table2[[#This Row],[Spread]]</f>
        <v>2.8448815165876695</v>
      </c>
      <c r="AJ523" s="1">
        <f>Table2[[#This Row],[(A) Err]]^2</f>
        <v>8.0933508434221579</v>
      </c>
      <c r="AK523" s="6">
        <f>Table2[[#This Row],[EV]]-Table2[[#This Row],[Spread]]</f>
        <v>-4.6603960936212303</v>
      </c>
      <c r="AL523" s="1">
        <f>Table2[[#This Row],[EV Err]]^2</f>
        <v>21.719291749440025</v>
      </c>
    </row>
    <row r="524" spans="1:38" x14ac:dyDescent="0.25">
      <c r="A524" t="s">
        <v>111</v>
      </c>
      <c r="B524" t="s">
        <v>27</v>
      </c>
      <c r="C524" t="s">
        <v>29</v>
      </c>
      <c r="K524" s="25">
        <f>(Table2[[#This Row],[Home Pace]]/100)*(VLOOKUP(Table2[[#This Row],[Home/Neutral]],home_lookup,8,FALSE)+VLOOKUP(Table2[[#This Row],[Home/Neutral]],OFR_lookup,2,FALSE)+VLOOKUP(Table2[[#This Row],[Visitor/Neutral]],def_diff_lookup,6,FALSE))</f>
        <v>107.84205642647257</v>
      </c>
      <c r="L524" s="25"/>
      <c r="M524" s="25">
        <f>(Table2[[#This Row],[Away Pace]]/100)*(VLOOKUP(Table2[[#This Row],[Visitor/Neutral]],OFR_lookup,2,FALSE)+VLOOKUP(Table2[[#This Row],[Home/Neutral]],def_diff_lookup,6,FALSE))</f>
        <v>100.30096533333334</v>
      </c>
      <c r="N524" s="25"/>
      <c r="O524" s="25"/>
      <c r="P524">
        <f>VLOOKUP(Table2[[#This Row],[Home/Neutral]],pace_lookup,7,FALSE)</f>
        <v>99</v>
      </c>
      <c r="Q524" s="5">
        <f>VLOOKUP(Table2[[#This Row],[Visitor/Neutral]],pace_lookup,7,FALSE)</f>
        <v>93.8</v>
      </c>
      <c r="R524" s="9"/>
      <c r="V524" s="2">
        <f>-home-VLOOKUP(Table2[[#This Row],[Home/Neutral]],rtg_vlookup,4,FALSE)+VLOOKUP(Table2[[#This Row],[Visitor/Neutral]],rtg_vlookup,4,FALSE)</f>
        <v>-4.4251184834123309</v>
      </c>
      <c r="W524" s="25"/>
      <c r="X524" s="2"/>
      <c r="Y524" s="2">
        <f>Table2[[#This Row],[Away EV]]-Table2[[#This Row],[Home EV]]</f>
        <v>-7.5410910931392294</v>
      </c>
      <c r="Z524" s="33"/>
      <c r="AA524" s="34"/>
      <c r="AB524" s="5" t="b">
        <f>IF(VLOOKUP(Table2[[#This Row],[Home/Neutral]],division_lookup,9,FALSE)=VLOOKUP(Table2[[#This Row],[Visitor/Neutral]],division_lookup,9,FALSE),TRUE,FALSE)</f>
        <v>0</v>
      </c>
      <c r="AC524" s="19" t="str">
        <f>VLOOKUP(Table2[[#This Row],[Home/Neutral]],division_lookup,9,FALSE)</f>
        <v>NW</v>
      </c>
      <c r="AD524" s="19"/>
      <c r="AE524" s="19" t="str">
        <f>IF(Table2[[#This Row],[Total EV ®]]&lt;Table2[[#This Row],[Total (V)]],"UNDER","OVER")</f>
        <v>OVER</v>
      </c>
      <c r="AF524" s="30">
        <f>Table2[[#This Row],[(A) Spread]]-Table2[[#This Row],[Spread (V)]]</f>
        <v>0</v>
      </c>
      <c r="AG524" s="19"/>
      <c r="AH524" s="2">
        <f>Table2[[#This Row],[EV]]-Table2[[#This Row],[Spread (V)]]</f>
        <v>-7.5410910931392294</v>
      </c>
      <c r="AI524" s="22">
        <f>Table2[[#This Row],[(A)]]-Table2[[#This Row],[Spread]]</f>
        <v>-4.4251184834123309</v>
      </c>
      <c r="AJ524" s="1">
        <f>Table2[[#This Row],[(A) Err]]^2</f>
        <v>19.581673592237447</v>
      </c>
      <c r="AK524" s="6">
        <f>Table2[[#This Row],[EV]]-Table2[[#This Row],[Spread]]</f>
        <v>-7.5410910931392294</v>
      </c>
      <c r="AL524" s="1">
        <f>Table2[[#This Row],[EV Err]]^2</f>
        <v>56.868054875023816</v>
      </c>
    </row>
    <row r="525" spans="1:38" x14ac:dyDescent="0.25">
      <c r="A525" t="s">
        <v>111</v>
      </c>
      <c r="B525" t="s">
        <v>25</v>
      </c>
      <c r="C525" t="s">
        <v>33</v>
      </c>
      <c r="K525" s="25">
        <f>(Table2[[#This Row],[Home Pace]]/100)*(VLOOKUP(Table2[[#This Row],[Home/Neutral]],home_lookup,8,FALSE)+VLOOKUP(Table2[[#This Row],[Home/Neutral]],OFR_lookup,2,FALSE)+VLOOKUP(Table2[[#This Row],[Visitor/Neutral]],def_diff_lookup,6,FALSE))</f>
        <v>105.61326444427257</v>
      </c>
      <c r="L525" s="25"/>
      <c r="M525" s="25">
        <f>(Table2[[#This Row],[Away Pace]]/100)*(VLOOKUP(Table2[[#This Row],[Visitor/Neutral]],OFR_lookup,2,FALSE)+VLOOKUP(Table2[[#This Row],[Home/Neutral]],def_diff_lookup,6,FALSE))</f>
        <v>98.063174666666669</v>
      </c>
      <c r="N525" s="25"/>
      <c r="O525" s="25"/>
      <c r="P525">
        <f>VLOOKUP(Table2[[#This Row],[Home/Neutral]],pace_lookup,7,FALSE)</f>
        <v>94.4</v>
      </c>
      <c r="Q525" s="5">
        <f>VLOOKUP(Table2[[#This Row],[Visitor/Neutral]],pace_lookup,7,FALSE)</f>
        <v>98.2</v>
      </c>
      <c r="R525" s="9"/>
      <c r="V525" s="2">
        <f>-home-VLOOKUP(Table2[[#This Row],[Home/Neutral]],rtg_vlookup,4,FALSE)+VLOOKUP(Table2[[#This Row],[Visitor/Neutral]],rtg_vlookup,4,FALSE)</f>
        <v>-7.9551184834123312</v>
      </c>
      <c r="W525" s="25"/>
      <c r="X525" s="2"/>
      <c r="Y525" s="2">
        <f>Table2[[#This Row],[Away EV]]-Table2[[#This Row],[Home EV]]</f>
        <v>-7.5500897776059048</v>
      </c>
      <c r="Z525" s="33"/>
      <c r="AA525" s="34"/>
      <c r="AB525" s="5" t="b">
        <f>IF(VLOOKUP(Table2[[#This Row],[Home/Neutral]],division_lookup,9,FALSE)=VLOOKUP(Table2[[#This Row],[Visitor/Neutral]],division_lookup,9,FALSE),TRUE,FALSE)</f>
        <v>1</v>
      </c>
      <c r="AC525" s="19" t="str">
        <f>VLOOKUP(Table2[[#This Row],[Home/Neutral]],division_lookup,9,FALSE)</f>
        <v>C</v>
      </c>
      <c r="AD525" s="19"/>
      <c r="AE525" s="19" t="str">
        <f>IF(Table2[[#This Row],[Total EV ®]]&lt;Table2[[#This Row],[Total (V)]],"UNDER","OVER")</f>
        <v>OVER</v>
      </c>
      <c r="AF525" s="30">
        <f>Table2[[#This Row],[(A) Spread]]-Table2[[#This Row],[Spread (V)]]</f>
        <v>0</v>
      </c>
      <c r="AG525" s="19"/>
      <c r="AH525" s="2">
        <f>Table2[[#This Row],[EV]]-Table2[[#This Row],[Spread (V)]]</f>
        <v>-7.5500897776059048</v>
      </c>
      <c r="AI525" s="22">
        <f>Table2[[#This Row],[(A)]]-Table2[[#This Row],[Spread]]</f>
        <v>-7.9551184834123312</v>
      </c>
      <c r="AJ525" s="1">
        <f>Table2[[#This Row],[(A) Err]]^2</f>
        <v>63.283910085128511</v>
      </c>
      <c r="AK525" s="6">
        <f>Table2[[#This Row],[EV]]-Table2[[#This Row],[Spread]]</f>
        <v>-7.5500897776059048</v>
      </c>
      <c r="AL525" s="1">
        <f>Table2[[#This Row],[EV Err]]^2</f>
        <v>57.003855649909184</v>
      </c>
    </row>
    <row r="526" spans="1:38" x14ac:dyDescent="0.25">
      <c r="A526" t="s">
        <v>111</v>
      </c>
      <c r="B526" t="s">
        <v>24</v>
      </c>
      <c r="C526" t="s">
        <v>23</v>
      </c>
      <c r="K526" s="25">
        <f>(Table2[[#This Row],[Home Pace]]/100)*(VLOOKUP(Table2[[#This Row],[Home/Neutral]],home_lookup,8,FALSE)+VLOOKUP(Table2[[#This Row],[Home/Neutral]],OFR_lookup,2,FALSE)+VLOOKUP(Table2[[#This Row],[Visitor/Neutral]],def_diff_lookup,6,FALSE))</f>
        <v>104.81088432830941</v>
      </c>
      <c r="L526" s="25"/>
      <c r="M526" s="25">
        <f>(Table2[[#This Row],[Away Pace]]/100)*(VLOOKUP(Table2[[#This Row],[Visitor/Neutral]],OFR_lookup,2,FALSE)+VLOOKUP(Table2[[#This Row],[Home/Neutral]],def_diff_lookup,6,FALSE))</f>
        <v>100.15961666666668</v>
      </c>
      <c r="N526" s="25"/>
      <c r="O526" s="25"/>
      <c r="P526">
        <f>VLOOKUP(Table2[[#This Row],[Home/Neutral]],pace_lookup,7,FALSE)</f>
        <v>99.9</v>
      </c>
      <c r="Q526" s="5">
        <f>VLOOKUP(Table2[[#This Row],[Visitor/Neutral]],pace_lookup,7,FALSE)</f>
        <v>92.5</v>
      </c>
      <c r="R526" s="9"/>
      <c r="V526" s="2">
        <f>-home-VLOOKUP(Table2[[#This Row],[Home/Neutral]],rtg_vlookup,4,FALSE)+VLOOKUP(Table2[[#This Row],[Visitor/Neutral]],rtg_vlookup,4,FALSE)</f>
        <v>-0.58511848341233064</v>
      </c>
      <c r="W526" s="25"/>
      <c r="X526" s="2"/>
      <c r="Y526" s="2">
        <f>Table2[[#This Row],[Away EV]]-Table2[[#This Row],[Home EV]]</f>
        <v>-4.6512676616427342</v>
      </c>
      <c r="Z526" s="33"/>
      <c r="AA526" s="34"/>
      <c r="AB526" s="5" t="b">
        <f>IF(VLOOKUP(Table2[[#This Row],[Home/Neutral]],division_lookup,9,FALSE)=VLOOKUP(Table2[[#This Row],[Visitor/Neutral]],division_lookup,9,FALSE),TRUE,FALSE)</f>
        <v>0</v>
      </c>
      <c r="AC526" s="19" t="str">
        <f>VLOOKUP(Table2[[#This Row],[Home/Neutral]],division_lookup,9,FALSE)</f>
        <v>P</v>
      </c>
      <c r="AD526" s="19"/>
      <c r="AE526" s="19" t="str">
        <f>IF(Table2[[#This Row],[Total EV ®]]&lt;Table2[[#This Row],[Total (V)]],"UNDER","OVER")</f>
        <v>OVER</v>
      </c>
      <c r="AF526" s="30">
        <f>Table2[[#This Row],[(A) Spread]]-Table2[[#This Row],[Spread (V)]]</f>
        <v>0</v>
      </c>
      <c r="AG526" s="19"/>
      <c r="AH526" s="2">
        <f>Table2[[#This Row],[EV]]-Table2[[#This Row],[Spread (V)]]</f>
        <v>-4.6512676616427342</v>
      </c>
      <c r="AI526" s="22">
        <f>Table2[[#This Row],[(A)]]-Table2[[#This Row],[Spread]]</f>
        <v>-0.58511848341233064</v>
      </c>
      <c r="AJ526" s="1">
        <f>Table2[[#This Row],[(A) Err]]^2</f>
        <v>0.34236363963074584</v>
      </c>
      <c r="AK526" s="6">
        <f>Table2[[#This Row],[EV]]-Table2[[#This Row],[Spread]]</f>
        <v>-4.6512676616427342</v>
      </c>
      <c r="AL526" s="1">
        <f>Table2[[#This Row],[EV Err]]^2</f>
        <v>21.634290860243468</v>
      </c>
    </row>
    <row r="527" spans="1:38" x14ac:dyDescent="0.25">
      <c r="A527" t="s">
        <v>111</v>
      </c>
      <c r="B527" t="s">
        <v>39</v>
      </c>
      <c r="C527" t="s">
        <v>22</v>
      </c>
      <c r="K527" s="25">
        <f>(Table2[[#This Row],[Home Pace]]/100)*(VLOOKUP(Table2[[#This Row],[Home/Neutral]],home_lookup,8,FALSE)+VLOOKUP(Table2[[#This Row],[Home/Neutral]],OFR_lookup,2,FALSE)+VLOOKUP(Table2[[#This Row],[Visitor/Neutral]],def_diff_lookup,6,FALSE))</f>
        <v>111.26702211468579</v>
      </c>
      <c r="L527" s="25"/>
      <c r="M527" s="25">
        <f>(Table2[[#This Row],[Away Pace]]/100)*(VLOOKUP(Table2[[#This Row],[Visitor/Neutral]],OFR_lookup,2,FALSE)+VLOOKUP(Table2[[#This Row],[Home/Neutral]],def_diff_lookup,6,FALSE))</f>
        <v>108.20485133333335</v>
      </c>
      <c r="N527" s="25"/>
      <c r="O527" s="25"/>
      <c r="P527">
        <f>VLOOKUP(Table2[[#This Row],[Home/Neutral]],pace_lookup,7,FALSE)</f>
        <v>97.5</v>
      </c>
      <c r="Q527" s="5">
        <f>VLOOKUP(Table2[[#This Row],[Visitor/Neutral]],pace_lookup,7,FALSE)</f>
        <v>94.7</v>
      </c>
      <c r="R527" s="9"/>
      <c r="V527" s="2">
        <f>-home-VLOOKUP(Table2[[#This Row],[Home/Neutral]],rtg_vlookup,4,FALSE)+VLOOKUP(Table2[[#This Row],[Visitor/Neutral]],rtg_vlookup,4,FALSE)</f>
        <v>7.454881516587669</v>
      </c>
      <c r="W527" s="25"/>
      <c r="X527" s="2"/>
      <c r="Y527" s="2">
        <f>Table2[[#This Row],[Away EV]]-Table2[[#This Row],[Home EV]]</f>
        <v>-3.0621707813524353</v>
      </c>
      <c r="Z527" s="33"/>
      <c r="AA527" s="34"/>
      <c r="AB527" s="5" t="b">
        <f>IF(VLOOKUP(Table2[[#This Row],[Home/Neutral]],division_lookup,9,FALSE)=VLOOKUP(Table2[[#This Row],[Visitor/Neutral]],division_lookup,9,FALSE),TRUE,FALSE)</f>
        <v>0</v>
      </c>
      <c r="AC527" s="19" t="str">
        <f>VLOOKUP(Table2[[#This Row],[Home/Neutral]],division_lookup,9,FALSE)</f>
        <v>A</v>
      </c>
      <c r="AD527" s="19"/>
      <c r="AE527" s="19" t="str">
        <f>IF(Table2[[#This Row],[Total EV ®]]&lt;Table2[[#This Row],[Total (V)]],"UNDER","OVER")</f>
        <v>OVER</v>
      </c>
      <c r="AF527" s="30">
        <f>Table2[[#This Row],[(A) Spread]]-Table2[[#This Row],[Spread (V)]]</f>
        <v>0</v>
      </c>
      <c r="AG527" s="19"/>
      <c r="AH527" s="2">
        <f>Table2[[#This Row],[EV]]-Table2[[#This Row],[Spread (V)]]</f>
        <v>-3.0621707813524353</v>
      </c>
      <c r="AI527" s="22">
        <f>Table2[[#This Row],[(A)]]-Table2[[#This Row],[Spread]]</f>
        <v>7.454881516587669</v>
      </c>
      <c r="AJ527" s="1">
        <f>Table2[[#This Row],[(A) Err]]^2</f>
        <v>55.575258426360463</v>
      </c>
      <c r="AK527" s="6">
        <f>Table2[[#This Row],[EV]]-Table2[[#This Row],[Spread]]</f>
        <v>-3.0621707813524353</v>
      </c>
      <c r="AL527" s="1">
        <f>Table2[[#This Row],[EV Err]]^2</f>
        <v>9.376889894168583</v>
      </c>
    </row>
    <row r="528" spans="1:38" x14ac:dyDescent="0.25">
      <c r="A528" t="s">
        <v>111</v>
      </c>
      <c r="B528" t="s">
        <v>36</v>
      </c>
      <c r="C528" t="s">
        <v>21</v>
      </c>
      <c r="K528" s="25">
        <f>(Table2[[#This Row],[Home Pace]]/100)*(VLOOKUP(Table2[[#This Row],[Home/Neutral]],home_lookup,8,FALSE)+VLOOKUP(Table2[[#This Row],[Home/Neutral]],OFR_lookup,2,FALSE)+VLOOKUP(Table2[[#This Row],[Visitor/Neutral]],def_diff_lookup,6,FALSE))</f>
        <v>103.62945156604043</v>
      </c>
      <c r="L528" s="25"/>
      <c r="M528" s="25">
        <f>(Table2[[#This Row],[Away Pace]]/100)*(VLOOKUP(Table2[[#This Row],[Visitor/Neutral]],OFR_lookup,2,FALSE)+VLOOKUP(Table2[[#This Row],[Home/Neutral]],def_diff_lookup,6,FALSE))</f>
        <v>99.202648000000011</v>
      </c>
      <c r="N528" s="25"/>
      <c r="O528" s="25"/>
      <c r="P528">
        <f>VLOOKUP(Table2[[#This Row],[Home/Neutral]],pace_lookup,7,FALSE)</f>
        <v>102.2</v>
      </c>
      <c r="Q528" s="5">
        <f>VLOOKUP(Table2[[#This Row],[Visitor/Neutral]],pace_lookup,7,FALSE)</f>
        <v>94.2</v>
      </c>
      <c r="R528" s="9"/>
      <c r="V528" s="2">
        <f>-home-VLOOKUP(Table2[[#This Row],[Home/Neutral]],rtg_vlookup,4,FALSE)+VLOOKUP(Table2[[#This Row],[Visitor/Neutral]],rtg_vlookup,4,FALSE)</f>
        <v>3.3848815165876696</v>
      </c>
      <c r="W528" s="25"/>
      <c r="X528" s="2"/>
      <c r="Y528" s="2">
        <f>Table2[[#This Row],[Away EV]]-Table2[[#This Row],[Home EV]]</f>
        <v>-4.4268035660404195</v>
      </c>
      <c r="Z528" s="33"/>
      <c r="AA528" s="34"/>
      <c r="AB528" s="5" t="b">
        <f>IF(VLOOKUP(Table2[[#This Row],[Home/Neutral]],division_lookup,9,FALSE)=VLOOKUP(Table2[[#This Row],[Visitor/Neutral]],division_lookup,9,FALSE),TRUE,FALSE)</f>
        <v>0</v>
      </c>
      <c r="AC528" s="19" t="str">
        <f>VLOOKUP(Table2[[#This Row],[Home/Neutral]],division_lookup,9,FALSE)</f>
        <v>P</v>
      </c>
      <c r="AD528" s="19"/>
      <c r="AE528" s="19" t="str">
        <f>IF(Table2[[#This Row],[Total EV ®]]&lt;Table2[[#This Row],[Total (V)]],"UNDER","OVER")</f>
        <v>OVER</v>
      </c>
      <c r="AF528" s="30">
        <f>Table2[[#This Row],[(A) Spread]]-Table2[[#This Row],[Spread (V)]]</f>
        <v>0</v>
      </c>
      <c r="AG528" s="19"/>
      <c r="AH528" s="2">
        <f>Table2[[#This Row],[EV]]-Table2[[#This Row],[Spread (V)]]</f>
        <v>-4.4268035660404195</v>
      </c>
      <c r="AI528" s="22">
        <f>Table2[[#This Row],[(A)]]-Table2[[#This Row],[Spread]]</f>
        <v>3.3848815165876696</v>
      </c>
      <c r="AJ528" s="1">
        <f>Table2[[#This Row],[(A) Err]]^2</f>
        <v>11.457422881336841</v>
      </c>
      <c r="AK528" s="6">
        <f>Table2[[#This Row],[EV]]-Table2[[#This Row],[Spread]]</f>
        <v>-4.4268035660404195</v>
      </c>
      <c r="AL528" s="1">
        <f>Table2[[#This Row],[EV Err]]^2</f>
        <v>19.596589812308174</v>
      </c>
    </row>
    <row r="529" spans="1:38" x14ac:dyDescent="0.25">
      <c r="A529" t="s">
        <v>111</v>
      </c>
      <c r="B529" t="s">
        <v>6</v>
      </c>
      <c r="C529" t="s">
        <v>14</v>
      </c>
      <c r="K529" s="25">
        <f>(Table2[[#This Row],[Home Pace]]/100)*(VLOOKUP(Table2[[#This Row],[Home/Neutral]],home_lookup,8,FALSE)+VLOOKUP(Table2[[#This Row],[Home/Neutral]],OFR_lookup,2,FALSE)+VLOOKUP(Table2[[#This Row],[Visitor/Neutral]],def_diff_lookup,6,FALSE))</f>
        <v>104.79115787062244</v>
      </c>
      <c r="L529" s="25"/>
      <c r="M529" s="25">
        <f>(Table2[[#This Row],[Away Pace]]/100)*(VLOOKUP(Table2[[#This Row],[Visitor/Neutral]],OFR_lookup,2,FALSE)+VLOOKUP(Table2[[#This Row],[Home/Neutral]],def_diff_lookup,6,FALSE))</f>
        <v>106.33455933333336</v>
      </c>
      <c r="N529" s="25"/>
      <c r="O529" s="25"/>
      <c r="P529">
        <f>VLOOKUP(Table2[[#This Row],[Home/Neutral]],pace_lookup,7,FALSE)</f>
        <v>93.1</v>
      </c>
      <c r="Q529" s="5">
        <f>VLOOKUP(Table2[[#This Row],[Visitor/Neutral]],pace_lookup,7,FALSE)</f>
        <v>95.9</v>
      </c>
      <c r="R529" s="9"/>
      <c r="V529" s="2">
        <f>-home-VLOOKUP(Table2[[#This Row],[Home/Neutral]],rtg_vlookup,4,FALSE)+VLOOKUP(Table2[[#This Row],[Visitor/Neutral]],rtg_vlookup,4,FALSE)</f>
        <v>-4.755118483412331</v>
      </c>
      <c r="W529" s="25"/>
      <c r="X529" s="2"/>
      <c r="Y529" s="2">
        <f>Table2[[#This Row],[Away EV]]-Table2[[#This Row],[Home EV]]</f>
        <v>1.5434014627109178</v>
      </c>
      <c r="Z529" s="33"/>
      <c r="AA529" s="34"/>
      <c r="AB529" s="5" t="b">
        <f>IF(VLOOKUP(Table2[[#This Row],[Home/Neutral]],division_lookup,9,FALSE)=VLOOKUP(Table2[[#This Row],[Visitor/Neutral]],division_lookup,9,FALSE),TRUE,FALSE)</f>
        <v>0</v>
      </c>
      <c r="AC529" s="19" t="str">
        <f>VLOOKUP(Table2[[#This Row],[Home/Neutral]],division_lookup,9,FALSE)</f>
        <v>SW</v>
      </c>
      <c r="AD529" s="19"/>
      <c r="AE529" s="19" t="str">
        <f>IF(Table2[[#This Row],[Total EV ®]]&lt;Table2[[#This Row],[Total (V)]],"UNDER","OVER")</f>
        <v>OVER</v>
      </c>
      <c r="AF529" s="30">
        <f>Table2[[#This Row],[(A) Spread]]-Table2[[#This Row],[Spread (V)]]</f>
        <v>0</v>
      </c>
      <c r="AG529" s="19"/>
      <c r="AH529" s="2">
        <f>Table2[[#This Row],[EV]]-Table2[[#This Row],[Spread (V)]]</f>
        <v>1.5434014627109178</v>
      </c>
      <c r="AI529" s="22">
        <f>Table2[[#This Row],[(A)]]-Table2[[#This Row],[Spread]]</f>
        <v>-4.755118483412331</v>
      </c>
      <c r="AJ529" s="1">
        <f>Table2[[#This Row],[(A) Err]]^2</f>
        <v>22.611151791289586</v>
      </c>
      <c r="AK529" s="6">
        <f>Table2[[#This Row],[EV]]-Table2[[#This Row],[Spread]]</f>
        <v>1.5434014627109178</v>
      </c>
      <c r="AL529" s="1">
        <f>Table2[[#This Row],[EV Err]]^2</f>
        <v>2.3820880750982005</v>
      </c>
    </row>
    <row r="530" spans="1:38" x14ac:dyDescent="0.25">
      <c r="A530" t="s">
        <v>112</v>
      </c>
      <c r="B530" t="s">
        <v>16</v>
      </c>
      <c r="C530" t="s">
        <v>18</v>
      </c>
      <c r="K530" s="25">
        <f>(Table2[[#This Row],[Home Pace]]/100)*(VLOOKUP(Table2[[#This Row],[Home/Neutral]],home_lookup,8,FALSE)+VLOOKUP(Table2[[#This Row],[Home/Neutral]],OFR_lookup,2,FALSE)+VLOOKUP(Table2[[#This Row],[Visitor/Neutral]],def_diff_lookup,6,FALSE))</f>
        <v>99.63860601115951</v>
      </c>
      <c r="L530" s="25"/>
      <c r="M530" s="25">
        <f>(Table2[[#This Row],[Away Pace]]/100)*(VLOOKUP(Table2[[#This Row],[Visitor/Neutral]],OFR_lookup,2,FALSE)+VLOOKUP(Table2[[#This Row],[Home/Neutral]],def_diff_lookup,6,FALSE))</f>
        <v>102.17721333333336</v>
      </c>
      <c r="N530" s="25"/>
      <c r="O530" s="25"/>
      <c r="P530">
        <f>VLOOKUP(Table2[[#This Row],[Home/Neutral]],pace_lookup,7,FALSE)</f>
        <v>97.5</v>
      </c>
      <c r="Q530" s="5">
        <f>VLOOKUP(Table2[[#This Row],[Visitor/Neutral]],pace_lookup,7,FALSE)</f>
        <v>99.5</v>
      </c>
      <c r="R530" s="9"/>
      <c r="V530" s="2">
        <f>-home-VLOOKUP(Table2[[#This Row],[Home/Neutral]],rtg_vlookup,4,FALSE)+VLOOKUP(Table2[[#This Row],[Visitor/Neutral]],rtg_vlookup,4,FALSE)</f>
        <v>-3.0151184834123308</v>
      </c>
      <c r="W530" s="25"/>
      <c r="X530" s="2"/>
      <c r="Y530" s="2">
        <f>Table2[[#This Row],[Away EV]]-Table2[[#This Row],[Home EV]]</f>
        <v>2.5386073221738457</v>
      </c>
      <c r="Z530" s="33"/>
      <c r="AA530" s="34"/>
      <c r="AB530" s="5" t="b">
        <f>IF(VLOOKUP(Table2[[#This Row],[Home/Neutral]],division_lookup,9,FALSE)=VLOOKUP(Table2[[#This Row],[Visitor/Neutral]],division_lookup,9,FALSE),TRUE,FALSE)</f>
        <v>0</v>
      </c>
      <c r="AC530" s="19" t="str">
        <f>VLOOKUP(Table2[[#This Row],[Home/Neutral]],division_lookup,9,FALSE)</f>
        <v>SE</v>
      </c>
      <c r="AD530" s="19"/>
      <c r="AE530" s="19" t="str">
        <f>IF(Table2[[#This Row],[Total EV ®]]&lt;Table2[[#This Row],[Total (V)]],"UNDER","OVER")</f>
        <v>OVER</v>
      </c>
      <c r="AF530" s="30">
        <f>Table2[[#This Row],[(A) Spread]]-Table2[[#This Row],[Spread (V)]]</f>
        <v>0</v>
      </c>
      <c r="AG530" s="19"/>
      <c r="AH530" s="2">
        <f>Table2[[#This Row],[EV]]-Table2[[#This Row],[Spread (V)]]</f>
        <v>2.5386073221738457</v>
      </c>
      <c r="AI530" s="22">
        <f>Table2[[#This Row],[(A)]]-Table2[[#This Row],[Spread]]</f>
        <v>-3.0151184834123308</v>
      </c>
      <c r="AJ530" s="1">
        <f>Table2[[#This Row],[(A) Err]]^2</f>
        <v>9.090939469014673</v>
      </c>
      <c r="AK530" s="6">
        <f>Table2[[#This Row],[EV]]-Table2[[#This Row],[Spread]]</f>
        <v>2.5386073221738457</v>
      </c>
      <c r="AL530" s="1">
        <f>Table2[[#This Row],[EV Err]]^2</f>
        <v>6.4445271361946634</v>
      </c>
    </row>
    <row r="531" spans="1:38" x14ac:dyDescent="0.25">
      <c r="A531" t="s">
        <v>112</v>
      </c>
      <c r="B531" t="s">
        <v>8</v>
      </c>
      <c r="C531" t="s">
        <v>13</v>
      </c>
      <c r="K531" s="25">
        <f>(Table2[[#This Row],[Home Pace]]/100)*(VLOOKUP(Table2[[#This Row],[Home/Neutral]],home_lookup,8,FALSE)+VLOOKUP(Table2[[#This Row],[Home/Neutral]],OFR_lookup,2,FALSE)+VLOOKUP(Table2[[#This Row],[Visitor/Neutral]],def_diff_lookup,6,FALSE))</f>
        <v>104.11602036898181</v>
      </c>
      <c r="L531" s="25"/>
      <c r="M531" s="25">
        <f>(Table2[[#This Row],[Away Pace]]/100)*(VLOOKUP(Table2[[#This Row],[Visitor/Neutral]],OFR_lookup,2,FALSE)+VLOOKUP(Table2[[#This Row],[Home/Neutral]],def_diff_lookup,6,FALSE))</f>
        <v>103.27968000000001</v>
      </c>
      <c r="N531" s="25"/>
      <c r="O531" s="25"/>
      <c r="P531">
        <f>VLOOKUP(Table2[[#This Row],[Home/Neutral]],pace_lookup,7,FALSE)</f>
        <v>97.2</v>
      </c>
      <c r="Q531" s="5">
        <f>VLOOKUP(Table2[[#This Row],[Visitor/Neutral]],pace_lookup,7,FALSE)</f>
        <v>94.5</v>
      </c>
      <c r="R531" s="9"/>
      <c r="V531" s="2">
        <f>-home-VLOOKUP(Table2[[#This Row],[Home/Neutral]],rtg_vlookup,4,FALSE)+VLOOKUP(Table2[[#This Row],[Visitor/Neutral]],rtg_vlookup,4,FALSE)</f>
        <v>-3.9451184834123305</v>
      </c>
      <c r="W531" s="25"/>
      <c r="X531" s="2"/>
      <c r="Y531" s="2">
        <f>Table2[[#This Row],[Away EV]]-Table2[[#This Row],[Home EV]]</f>
        <v>-0.83634036898179431</v>
      </c>
      <c r="Z531" s="33"/>
      <c r="AA531" s="34"/>
      <c r="AB531" s="5" t="b">
        <f>IF(VLOOKUP(Table2[[#This Row],[Home/Neutral]],division_lookup,9,FALSE)=VLOOKUP(Table2[[#This Row],[Visitor/Neutral]],division_lookup,9,FALSE),TRUE,FALSE)</f>
        <v>1</v>
      </c>
      <c r="AC531" s="19" t="str">
        <f>VLOOKUP(Table2[[#This Row],[Home/Neutral]],division_lookup,9,FALSE)</f>
        <v>C</v>
      </c>
      <c r="AD531" s="19"/>
      <c r="AE531" s="19" t="str">
        <f>IF(Table2[[#This Row],[Total EV ®]]&lt;Table2[[#This Row],[Total (V)]],"UNDER","OVER")</f>
        <v>OVER</v>
      </c>
      <c r="AF531" s="30">
        <f>Table2[[#This Row],[(A) Spread]]-Table2[[#This Row],[Spread (V)]]</f>
        <v>0</v>
      </c>
      <c r="AG531" s="19"/>
      <c r="AH531" s="2">
        <f>Table2[[#This Row],[EV]]-Table2[[#This Row],[Spread (V)]]</f>
        <v>-0.83634036898179431</v>
      </c>
      <c r="AI531" s="22">
        <f>Table2[[#This Row],[(A)]]-Table2[[#This Row],[Spread]]</f>
        <v>-3.9451184834123305</v>
      </c>
      <c r="AJ531" s="1">
        <f>Table2[[#This Row],[(A) Err]]^2</f>
        <v>15.563959848161607</v>
      </c>
      <c r="AK531" s="6">
        <f>Table2[[#This Row],[EV]]-Table2[[#This Row],[Spread]]</f>
        <v>-0.83634036898179431</v>
      </c>
      <c r="AL531" s="1">
        <f>Table2[[#This Row],[EV Err]]^2</f>
        <v>0.69946521278860385</v>
      </c>
    </row>
    <row r="532" spans="1:38" x14ac:dyDescent="0.25">
      <c r="A532" t="s">
        <v>112</v>
      </c>
      <c r="B532" t="s">
        <v>10</v>
      </c>
      <c r="C532" t="s">
        <v>32</v>
      </c>
      <c r="K532" s="25">
        <f>(Table2[[#This Row],[Home Pace]]/100)*(VLOOKUP(Table2[[#This Row],[Home/Neutral]],home_lookup,8,FALSE)+VLOOKUP(Table2[[#This Row],[Home/Neutral]],OFR_lookup,2,FALSE)+VLOOKUP(Table2[[#This Row],[Visitor/Neutral]],def_diff_lookup,6,FALSE))</f>
        <v>112.27151853790561</v>
      </c>
      <c r="L532" s="25"/>
      <c r="M532" s="25">
        <f>(Table2[[#This Row],[Away Pace]]/100)*(VLOOKUP(Table2[[#This Row],[Visitor/Neutral]],OFR_lookup,2,FALSE)+VLOOKUP(Table2[[#This Row],[Home/Neutral]],def_diff_lookup,6,FALSE))</f>
        <v>108.50995733333333</v>
      </c>
      <c r="N532" s="25"/>
      <c r="O532" s="25"/>
      <c r="P532">
        <f>VLOOKUP(Table2[[#This Row],[Home/Neutral]],pace_lookup,7,FALSE)</f>
        <v>100.3</v>
      </c>
      <c r="Q532" s="5">
        <f>VLOOKUP(Table2[[#This Row],[Visitor/Neutral]],pace_lookup,7,FALSE)</f>
        <v>98.6</v>
      </c>
      <c r="R532" s="9"/>
      <c r="V532" s="2">
        <f>-home-VLOOKUP(Table2[[#This Row],[Home/Neutral]],rtg_vlookup,4,FALSE)+VLOOKUP(Table2[[#This Row],[Visitor/Neutral]],rtg_vlookup,4,FALSE)</f>
        <v>-14.08511848341233</v>
      </c>
      <c r="W532" s="25"/>
      <c r="X532" s="2"/>
      <c r="Y532" s="2">
        <f>Table2[[#This Row],[Away EV]]-Table2[[#This Row],[Home EV]]</f>
        <v>-3.7615612045722742</v>
      </c>
      <c r="Z532" s="33"/>
      <c r="AA532" s="34"/>
      <c r="AB532" s="5" t="b">
        <f>IF(VLOOKUP(Table2[[#This Row],[Home/Neutral]],division_lookup,9,FALSE)=VLOOKUP(Table2[[#This Row],[Visitor/Neutral]],division_lookup,9,FALSE),TRUE,FALSE)</f>
        <v>0</v>
      </c>
      <c r="AC532" s="19" t="str">
        <f>VLOOKUP(Table2[[#This Row],[Home/Neutral]],division_lookup,9,FALSE)</f>
        <v>P</v>
      </c>
      <c r="AD532" s="19"/>
      <c r="AE532" s="19" t="str">
        <f>IF(Table2[[#This Row],[Total EV ®]]&lt;Table2[[#This Row],[Total (V)]],"UNDER","OVER")</f>
        <v>OVER</v>
      </c>
      <c r="AF532" s="30">
        <f>Table2[[#This Row],[(A) Spread]]-Table2[[#This Row],[Spread (V)]]</f>
        <v>0</v>
      </c>
      <c r="AG532" s="19"/>
      <c r="AH532" s="2">
        <f>Table2[[#This Row],[EV]]-Table2[[#This Row],[Spread (V)]]</f>
        <v>-3.7615612045722742</v>
      </c>
      <c r="AI532" s="22">
        <f>Table2[[#This Row],[(A)]]-Table2[[#This Row],[Spread]]</f>
        <v>-14.08511848341233</v>
      </c>
      <c r="AJ532" s="1">
        <f>Table2[[#This Row],[(A) Err]]^2</f>
        <v>198.39056269176365</v>
      </c>
      <c r="AK532" s="6">
        <f>Table2[[#This Row],[EV]]-Table2[[#This Row],[Spread]]</f>
        <v>-3.7615612045722742</v>
      </c>
      <c r="AL532" s="1">
        <f>Table2[[#This Row],[EV Err]]^2</f>
        <v>14.149342695743218</v>
      </c>
    </row>
    <row r="533" spans="1:38" x14ac:dyDescent="0.25">
      <c r="A533" t="s">
        <v>112</v>
      </c>
      <c r="B533" t="s">
        <v>4</v>
      </c>
      <c r="C533" t="s">
        <v>23</v>
      </c>
      <c r="K533" s="25">
        <f>(Table2[[#This Row],[Home Pace]]/100)*(VLOOKUP(Table2[[#This Row],[Home/Neutral]],home_lookup,8,FALSE)+VLOOKUP(Table2[[#This Row],[Home/Neutral]],OFR_lookup,2,FALSE)+VLOOKUP(Table2[[#This Row],[Visitor/Neutral]],def_diff_lookup,6,FALSE))</f>
        <v>98.079667813934449</v>
      </c>
      <c r="L533" s="25"/>
      <c r="M533" s="25">
        <f>(Table2[[#This Row],[Away Pace]]/100)*(VLOOKUP(Table2[[#This Row],[Visitor/Neutral]],OFR_lookup,2,FALSE)+VLOOKUP(Table2[[#This Row],[Home/Neutral]],def_diff_lookup,6,FALSE))</f>
        <v>90.863366666666678</v>
      </c>
      <c r="N533" s="25"/>
      <c r="O533" s="25"/>
      <c r="P533">
        <f>VLOOKUP(Table2[[#This Row],[Home/Neutral]],pace_lookup,7,FALSE)</f>
        <v>96.6</v>
      </c>
      <c r="Q533" s="5">
        <f>VLOOKUP(Table2[[#This Row],[Visitor/Neutral]],pace_lookup,7,FALSE)</f>
        <v>92.5</v>
      </c>
      <c r="R533" s="9"/>
      <c r="V533" s="2">
        <f>-home-VLOOKUP(Table2[[#This Row],[Home/Neutral]],rtg_vlookup,4,FALSE)+VLOOKUP(Table2[[#This Row],[Visitor/Neutral]],rtg_vlookup,4,FALSE)</f>
        <v>-14.965118483412331</v>
      </c>
      <c r="W533" s="25"/>
      <c r="X533" s="2"/>
      <c r="Y533" s="2">
        <f>Table2[[#This Row],[Away EV]]-Table2[[#This Row],[Home EV]]</f>
        <v>-7.2163011472677709</v>
      </c>
      <c r="Z533" s="33"/>
      <c r="AA533" s="34"/>
      <c r="AB533" s="5" t="b">
        <f>IF(VLOOKUP(Table2[[#This Row],[Home/Neutral]],division_lookup,9,FALSE)=VLOOKUP(Table2[[#This Row],[Visitor/Neutral]],division_lookup,9,FALSE),TRUE,FALSE)</f>
        <v>0</v>
      </c>
      <c r="AC533" s="19" t="str">
        <f>VLOOKUP(Table2[[#This Row],[Home/Neutral]],division_lookup,9,FALSE)</f>
        <v>P</v>
      </c>
      <c r="AD533" s="19"/>
      <c r="AE533" s="19" t="str">
        <f>IF(Table2[[#This Row],[Total EV ®]]&lt;Table2[[#This Row],[Total (V)]],"UNDER","OVER")</f>
        <v>OVER</v>
      </c>
      <c r="AF533" s="30">
        <f>Table2[[#This Row],[(A) Spread]]-Table2[[#This Row],[Spread (V)]]</f>
        <v>0</v>
      </c>
      <c r="AG533" s="19"/>
      <c r="AH533" s="2">
        <f>Table2[[#This Row],[EV]]-Table2[[#This Row],[Spread (V)]]</f>
        <v>-7.2163011472677709</v>
      </c>
      <c r="AI533" s="22">
        <f>Table2[[#This Row],[(A)]]-Table2[[#This Row],[Spread]]</f>
        <v>-14.965118483412331</v>
      </c>
      <c r="AJ533" s="1">
        <f>Table2[[#This Row],[(A) Err]]^2</f>
        <v>223.95477122256938</v>
      </c>
      <c r="AK533" s="6">
        <f>Table2[[#This Row],[EV]]-Table2[[#This Row],[Spread]]</f>
        <v>-7.2163011472677709</v>
      </c>
      <c r="AL533" s="1">
        <f>Table2[[#This Row],[EV Err]]^2</f>
        <v>52.075002248058148</v>
      </c>
    </row>
    <row r="534" spans="1:38" x14ac:dyDescent="0.25">
      <c r="A534" t="s">
        <v>112</v>
      </c>
      <c r="B534" t="s">
        <v>31</v>
      </c>
      <c r="C534" t="s">
        <v>30</v>
      </c>
      <c r="K534" s="25">
        <f>(Table2[[#This Row],[Home Pace]]/100)*(VLOOKUP(Table2[[#This Row],[Home/Neutral]],home_lookup,8,FALSE)+VLOOKUP(Table2[[#This Row],[Home/Neutral]],OFR_lookup,2,FALSE)+VLOOKUP(Table2[[#This Row],[Visitor/Neutral]],def_diff_lookup,6,FALSE))</f>
        <v>112.20457430217891</v>
      </c>
      <c r="L534" s="25"/>
      <c r="M534" s="25">
        <f>(Table2[[#This Row],[Away Pace]]/100)*(VLOOKUP(Table2[[#This Row],[Visitor/Neutral]],OFR_lookup,2,FALSE)+VLOOKUP(Table2[[#This Row],[Home/Neutral]],def_diff_lookup,6,FALSE))</f>
        <v>106.91624533333334</v>
      </c>
      <c r="N534" s="25"/>
      <c r="O534" s="25"/>
      <c r="P534">
        <f>VLOOKUP(Table2[[#This Row],[Home/Neutral]],pace_lookup,7,FALSE)</f>
        <v>96</v>
      </c>
      <c r="Q534" s="5">
        <f>VLOOKUP(Table2[[#This Row],[Visitor/Neutral]],pace_lookup,7,FALSE)</f>
        <v>96.8</v>
      </c>
      <c r="R534" s="9"/>
      <c r="V534" s="2">
        <f>-home-VLOOKUP(Table2[[#This Row],[Home/Neutral]],rtg_vlookup,4,FALSE)+VLOOKUP(Table2[[#This Row],[Visitor/Neutral]],rtg_vlookup,4,FALSE)</f>
        <v>-2.9951184834123303</v>
      </c>
      <c r="W534" s="25"/>
      <c r="X534" s="2"/>
      <c r="Y534" s="2">
        <f>Table2[[#This Row],[Away EV]]-Table2[[#This Row],[Home EV]]</f>
        <v>-5.2883289688455761</v>
      </c>
      <c r="Z534" s="33"/>
      <c r="AA534" s="34"/>
      <c r="AB534" s="5" t="b">
        <f>IF(VLOOKUP(Table2[[#This Row],[Home/Neutral]],division_lookup,9,FALSE)=VLOOKUP(Table2[[#This Row],[Visitor/Neutral]],division_lookup,9,FALSE),TRUE,FALSE)</f>
        <v>0</v>
      </c>
      <c r="AC534" s="19" t="str">
        <f>VLOOKUP(Table2[[#This Row],[Home/Neutral]],division_lookup,9,FALSE)</f>
        <v>A</v>
      </c>
      <c r="AD534" s="19"/>
      <c r="AE534" s="19" t="str">
        <f>IF(Table2[[#This Row],[Total EV ®]]&lt;Table2[[#This Row],[Total (V)]],"UNDER","OVER")</f>
        <v>OVER</v>
      </c>
      <c r="AF534" s="30">
        <f>Table2[[#This Row],[(A) Spread]]-Table2[[#This Row],[Spread (V)]]</f>
        <v>0</v>
      </c>
      <c r="AG534" s="19"/>
      <c r="AH534" s="2">
        <f>Table2[[#This Row],[EV]]-Table2[[#This Row],[Spread (V)]]</f>
        <v>-5.2883289688455761</v>
      </c>
      <c r="AI534" s="22">
        <f>Table2[[#This Row],[(A)]]-Table2[[#This Row],[Spread]]</f>
        <v>-2.9951184834123303</v>
      </c>
      <c r="AJ534" s="1">
        <f>Table2[[#This Row],[(A) Err]]^2</f>
        <v>8.9707347296781776</v>
      </c>
      <c r="AK534" s="6">
        <f>Table2[[#This Row],[EV]]-Table2[[#This Row],[Spread]]</f>
        <v>-5.2883289688455761</v>
      </c>
      <c r="AL534" s="1">
        <f>Table2[[#This Row],[EV Err]]^2</f>
        <v>27.966423282731313</v>
      </c>
    </row>
    <row r="535" spans="1:38" x14ac:dyDescent="0.25">
      <c r="A535" t="s">
        <v>112</v>
      </c>
      <c r="B535" t="s">
        <v>38</v>
      </c>
      <c r="C535" t="s">
        <v>11</v>
      </c>
      <c r="K535" s="25">
        <f>(Table2[[#This Row],[Home Pace]]/100)*(VLOOKUP(Table2[[#This Row],[Home/Neutral]],home_lookup,8,FALSE)+VLOOKUP(Table2[[#This Row],[Home/Neutral]],OFR_lookup,2,FALSE)+VLOOKUP(Table2[[#This Row],[Visitor/Neutral]],def_diff_lookup,6,FALSE))</f>
        <v>98.649031678914795</v>
      </c>
      <c r="L535" s="25"/>
      <c r="M535" s="25">
        <f>(Table2[[#This Row],[Away Pace]]/100)*(VLOOKUP(Table2[[#This Row],[Visitor/Neutral]],OFR_lookup,2,FALSE)+VLOOKUP(Table2[[#This Row],[Home/Neutral]],def_diff_lookup,6,FALSE))</f>
        <v>105.62284466666667</v>
      </c>
      <c r="N535" s="25"/>
      <c r="O535" s="25"/>
      <c r="P535">
        <f>VLOOKUP(Table2[[#This Row],[Home/Neutral]],pace_lookup,7,FALSE)</f>
        <v>94.2</v>
      </c>
      <c r="Q535" s="5">
        <f>VLOOKUP(Table2[[#This Row],[Visitor/Neutral]],pace_lookup,7,FALSE)</f>
        <v>99.7</v>
      </c>
      <c r="R535" s="9"/>
      <c r="V535" s="2">
        <f>-home-VLOOKUP(Table2[[#This Row],[Home/Neutral]],rtg_vlookup,4,FALSE)+VLOOKUP(Table2[[#This Row],[Visitor/Neutral]],rtg_vlookup,4,FALSE)</f>
        <v>12.284881516587669</v>
      </c>
      <c r="W535" s="25"/>
      <c r="X535" s="2"/>
      <c r="Y535" s="2">
        <f>Table2[[#This Row],[Away EV]]-Table2[[#This Row],[Home EV]]</f>
        <v>6.9738129877518702</v>
      </c>
      <c r="Z535" s="33"/>
      <c r="AA535" s="34"/>
      <c r="AB535" s="5" t="b">
        <f>IF(VLOOKUP(Table2[[#This Row],[Home/Neutral]],division_lookup,9,FALSE)=VLOOKUP(Table2[[#This Row],[Visitor/Neutral]],division_lookup,9,FALSE),TRUE,FALSE)</f>
        <v>1</v>
      </c>
      <c r="AC535" s="19" t="str">
        <f>VLOOKUP(Table2[[#This Row],[Home/Neutral]],division_lookup,9,FALSE)</f>
        <v>SE</v>
      </c>
      <c r="AD535" s="19"/>
      <c r="AE535" s="19" t="str">
        <f>IF(Table2[[#This Row],[Total EV ®]]&lt;Table2[[#This Row],[Total (V)]],"UNDER","OVER")</f>
        <v>OVER</v>
      </c>
      <c r="AF535" s="30">
        <f>Table2[[#This Row],[(A) Spread]]-Table2[[#This Row],[Spread (V)]]</f>
        <v>0</v>
      </c>
      <c r="AG535" s="19"/>
      <c r="AH535" s="2">
        <f>Table2[[#This Row],[EV]]-Table2[[#This Row],[Spread (V)]]</f>
        <v>6.9738129877518702</v>
      </c>
      <c r="AI535" s="22">
        <f>Table2[[#This Row],[(A)]]-Table2[[#This Row],[Spread]]</f>
        <v>12.284881516587669</v>
      </c>
      <c r="AJ535" s="1">
        <f>Table2[[#This Row],[(A) Err]]^2</f>
        <v>150.91831387659735</v>
      </c>
      <c r="AK535" s="6">
        <f>Table2[[#This Row],[EV]]-Table2[[#This Row],[Spread]]</f>
        <v>6.9738129877518702</v>
      </c>
      <c r="AL535" s="1">
        <f>Table2[[#This Row],[EV Err]]^2</f>
        <v>48.634067588136666</v>
      </c>
    </row>
    <row r="536" spans="1:38" x14ac:dyDescent="0.25">
      <c r="A536" t="s">
        <v>112</v>
      </c>
      <c r="B536" t="s">
        <v>29</v>
      </c>
      <c r="C536" t="s">
        <v>21</v>
      </c>
      <c r="K536" s="25">
        <f>(Table2[[#This Row],[Home Pace]]/100)*(VLOOKUP(Table2[[#This Row],[Home/Neutral]],home_lookup,8,FALSE)+VLOOKUP(Table2[[#This Row],[Home/Neutral]],OFR_lookup,2,FALSE)+VLOOKUP(Table2[[#This Row],[Visitor/Neutral]],def_diff_lookup,6,FALSE))</f>
        <v>105.42482926898523</v>
      </c>
      <c r="L536" s="25"/>
      <c r="M536" s="25">
        <f>(Table2[[#This Row],[Away Pace]]/100)*(VLOOKUP(Table2[[#This Row],[Visitor/Neutral]],OFR_lookup,2,FALSE)+VLOOKUP(Table2[[#This Row],[Home/Neutral]],def_diff_lookup,6,FALSE))</f>
        <v>99.645388000000011</v>
      </c>
      <c r="N536" s="25"/>
      <c r="O536" s="25"/>
      <c r="P536">
        <f>VLOOKUP(Table2[[#This Row],[Home/Neutral]],pace_lookup,7,FALSE)</f>
        <v>93.8</v>
      </c>
      <c r="Q536" s="5">
        <f>VLOOKUP(Table2[[#This Row],[Visitor/Neutral]],pace_lookup,7,FALSE)</f>
        <v>94.2</v>
      </c>
      <c r="R536" s="9"/>
      <c r="V536" s="2">
        <f>-home-VLOOKUP(Table2[[#This Row],[Home/Neutral]],rtg_vlookup,4,FALSE)+VLOOKUP(Table2[[#This Row],[Visitor/Neutral]],rtg_vlookup,4,FALSE)</f>
        <v>-0.52511848341233081</v>
      </c>
      <c r="W536" s="25"/>
      <c r="X536" s="2"/>
      <c r="Y536" s="2">
        <f>Table2[[#This Row],[Away EV]]-Table2[[#This Row],[Home EV]]</f>
        <v>-5.7794412689852237</v>
      </c>
      <c r="Z536" s="33"/>
      <c r="AA536" s="34"/>
      <c r="AB536" s="5" t="b">
        <f>IF(VLOOKUP(Table2[[#This Row],[Home/Neutral]],division_lookup,9,FALSE)=VLOOKUP(Table2[[#This Row],[Visitor/Neutral]],division_lookup,9,FALSE),TRUE,FALSE)</f>
        <v>0</v>
      </c>
      <c r="AC536" s="19" t="str">
        <f>VLOOKUP(Table2[[#This Row],[Home/Neutral]],division_lookup,9,FALSE)</f>
        <v>P</v>
      </c>
      <c r="AD536" s="19"/>
      <c r="AE536" s="19" t="str">
        <f>IF(Table2[[#This Row],[Total EV ®]]&lt;Table2[[#This Row],[Total (V)]],"UNDER","OVER")</f>
        <v>OVER</v>
      </c>
      <c r="AF536" s="30">
        <f>Table2[[#This Row],[(A) Spread]]-Table2[[#This Row],[Spread (V)]]</f>
        <v>0</v>
      </c>
      <c r="AG536" s="19"/>
      <c r="AH536" s="2">
        <f>Table2[[#This Row],[EV]]-Table2[[#This Row],[Spread (V)]]</f>
        <v>-5.7794412689852237</v>
      </c>
      <c r="AI536" s="22">
        <f>Table2[[#This Row],[(A)]]-Table2[[#This Row],[Spread]]</f>
        <v>-0.52511848341233081</v>
      </c>
      <c r="AJ536" s="1">
        <f>Table2[[#This Row],[(A) Err]]^2</f>
        <v>0.27574942162126637</v>
      </c>
      <c r="AK536" s="6">
        <f>Table2[[#This Row],[EV]]-Table2[[#This Row],[Spread]]</f>
        <v>-5.7794412689852237</v>
      </c>
      <c r="AL536" s="1">
        <f>Table2[[#This Row],[EV Err]]^2</f>
        <v>33.401941381649536</v>
      </c>
    </row>
    <row r="537" spans="1:38" x14ac:dyDescent="0.25">
      <c r="A537" t="s">
        <v>113</v>
      </c>
      <c r="B537" t="s">
        <v>37</v>
      </c>
      <c r="C537" t="s">
        <v>36</v>
      </c>
      <c r="K537" s="25">
        <f>(Table2[[#This Row],[Home Pace]]/100)*(VLOOKUP(Table2[[#This Row],[Home/Neutral]],home_lookup,8,FALSE)+VLOOKUP(Table2[[#This Row],[Home/Neutral]],OFR_lookup,2,FALSE)+VLOOKUP(Table2[[#This Row],[Visitor/Neutral]],def_diff_lookup,6,FALSE))</f>
        <v>105.00146809362121</v>
      </c>
      <c r="L537" s="25"/>
      <c r="M537" s="25">
        <f>(Table2[[#This Row],[Away Pace]]/100)*(VLOOKUP(Table2[[#This Row],[Visitor/Neutral]],OFR_lookup,2,FALSE)+VLOOKUP(Table2[[#This Row],[Home/Neutral]],def_diff_lookup,6,FALSE))</f>
        <v>102.09848133333335</v>
      </c>
      <c r="N537" s="25"/>
      <c r="O537" s="25"/>
      <c r="P537">
        <f>VLOOKUP(Table2[[#This Row],[Home/Neutral]],pace_lookup,7,FALSE)</f>
        <v>92.1</v>
      </c>
      <c r="Q537" s="5">
        <f>VLOOKUP(Table2[[#This Row],[Visitor/Neutral]],pace_lookup,7,FALSE)</f>
        <v>102.2</v>
      </c>
      <c r="R537" s="9"/>
      <c r="V537" s="2">
        <f>-home-VLOOKUP(Table2[[#This Row],[Home/Neutral]],rtg_vlookup,4,FALSE)+VLOOKUP(Table2[[#This Row],[Visitor/Neutral]],rtg_vlookup,4,FALSE)</f>
        <v>-1.4451184834123305</v>
      </c>
      <c r="W537" s="25"/>
      <c r="X537" s="2"/>
      <c r="Y537" s="2">
        <f>Table2[[#This Row],[Away EV]]-Table2[[#This Row],[Home EV]]</f>
        <v>-2.9029867602878596</v>
      </c>
      <c r="Z537" s="33"/>
      <c r="AA537" s="34"/>
      <c r="AB537" s="5" t="b">
        <f>IF(VLOOKUP(Table2[[#This Row],[Home/Neutral]],division_lookup,9,FALSE)=VLOOKUP(Table2[[#This Row],[Visitor/Neutral]],division_lookup,9,FALSE),TRUE,FALSE)</f>
        <v>0</v>
      </c>
      <c r="AC537" s="19" t="str">
        <f>VLOOKUP(Table2[[#This Row],[Home/Neutral]],division_lookup,9,FALSE)</f>
        <v>SW</v>
      </c>
      <c r="AD537" s="19"/>
      <c r="AE537" s="19" t="str">
        <f>IF(Table2[[#This Row],[Total EV ®]]&lt;Table2[[#This Row],[Total (V)]],"UNDER","OVER")</f>
        <v>OVER</v>
      </c>
      <c r="AF537" s="30">
        <f>Table2[[#This Row],[(A) Spread]]-Table2[[#This Row],[Spread (V)]]</f>
        <v>0</v>
      </c>
      <c r="AG537" s="19"/>
      <c r="AH537" s="2">
        <f>Table2[[#This Row],[EV]]-Table2[[#This Row],[Spread (V)]]</f>
        <v>-2.9029867602878596</v>
      </c>
      <c r="AI537" s="22">
        <f>Table2[[#This Row],[(A)]]-Table2[[#This Row],[Spread]]</f>
        <v>-1.4451184834123305</v>
      </c>
      <c r="AJ537" s="1">
        <f>Table2[[#This Row],[(A) Err]]^2</f>
        <v>2.0883674310999543</v>
      </c>
      <c r="AK537" s="6">
        <f>Table2[[#This Row],[EV]]-Table2[[#This Row],[Spread]]</f>
        <v>-2.9029867602878596</v>
      </c>
      <c r="AL537" s="1">
        <f>Table2[[#This Row],[EV Err]]^2</f>
        <v>8.4273321304066027</v>
      </c>
    </row>
    <row r="538" spans="1:38" x14ac:dyDescent="0.25">
      <c r="A538" t="s">
        <v>113</v>
      </c>
      <c r="B538" t="s">
        <v>27</v>
      </c>
      <c r="C538" t="s">
        <v>6</v>
      </c>
      <c r="K538" s="25">
        <f>(Table2[[#This Row],[Home Pace]]/100)*(VLOOKUP(Table2[[#This Row],[Home/Neutral]],home_lookup,8,FALSE)+VLOOKUP(Table2[[#This Row],[Home/Neutral]],OFR_lookup,2,FALSE)+VLOOKUP(Table2[[#This Row],[Visitor/Neutral]],def_diff_lookup,6,FALSE))</f>
        <v>102.27825642647258</v>
      </c>
      <c r="L538" s="25"/>
      <c r="M538" s="25">
        <f>(Table2[[#This Row],[Away Pace]]/100)*(VLOOKUP(Table2[[#This Row],[Visitor/Neutral]],OFR_lookup,2,FALSE)+VLOOKUP(Table2[[#This Row],[Home/Neutral]],def_diff_lookup,6,FALSE))</f>
        <v>102.95991066666667</v>
      </c>
      <c r="N538" s="25"/>
      <c r="O538" s="25"/>
      <c r="P538">
        <f>VLOOKUP(Table2[[#This Row],[Home/Neutral]],pace_lookup,7,FALSE)</f>
        <v>99</v>
      </c>
      <c r="Q538" s="5">
        <f>VLOOKUP(Table2[[#This Row],[Visitor/Neutral]],pace_lookup,7,FALSE)</f>
        <v>93.1</v>
      </c>
      <c r="R538" s="9"/>
      <c r="V538" s="2">
        <f>-home-VLOOKUP(Table2[[#This Row],[Home/Neutral]],rtg_vlookup,4,FALSE)+VLOOKUP(Table2[[#This Row],[Visitor/Neutral]],rtg_vlookup,4,FALSE)</f>
        <v>4.8648815165876691</v>
      </c>
      <c r="W538" s="25"/>
      <c r="X538" s="2"/>
      <c r="Y538" s="2">
        <f>Table2[[#This Row],[Away EV]]-Table2[[#This Row],[Home EV]]</f>
        <v>0.68165424019409215</v>
      </c>
      <c r="Z538" s="33"/>
      <c r="AA538" s="34"/>
      <c r="AB538" s="5" t="b">
        <f>IF(VLOOKUP(Table2[[#This Row],[Home/Neutral]],division_lookup,9,FALSE)=VLOOKUP(Table2[[#This Row],[Visitor/Neutral]],division_lookup,9,FALSE),TRUE,FALSE)</f>
        <v>0</v>
      </c>
      <c r="AC538" s="19" t="str">
        <f>VLOOKUP(Table2[[#This Row],[Home/Neutral]],division_lookup,9,FALSE)</f>
        <v>NW</v>
      </c>
      <c r="AD538" s="19"/>
      <c r="AE538" s="19" t="str">
        <f>IF(Table2[[#This Row],[Total EV ®]]&lt;Table2[[#This Row],[Total (V)]],"UNDER","OVER")</f>
        <v>OVER</v>
      </c>
      <c r="AF538" s="30">
        <f>Table2[[#This Row],[(A) Spread]]-Table2[[#This Row],[Spread (V)]]</f>
        <v>0</v>
      </c>
      <c r="AG538" s="19"/>
      <c r="AH538" s="2">
        <f>Table2[[#This Row],[EV]]-Table2[[#This Row],[Spread (V)]]</f>
        <v>0.68165424019409215</v>
      </c>
      <c r="AI538" s="22">
        <f>Table2[[#This Row],[(A)]]-Table2[[#This Row],[Spread]]</f>
        <v>4.8648815165876691</v>
      </c>
      <c r="AJ538" s="1">
        <f>Table2[[#This Row],[(A) Err]]^2</f>
        <v>23.667072170436338</v>
      </c>
      <c r="AK538" s="6">
        <f>Table2[[#This Row],[EV]]-Table2[[#This Row],[Spread]]</f>
        <v>0.68165424019409215</v>
      </c>
      <c r="AL538" s="1">
        <f>Table2[[#This Row],[EV Err]]^2</f>
        <v>0.46465250317458506</v>
      </c>
    </row>
    <row r="539" spans="1:38" x14ac:dyDescent="0.25">
      <c r="A539" t="s">
        <v>113</v>
      </c>
      <c r="B539" t="s">
        <v>25</v>
      </c>
      <c r="C539" t="s">
        <v>16</v>
      </c>
      <c r="K539" s="25">
        <f>(Table2[[#This Row],[Home Pace]]/100)*(VLOOKUP(Table2[[#This Row],[Home/Neutral]],home_lookup,8,FALSE)+VLOOKUP(Table2[[#This Row],[Home/Neutral]],OFR_lookup,2,FALSE)+VLOOKUP(Table2[[#This Row],[Visitor/Neutral]],def_diff_lookup,6,FALSE))</f>
        <v>101.60126444427257</v>
      </c>
      <c r="L539" s="25"/>
      <c r="M539" s="25">
        <f>(Table2[[#This Row],[Away Pace]]/100)*(VLOOKUP(Table2[[#This Row],[Visitor/Neutral]],OFR_lookup,2,FALSE)+VLOOKUP(Table2[[#This Row],[Home/Neutral]],def_diff_lookup,6,FALSE))</f>
        <v>100.88390000000001</v>
      </c>
      <c r="N539" s="25"/>
      <c r="O539" s="25"/>
      <c r="P539">
        <f>VLOOKUP(Table2[[#This Row],[Home/Neutral]],pace_lookup,7,FALSE)</f>
        <v>94.4</v>
      </c>
      <c r="Q539" s="5">
        <f>VLOOKUP(Table2[[#This Row],[Visitor/Neutral]],pace_lookup,7,FALSE)</f>
        <v>97.5</v>
      </c>
      <c r="R539" s="9"/>
      <c r="V539" s="2">
        <f>-home-VLOOKUP(Table2[[#This Row],[Home/Neutral]],rtg_vlookup,4,FALSE)+VLOOKUP(Table2[[#This Row],[Visitor/Neutral]],rtg_vlookup,4,FALSE)</f>
        <v>-9.5118483412330868E-2</v>
      </c>
      <c r="W539" s="25"/>
      <c r="X539" s="2"/>
      <c r="Y539" s="2">
        <f>Table2[[#This Row],[Away EV]]-Table2[[#This Row],[Home EV]]</f>
        <v>-0.71736444427256174</v>
      </c>
      <c r="Z539" s="33"/>
      <c r="AA539" s="34"/>
      <c r="AB539" s="5" t="b">
        <f>IF(VLOOKUP(Table2[[#This Row],[Home/Neutral]],division_lookup,9,FALSE)=VLOOKUP(Table2[[#This Row],[Visitor/Neutral]],division_lookup,9,FALSE),TRUE,FALSE)</f>
        <v>0</v>
      </c>
      <c r="AC539" s="19" t="str">
        <f>VLOOKUP(Table2[[#This Row],[Home/Neutral]],division_lookup,9,FALSE)</f>
        <v>C</v>
      </c>
      <c r="AD539" s="19"/>
      <c r="AE539" s="19" t="str">
        <f>IF(Table2[[#This Row],[Total EV ®]]&lt;Table2[[#This Row],[Total (V)]],"UNDER","OVER")</f>
        <v>OVER</v>
      </c>
      <c r="AF539" s="30">
        <f>Table2[[#This Row],[(A) Spread]]-Table2[[#This Row],[Spread (V)]]</f>
        <v>0</v>
      </c>
      <c r="AG539" s="19"/>
      <c r="AH539" s="2">
        <f>Table2[[#This Row],[EV]]-Table2[[#This Row],[Spread (V)]]</f>
        <v>-0.71736444427256174</v>
      </c>
      <c r="AI539" s="22">
        <f>Table2[[#This Row],[(A)]]-Table2[[#This Row],[Spread]]</f>
        <v>-9.5118483412330868E-2</v>
      </c>
      <c r="AJ539" s="1">
        <f>Table2[[#This Row],[(A) Err]]^2</f>
        <v>9.0475258866618627E-3</v>
      </c>
      <c r="AK539" s="6">
        <f>Table2[[#This Row],[EV]]-Table2[[#This Row],[Spread]]</f>
        <v>-0.71736444427256174</v>
      </c>
      <c r="AL539" s="1">
        <f>Table2[[#This Row],[EV Err]]^2</f>
        <v>0.51461174590648129</v>
      </c>
    </row>
    <row r="540" spans="1:38" x14ac:dyDescent="0.25">
      <c r="A540" t="s">
        <v>113</v>
      </c>
      <c r="B540" t="s">
        <v>17</v>
      </c>
      <c r="C540" t="s">
        <v>18</v>
      </c>
      <c r="K540" s="25">
        <f>(Table2[[#This Row],[Home Pace]]/100)*(VLOOKUP(Table2[[#This Row],[Home/Neutral]],home_lookup,8,FALSE)+VLOOKUP(Table2[[#This Row],[Home/Neutral]],OFR_lookup,2,FALSE)+VLOOKUP(Table2[[#This Row],[Visitor/Neutral]],def_diff_lookup,6,FALSE))</f>
        <v>105.25546692873544</v>
      </c>
      <c r="L540" s="25"/>
      <c r="M540" s="25">
        <f>(Table2[[#This Row],[Away Pace]]/100)*(VLOOKUP(Table2[[#This Row],[Visitor/Neutral]],OFR_lookup,2,FALSE)+VLOOKUP(Table2[[#This Row],[Home/Neutral]],def_diff_lookup,6,FALSE))</f>
        <v>107.20196333333335</v>
      </c>
      <c r="N540" s="25"/>
      <c r="O540" s="25"/>
      <c r="P540">
        <f>VLOOKUP(Table2[[#This Row],[Home/Neutral]],pace_lookup,7,FALSE)</f>
        <v>96.7</v>
      </c>
      <c r="Q540" s="5">
        <f>VLOOKUP(Table2[[#This Row],[Visitor/Neutral]],pace_lookup,7,FALSE)</f>
        <v>99.5</v>
      </c>
      <c r="R540" s="9"/>
      <c r="V540" s="2">
        <f>-home-VLOOKUP(Table2[[#This Row],[Home/Neutral]],rtg_vlookup,4,FALSE)+VLOOKUP(Table2[[#This Row],[Visitor/Neutral]],rtg_vlookup,4,FALSE)</f>
        <v>-4.6351184834123309</v>
      </c>
      <c r="W540" s="25"/>
      <c r="X540" s="2"/>
      <c r="Y540" s="2">
        <f>Table2[[#This Row],[Away EV]]-Table2[[#This Row],[Home EV]]</f>
        <v>1.9464964045979087</v>
      </c>
      <c r="Z540" s="33"/>
      <c r="AA540" s="34"/>
      <c r="AB540" s="5" t="b">
        <f>IF(VLOOKUP(Table2[[#This Row],[Home/Neutral]],division_lookup,9,FALSE)=VLOOKUP(Table2[[#This Row],[Visitor/Neutral]],division_lookup,9,FALSE),TRUE,FALSE)</f>
        <v>0</v>
      </c>
      <c r="AC540" s="19" t="str">
        <f>VLOOKUP(Table2[[#This Row],[Home/Neutral]],division_lookup,9,FALSE)</f>
        <v>SW</v>
      </c>
      <c r="AD540" s="19"/>
      <c r="AE540" s="19" t="str">
        <f>IF(Table2[[#This Row],[Total EV ®]]&lt;Table2[[#This Row],[Total (V)]],"UNDER","OVER")</f>
        <v>OVER</v>
      </c>
      <c r="AF540" s="30">
        <f>Table2[[#This Row],[(A) Spread]]-Table2[[#This Row],[Spread (V)]]</f>
        <v>0</v>
      </c>
      <c r="AG540" s="19"/>
      <c r="AH540" s="2">
        <f>Table2[[#This Row],[EV]]-Table2[[#This Row],[Spread (V)]]</f>
        <v>1.9464964045979087</v>
      </c>
      <c r="AI540" s="22">
        <f>Table2[[#This Row],[(A)]]-Table2[[#This Row],[Spread]]</f>
        <v>-4.6351184834123309</v>
      </c>
      <c r="AJ540" s="1">
        <f>Table2[[#This Row],[(A) Err]]^2</f>
        <v>21.484323355270625</v>
      </c>
      <c r="AK540" s="6">
        <f>Table2[[#This Row],[EV]]-Table2[[#This Row],[Spread]]</f>
        <v>1.9464964045979087</v>
      </c>
      <c r="AL540" s="1">
        <f>Table2[[#This Row],[EV Err]]^2</f>
        <v>3.7888482531125858</v>
      </c>
    </row>
    <row r="541" spans="1:38" x14ac:dyDescent="0.25">
      <c r="A541" t="s">
        <v>113</v>
      </c>
      <c r="B541" t="s">
        <v>33</v>
      </c>
      <c r="C541" t="s">
        <v>35</v>
      </c>
      <c r="K541" s="25">
        <f>(Table2[[#This Row],[Home Pace]]/100)*(VLOOKUP(Table2[[#This Row],[Home/Neutral]],home_lookup,8,FALSE)+VLOOKUP(Table2[[#This Row],[Home/Neutral]],OFR_lookup,2,FALSE)+VLOOKUP(Table2[[#This Row],[Visitor/Neutral]],def_diff_lookup,6,FALSE))</f>
        <v>111.02473852057506</v>
      </c>
      <c r="L541" s="25"/>
      <c r="M541" s="25">
        <f>(Table2[[#This Row],[Away Pace]]/100)*(VLOOKUP(Table2[[#This Row],[Visitor/Neutral]],OFR_lookup,2,FALSE)+VLOOKUP(Table2[[#This Row],[Home/Neutral]],def_diff_lookup,6,FALSE))</f>
        <v>108.38378133333336</v>
      </c>
      <c r="N541" s="25"/>
      <c r="O541" s="25"/>
      <c r="P541">
        <f>VLOOKUP(Table2[[#This Row],[Home/Neutral]],pace_lookup,7,FALSE)</f>
        <v>98.2</v>
      </c>
      <c r="Q541" s="5">
        <f>VLOOKUP(Table2[[#This Row],[Visitor/Neutral]],pace_lookup,7,FALSE)</f>
        <v>102.2</v>
      </c>
      <c r="R541" s="9"/>
      <c r="V541" s="2">
        <f>-home-VLOOKUP(Table2[[#This Row],[Home/Neutral]],rtg_vlookup,4,FALSE)+VLOOKUP(Table2[[#This Row],[Visitor/Neutral]],rtg_vlookup,4,FALSE)</f>
        <v>-3.7951184834123302</v>
      </c>
      <c r="W541" s="25"/>
      <c r="X541" s="2"/>
      <c r="Y541" s="2">
        <f>Table2[[#This Row],[Away EV]]-Table2[[#This Row],[Home EV]]</f>
        <v>-2.6409571872416961</v>
      </c>
      <c r="Z541" s="33"/>
      <c r="AA541" s="34"/>
      <c r="AB541" s="5" t="b">
        <f>IF(VLOOKUP(Table2[[#This Row],[Home/Neutral]],division_lookup,9,FALSE)=VLOOKUP(Table2[[#This Row],[Visitor/Neutral]],division_lookup,9,FALSE),TRUE,FALSE)</f>
        <v>0</v>
      </c>
      <c r="AC541" s="19" t="str">
        <f>VLOOKUP(Table2[[#This Row],[Home/Neutral]],division_lookup,9,FALSE)</f>
        <v>C</v>
      </c>
      <c r="AD541" s="19"/>
      <c r="AE541" s="19" t="str">
        <f>IF(Table2[[#This Row],[Total EV ®]]&lt;Table2[[#This Row],[Total (V)]],"UNDER","OVER")</f>
        <v>OVER</v>
      </c>
      <c r="AF541" s="30">
        <f>Table2[[#This Row],[(A) Spread]]-Table2[[#This Row],[Spread (V)]]</f>
        <v>0</v>
      </c>
      <c r="AG541" s="19"/>
      <c r="AH541" s="2">
        <f>Table2[[#This Row],[EV]]-Table2[[#This Row],[Spread (V)]]</f>
        <v>-2.6409571872416961</v>
      </c>
      <c r="AI541" s="22">
        <f>Table2[[#This Row],[(A)]]-Table2[[#This Row],[Spread]]</f>
        <v>-3.7951184834123302</v>
      </c>
      <c r="AJ541" s="1">
        <f>Table2[[#This Row],[(A) Err]]^2</f>
        <v>14.402924303137905</v>
      </c>
      <c r="AK541" s="6">
        <f>Table2[[#This Row],[EV]]-Table2[[#This Row],[Spread]]</f>
        <v>-2.6409571872416961</v>
      </c>
      <c r="AL541" s="1">
        <f>Table2[[#This Row],[EV Err]]^2</f>
        <v>6.9746548648435711</v>
      </c>
    </row>
    <row r="542" spans="1:38" x14ac:dyDescent="0.25">
      <c r="A542" t="s">
        <v>113</v>
      </c>
      <c r="B542" t="s">
        <v>34</v>
      </c>
      <c r="C542" t="s">
        <v>11</v>
      </c>
      <c r="K542" s="25">
        <f>(Table2[[#This Row],[Home Pace]]/100)*(VLOOKUP(Table2[[#This Row],[Home/Neutral]],home_lookup,8,FALSE)+VLOOKUP(Table2[[#This Row],[Home/Neutral]],OFR_lookup,2,FALSE)+VLOOKUP(Table2[[#This Row],[Visitor/Neutral]],def_diff_lookup,6,FALSE))</f>
        <v>97.191278645655558</v>
      </c>
      <c r="L542" s="25"/>
      <c r="M542" s="25">
        <f>(Table2[[#This Row],[Away Pace]]/100)*(VLOOKUP(Table2[[#This Row],[Visitor/Neutral]],OFR_lookup,2,FALSE)+VLOOKUP(Table2[[#This Row],[Home/Neutral]],def_diff_lookup,6,FALSE))</f>
        <v>104.25695466666667</v>
      </c>
      <c r="N542" s="25"/>
      <c r="O542" s="25"/>
      <c r="P542">
        <f>VLOOKUP(Table2[[#This Row],[Home/Neutral]],pace_lookup,7,FALSE)</f>
        <v>98.8</v>
      </c>
      <c r="Q542" s="5">
        <f>VLOOKUP(Table2[[#This Row],[Visitor/Neutral]],pace_lookup,7,FALSE)</f>
        <v>99.7</v>
      </c>
      <c r="R542" s="9"/>
      <c r="V542" s="2">
        <f>-home-VLOOKUP(Table2[[#This Row],[Home/Neutral]],rtg_vlookup,4,FALSE)+VLOOKUP(Table2[[#This Row],[Visitor/Neutral]],rtg_vlookup,4,FALSE)</f>
        <v>8.6248815165876707</v>
      </c>
      <c r="W542" s="25"/>
      <c r="X542" s="2"/>
      <c r="Y542" s="2">
        <f>Table2[[#This Row],[Away EV]]-Table2[[#This Row],[Home EV]]</f>
        <v>7.0656760210111145</v>
      </c>
      <c r="Z542" s="33"/>
      <c r="AA542" s="34"/>
      <c r="AB542" s="5" t="b">
        <f>IF(VLOOKUP(Table2[[#This Row],[Home/Neutral]],division_lookup,9,FALSE)=VLOOKUP(Table2[[#This Row],[Visitor/Neutral]],division_lookup,9,FALSE),TRUE,FALSE)</f>
        <v>0</v>
      </c>
      <c r="AC542" s="19" t="str">
        <f>VLOOKUP(Table2[[#This Row],[Home/Neutral]],division_lookup,9,FALSE)</f>
        <v>SW</v>
      </c>
      <c r="AD542" s="19"/>
      <c r="AE542" s="19" t="str">
        <f>IF(Table2[[#This Row],[Total EV ®]]&lt;Table2[[#This Row],[Total (V)]],"UNDER","OVER")</f>
        <v>OVER</v>
      </c>
      <c r="AF542" s="30">
        <f>Table2[[#This Row],[(A) Spread]]-Table2[[#This Row],[Spread (V)]]</f>
        <v>0</v>
      </c>
      <c r="AG542" s="19"/>
      <c r="AH542" s="2">
        <f>Table2[[#This Row],[EV]]-Table2[[#This Row],[Spread (V)]]</f>
        <v>7.0656760210111145</v>
      </c>
      <c r="AI542" s="22">
        <f>Table2[[#This Row],[(A)]]-Table2[[#This Row],[Spread]]</f>
        <v>8.6248815165876707</v>
      </c>
      <c r="AJ542" s="1">
        <f>Table2[[#This Row],[(A) Err]]^2</f>
        <v>74.388581175175645</v>
      </c>
      <c r="AK542" s="6">
        <f>Table2[[#This Row],[EV]]-Table2[[#This Row],[Spread]]</f>
        <v>7.0656760210111145</v>
      </c>
      <c r="AL542" s="1">
        <f>Table2[[#This Row],[EV Err]]^2</f>
        <v>49.923777633891454</v>
      </c>
    </row>
    <row r="543" spans="1:38" x14ac:dyDescent="0.25">
      <c r="A543" t="s">
        <v>113</v>
      </c>
      <c r="B543" t="s">
        <v>32</v>
      </c>
      <c r="C543" t="s">
        <v>24</v>
      </c>
      <c r="K543" s="25">
        <f>(Table2[[#This Row],[Home Pace]]/100)*(VLOOKUP(Table2[[#This Row],[Home/Neutral]],home_lookup,8,FALSE)+VLOOKUP(Table2[[#This Row],[Home/Neutral]],OFR_lookup,2,FALSE)+VLOOKUP(Table2[[#This Row],[Visitor/Neutral]],def_diff_lookup,6,FALSE))</f>
        <v>113.1228111200184</v>
      </c>
      <c r="L543" s="25"/>
      <c r="M543" s="25">
        <f>(Table2[[#This Row],[Away Pace]]/100)*(VLOOKUP(Table2[[#This Row],[Visitor/Neutral]],OFR_lookup,2,FALSE)+VLOOKUP(Table2[[#This Row],[Home/Neutral]],def_diff_lookup,6,FALSE))</f>
        <v>115.47507600000003</v>
      </c>
      <c r="N543" s="25"/>
      <c r="O543" s="25"/>
      <c r="P543">
        <f>VLOOKUP(Table2[[#This Row],[Home/Neutral]],pace_lookup,7,FALSE)</f>
        <v>98.6</v>
      </c>
      <c r="Q543" s="5">
        <f>VLOOKUP(Table2[[#This Row],[Visitor/Neutral]],pace_lookup,7,FALSE)</f>
        <v>99.9</v>
      </c>
      <c r="R543" s="9"/>
      <c r="V543" s="2">
        <f>-home-VLOOKUP(Table2[[#This Row],[Home/Neutral]],rtg_vlookup,4,FALSE)+VLOOKUP(Table2[[#This Row],[Visitor/Neutral]],rtg_vlookup,4,FALSE)</f>
        <v>0.41488151658766914</v>
      </c>
      <c r="W543" s="25"/>
      <c r="X543" s="2"/>
      <c r="Y543" s="2">
        <f>Table2[[#This Row],[Away EV]]-Table2[[#This Row],[Home EV]]</f>
        <v>2.3522648799816324</v>
      </c>
      <c r="Z543" s="33"/>
      <c r="AA543" s="34"/>
      <c r="AB543" s="5" t="b">
        <f>IF(VLOOKUP(Table2[[#This Row],[Home/Neutral]],division_lookup,9,FALSE)=VLOOKUP(Table2[[#This Row],[Visitor/Neutral]],division_lookup,9,FALSE),TRUE,FALSE)</f>
        <v>0</v>
      </c>
      <c r="AC543" s="19" t="str">
        <f>VLOOKUP(Table2[[#This Row],[Home/Neutral]],division_lookup,9,FALSE)</f>
        <v>NW</v>
      </c>
      <c r="AD543" s="19"/>
      <c r="AE543" s="19" t="str">
        <f>IF(Table2[[#This Row],[Total EV ®]]&lt;Table2[[#This Row],[Total (V)]],"UNDER","OVER")</f>
        <v>OVER</v>
      </c>
      <c r="AF543" s="30">
        <f>Table2[[#This Row],[(A) Spread]]-Table2[[#This Row],[Spread (V)]]</f>
        <v>0</v>
      </c>
      <c r="AG543" s="19"/>
      <c r="AH543" s="2">
        <f>Table2[[#This Row],[EV]]-Table2[[#This Row],[Spread (V)]]</f>
        <v>2.3522648799816324</v>
      </c>
      <c r="AI543" s="22">
        <f>Table2[[#This Row],[(A)]]-Table2[[#This Row],[Spread]]</f>
        <v>0.41488151658766914</v>
      </c>
      <c r="AJ543" s="1">
        <f>Table2[[#This Row],[(A) Err]]^2</f>
        <v>0.17212667280608437</v>
      </c>
      <c r="AK543" s="6">
        <f>Table2[[#This Row],[EV]]-Table2[[#This Row],[Spread]]</f>
        <v>2.3522648799816324</v>
      </c>
      <c r="AL543" s="1">
        <f>Table2[[#This Row],[EV Err]]^2</f>
        <v>5.5331500655950032</v>
      </c>
    </row>
    <row r="544" spans="1:38" x14ac:dyDescent="0.25">
      <c r="A544" t="s">
        <v>113</v>
      </c>
      <c r="B544" t="s">
        <v>14</v>
      </c>
      <c r="C544" t="s">
        <v>20</v>
      </c>
      <c r="K544" s="25">
        <f>(Table2[[#This Row],[Home Pace]]/100)*(VLOOKUP(Table2[[#This Row],[Home/Neutral]],home_lookup,8,FALSE)+VLOOKUP(Table2[[#This Row],[Home/Neutral]],OFR_lookup,2,FALSE)+VLOOKUP(Table2[[#This Row],[Visitor/Neutral]],def_diff_lookup,6,FALSE))</f>
        <v>105.76764414241451</v>
      </c>
      <c r="L544" s="25"/>
      <c r="M544" s="25">
        <f>(Table2[[#This Row],[Away Pace]]/100)*(VLOOKUP(Table2[[#This Row],[Visitor/Neutral]],OFR_lookup,2,FALSE)+VLOOKUP(Table2[[#This Row],[Home/Neutral]],def_diff_lookup,6,FALSE))</f>
        <v>98.618016000000026</v>
      </c>
      <c r="N544" s="25"/>
      <c r="O544" s="25"/>
      <c r="P544">
        <f>VLOOKUP(Table2[[#This Row],[Home/Neutral]],pace_lookup,7,FALSE)</f>
        <v>95.9</v>
      </c>
      <c r="Q544" s="5">
        <f>VLOOKUP(Table2[[#This Row],[Visitor/Neutral]],pace_lookup,7,FALSE)</f>
        <v>90.9</v>
      </c>
      <c r="R544" s="9"/>
      <c r="V544" s="2">
        <f>-home-VLOOKUP(Table2[[#This Row],[Home/Neutral]],rtg_vlookup,4,FALSE)+VLOOKUP(Table2[[#This Row],[Visitor/Neutral]],rtg_vlookup,4,FALSE)</f>
        <v>-5.9551184834123303</v>
      </c>
      <c r="W544" s="25"/>
      <c r="X544" s="2"/>
      <c r="Y544" s="2">
        <f>Table2[[#This Row],[Away EV]]-Table2[[#This Row],[Home EV]]</f>
        <v>-7.1496281424144854</v>
      </c>
      <c r="Z544" s="33"/>
      <c r="AA544" s="34"/>
      <c r="AB544" s="5" t="b">
        <f>IF(VLOOKUP(Table2[[#This Row],[Home/Neutral]],division_lookup,9,FALSE)=VLOOKUP(Table2[[#This Row],[Visitor/Neutral]],division_lookup,9,FALSE),TRUE,FALSE)</f>
        <v>0</v>
      </c>
      <c r="AC544" s="19" t="str">
        <f>VLOOKUP(Table2[[#This Row],[Home/Neutral]],division_lookup,9,FALSE)</f>
        <v>A</v>
      </c>
      <c r="AD544" s="19"/>
      <c r="AE544" s="19" t="str">
        <f>IF(Table2[[#This Row],[Total EV ®]]&lt;Table2[[#This Row],[Total (V)]],"UNDER","OVER")</f>
        <v>OVER</v>
      </c>
      <c r="AF544" s="30">
        <f>Table2[[#This Row],[(A) Spread]]-Table2[[#This Row],[Spread (V)]]</f>
        <v>0</v>
      </c>
      <c r="AG544" s="19"/>
      <c r="AH544" s="2">
        <f>Table2[[#This Row],[EV]]-Table2[[#This Row],[Spread (V)]]</f>
        <v>-7.1496281424144854</v>
      </c>
      <c r="AI544" s="22">
        <f>Table2[[#This Row],[(A)]]-Table2[[#This Row],[Spread]]</f>
        <v>-5.9551184834123303</v>
      </c>
      <c r="AJ544" s="1">
        <f>Table2[[#This Row],[(A) Err]]^2</f>
        <v>35.463436151479172</v>
      </c>
      <c r="AK544" s="6">
        <f>Table2[[#This Row],[EV]]-Table2[[#This Row],[Spread]]</f>
        <v>-7.1496281424144854</v>
      </c>
      <c r="AL544" s="1">
        <f>Table2[[#This Row],[EV Err]]^2</f>
        <v>51.117182574805206</v>
      </c>
    </row>
    <row r="545" spans="1:38" x14ac:dyDescent="0.25">
      <c r="A545" t="s">
        <v>114</v>
      </c>
      <c r="B545" t="s">
        <v>26</v>
      </c>
      <c r="C545" t="s">
        <v>39</v>
      </c>
      <c r="K545" s="25">
        <f>(Table2[[#This Row],[Home Pace]]/100)*(VLOOKUP(Table2[[#This Row],[Home/Neutral]],home_lookup,8,FALSE)+VLOOKUP(Table2[[#This Row],[Home/Neutral]],OFR_lookup,2,FALSE)+VLOOKUP(Table2[[#This Row],[Visitor/Neutral]],def_diff_lookup,6,FALSE))</f>
        <v>109.75056358918158</v>
      </c>
      <c r="L545" s="25"/>
      <c r="M545" s="25">
        <f>(Table2[[#This Row],[Away Pace]]/100)*(VLOOKUP(Table2[[#This Row],[Visitor/Neutral]],OFR_lookup,2,FALSE)+VLOOKUP(Table2[[#This Row],[Home/Neutral]],def_diff_lookup,6,FALSE))</f>
        <v>99.265400000000014</v>
      </c>
      <c r="N545" s="25"/>
      <c r="O545" s="25"/>
      <c r="P545">
        <f>VLOOKUP(Table2[[#This Row],[Home/Neutral]],pace_lookup,7,FALSE)</f>
        <v>96</v>
      </c>
      <c r="Q545" s="5">
        <f>VLOOKUP(Table2[[#This Row],[Visitor/Neutral]],pace_lookup,7,FALSE)</f>
        <v>97.5</v>
      </c>
      <c r="R545" s="9"/>
      <c r="V545" s="2">
        <f>-home-VLOOKUP(Table2[[#This Row],[Home/Neutral]],rtg_vlookup,4,FALSE)+VLOOKUP(Table2[[#This Row],[Visitor/Neutral]],rtg_vlookup,4,FALSE)</f>
        <v>-11.775118483412331</v>
      </c>
      <c r="W545" s="25"/>
      <c r="X545" s="2"/>
      <c r="Y545" s="2">
        <f>Table2[[#This Row],[Away EV]]-Table2[[#This Row],[Home EV]]</f>
        <v>-10.485163589181568</v>
      </c>
      <c r="Z545" s="33"/>
      <c r="AA545" s="34"/>
      <c r="AB545" s="5" t="b">
        <f>IF(VLOOKUP(Table2[[#This Row],[Home/Neutral]],division_lookup,9,FALSE)=VLOOKUP(Table2[[#This Row],[Visitor/Neutral]],division_lookup,9,FALSE),TRUE,FALSE)</f>
        <v>1</v>
      </c>
      <c r="AC545" s="19" t="str">
        <f>VLOOKUP(Table2[[#This Row],[Home/Neutral]],division_lookup,9,FALSE)</f>
        <v>A</v>
      </c>
      <c r="AD545" s="19"/>
      <c r="AE545" s="19" t="str">
        <f>IF(Table2[[#This Row],[Total EV ®]]&lt;Table2[[#This Row],[Total (V)]],"UNDER","OVER")</f>
        <v>OVER</v>
      </c>
      <c r="AF545" s="30">
        <f>Table2[[#This Row],[(A) Spread]]-Table2[[#This Row],[Spread (V)]]</f>
        <v>0</v>
      </c>
      <c r="AG545" s="19"/>
      <c r="AH545" s="2">
        <f>Table2[[#This Row],[EV]]-Table2[[#This Row],[Spread (V)]]</f>
        <v>-10.485163589181568</v>
      </c>
      <c r="AI545" s="22">
        <f>Table2[[#This Row],[(A)]]-Table2[[#This Row],[Spread]]</f>
        <v>-11.775118483412331</v>
      </c>
      <c r="AJ545" s="1">
        <f>Table2[[#This Row],[(A) Err]]^2</f>
        <v>138.65341529839873</v>
      </c>
      <c r="AK545" s="6">
        <f>Table2[[#This Row],[EV]]-Table2[[#This Row],[Spread]]</f>
        <v>-10.485163589181568</v>
      </c>
      <c r="AL545" s="1">
        <f>Table2[[#This Row],[EV Err]]^2</f>
        <v>109.93865549189888</v>
      </c>
    </row>
    <row r="546" spans="1:38" x14ac:dyDescent="0.25">
      <c r="A546" t="s">
        <v>114</v>
      </c>
      <c r="B546" t="s">
        <v>35</v>
      </c>
      <c r="C546" t="s">
        <v>8</v>
      </c>
      <c r="K546" s="25">
        <f>(Table2[[#This Row],[Home Pace]]/100)*(VLOOKUP(Table2[[#This Row],[Home/Neutral]],home_lookup,8,FALSE)+VLOOKUP(Table2[[#This Row],[Home/Neutral]],OFR_lookup,2,FALSE)+VLOOKUP(Table2[[#This Row],[Visitor/Neutral]],def_diff_lookup,6,FALSE))</f>
        <v>105.60671121209626</v>
      </c>
      <c r="L546" s="25"/>
      <c r="M546" s="25">
        <f>(Table2[[#This Row],[Away Pace]]/100)*(VLOOKUP(Table2[[#This Row],[Visitor/Neutral]],OFR_lookup,2,FALSE)+VLOOKUP(Table2[[#This Row],[Home/Neutral]],def_diff_lookup,6,FALSE))</f>
        <v>111.54736799999999</v>
      </c>
      <c r="N546" s="25"/>
      <c r="O546" s="25"/>
      <c r="P546">
        <f>VLOOKUP(Table2[[#This Row],[Home/Neutral]],pace_lookup,7,FALSE)</f>
        <v>102.2</v>
      </c>
      <c r="Q546" s="5">
        <f>VLOOKUP(Table2[[#This Row],[Visitor/Neutral]],pace_lookup,7,FALSE)</f>
        <v>97.2</v>
      </c>
      <c r="R546" s="9"/>
      <c r="V546" s="2">
        <f>-home-VLOOKUP(Table2[[#This Row],[Home/Neutral]],rtg_vlookup,4,FALSE)+VLOOKUP(Table2[[#This Row],[Visitor/Neutral]],rtg_vlookup,4,FALSE)</f>
        <v>10.444881516587669</v>
      </c>
      <c r="W546" s="25"/>
      <c r="X546" s="2"/>
      <c r="Y546" s="2">
        <f>Table2[[#This Row],[Away EV]]-Table2[[#This Row],[Home EV]]</f>
        <v>5.940656787903734</v>
      </c>
      <c r="Z546" s="33"/>
      <c r="AA546" s="34"/>
      <c r="AB546" s="5" t="b">
        <f>IF(VLOOKUP(Table2[[#This Row],[Home/Neutral]],division_lookup,9,FALSE)=VLOOKUP(Table2[[#This Row],[Visitor/Neutral]],division_lookup,9,FALSE),TRUE,FALSE)</f>
        <v>0</v>
      </c>
      <c r="AC546" s="19" t="str">
        <f>VLOOKUP(Table2[[#This Row],[Home/Neutral]],division_lookup,9,FALSE)</f>
        <v>A</v>
      </c>
      <c r="AD546" s="19"/>
      <c r="AE546" s="19" t="str">
        <f>IF(Table2[[#This Row],[Total EV ®]]&lt;Table2[[#This Row],[Total (V)]],"UNDER","OVER")</f>
        <v>OVER</v>
      </c>
      <c r="AF546" s="30">
        <f>Table2[[#This Row],[(A) Spread]]-Table2[[#This Row],[Spread (V)]]</f>
        <v>0</v>
      </c>
      <c r="AG546" s="19"/>
      <c r="AH546" s="2">
        <f>Table2[[#This Row],[EV]]-Table2[[#This Row],[Spread (V)]]</f>
        <v>5.940656787903734</v>
      </c>
      <c r="AI546" s="22">
        <f>Table2[[#This Row],[(A)]]-Table2[[#This Row],[Spread]]</f>
        <v>10.444881516587669</v>
      </c>
      <c r="AJ546" s="1">
        <f>Table2[[#This Row],[(A) Err]]^2</f>
        <v>109.09554989555473</v>
      </c>
      <c r="AK546" s="6">
        <f>Table2[[#This Row],[EV]]-Table2[[#This Row],[Spread]]</f>
        <v>5.940656787903734</v>
      </c>
      <c r="AL546" s="1">
        <f>Table2[[#This Row],[EV Err]]^2</f>
        <v>35.291403071666707</v>
      </c>
    </row>
    <row r="547" spans="1:38" x14ac:dyDescent="0.25">
      <c r="A547" t="s">
        <v>114</v>
      </c>
      <c r="B547" t="s">
        <v>10</v>
      </c>
      <c r="C547" t="s">
        <v>23</v>
      </c>
      <c r="K547" s="25">
        <f>(Table2[[#This Row],[Home Pace]]/100)*(VLOOKUP(Table2[[#This Row],[Home/Neutral]],home_lookup,8,FALSE)+VLOOKUP(Table2[[#This Row],[Home/Neutral]],OFR_lookup,2,FALSE)+VLOOKUP(Table2[[#This Row],[Visitor/Neutral]],def_diff_lookup,6,FALSE))</f>
        <v>102.80319853790562</v>
      </c>
      <c r="L547" s="25"/>
      <c r="M547" s="25">
        <f>(Table2[[#This Row],[Away Pace]]/100)*(VLOOKUP(Table2[[#This Row],[Visitor/Neutral]],OFR_lookup,2,FALSE)+VLOOKUP(Table2[[#This Row],[Home/Neutral]],def_diff_lookup,6,FALSE))</f>
        <v>97.948866666666675</v>
      </c>
      <c r="N547" s="25"/>
      <c r="O547" s="25"/>
      <c r="P547">
        <f>VLOOKUP(Table2[[#This Row],[Home/Neutral]],pace_lookup,7,FALSE)</f>
        <v>100.3</v>
      </c>
      <c r="Q547" s="5">
        <f>VLOOKUP(Table2[[#This Row],[Visitor/Neutral]],pace_lookup,7,FALSE)</f>
        <v>92.5</v>
      </c>
      <c r="R547" s="9"/>
      <c r="V547" s="2">
        <f>-home-VLOOKUP(Table2[[#This Row],[Home/Neutral]],rtg_vlookup,4,FALSE)+VLOOKUP(Table2[[#This Row],[Visitor/Neutral]],rtg_vlookup,4,FALSE)</f>
        <v>-8.8051184834123308</v>
      </c>
      <c r="W547" s="25"/>
      <c r="X547" s="2"/>
      <c r="Y547" s="2">
        <f>Table2[[#This Row],[Away EV]]-Table2[[#This Row],[Home EV]]</f>
        <v>-4.8543318712389407</v>
      </c>
      <c r="Z547" s="33"/>
      <c r="AA547" s="34"/>
      <c r="AB547" s="5" t="b">
        <f>IF(VLOOKUP(Table2[[#This Row],[Home/Neutral]],division_lookup,9,FALSE)=VLOOKUP(Table2[[#This Row],[Visitor/Neutral]],division_lookup,9,FALSE),TRUE,FALSE)</f>
        <v>0</v>
      </c>
      <c r="AC547" s="19" t="str">
        <f>VLOOKUP(Table2[[#This Row],[Home/Neutral]],division_lookup,9,FALSE)</f>
        <v>P</v>
      </c>
      <c r="AD547" s="19"/>
      <c r="AE547" s="19" t="str">
        <f>IF(Table2[[#This Row],[Total EV ®]]&lt;Table2[[#This Row],[Total (V)]],"UNDER","OVER")</f>
        <v>OVER</v>
      </c>
      <c r="AF547" s="30">
        <f>Table2[[#This Row],[(A) Spread]]-Table2[[#This Row],[Spread (V)]]</f>
        <v>0</v>
      </c>
      <c r="AG547" s="19"/>
      <c r="AH547" s="2">
        <f>Table2[[#This Row],[EV]]-Table2[[#This Row],[Spread (V)]]</f>
        <v>-4.8543318712389407</v>
      </c>
      <c r="AI547" s="22">
        <f>Table2[[#This Row],[(A)]]-Table2[[#This Row],[Spread]]</f>
        <v>-8.8051184834123308</v>
      </c>
      <c r="AJ547" s="1">
        <f>Table2[[#This Row],[(A) Err]]^2</f>
        <v>77.530111506929458</v>
      </c>
      <c r="AK547" s="6">
        <f>Table2[[#This Row],[EV]]-Table2[[#This Row],[Spread]]</f>
        <v>-4.8543318712389407</v>
      </c>
      <c r="AL547" s="1">
        <f>Table2[[#This Row],[EV Err]]^2</f>
        <v>23.564537916126156</v>
      </c>
    </row>
    <row r="548" spans="1:38" x14ac:dyDescent="0.25">
      <c r="A548" t="s">
        <v>114</v>
      </c>
      <c r="B548" t="s">
        <v>24</v>
      </c>
      <c r="C548" t="s">
        <v>21</v>
      </c>
      <c r="K548" s="25">
        <f>(Table2[[#This Row],[Home Pace]]/100)*(VLOOKUP(Table2[[#This Row],[Home/Neutral]],home_lookup,8,FALSE)+VLOOKUP(Table2[[#This Row],[Home/Neutral]],OFR_lookup,2,FALSE)+VLOOKUP(Table2[[#This Row],[Visitor/Neutral]],def_diff_lookup,6,FALSE))</f>
        <v>105.4202743283094</v>
      </c>
      <c r="L548" s="25"/>
      <c r="M548" s="25">
        <f>(Table2[[#This Row],[Away Pace]]/100)*(VLOOKUP(Table2[[#This Row],[Visitor/Neutral]],OFR_lookup,2,FALSE)+VLOOKUP(Table2[[#This Row],[Home/Neutral]],def_diff_lookup,6,FALSE))</f>
        <v>100.24826800000001</v>
      </c>
      <c r="N548" s="25"/>
      <c r="O548" s="25"/>
      <c r="P548">
        <f>VLOOKUP(Table2[[#This Row],[Home/Neutral]],pace_lookup,7,FALSE)</f>
        <v>99.9</v>
      </c>
      <c r="Q548" s="5">
        <f>VLOOKUP(Table2[[#This Row],[Visitor/Neutral]],pace_lookup,7,FALSE)</f>
        <v>94.2</v>
      </c>
      <c r="R548" s="9"/>
      <c r="V548" s="2">
        <f>-home-VLOOKUP(Table2[[#This Row],[Home/Neutral]],rtg_vlookup,4,FALSE)+VLOOKUP(Table2[[#This Row],[Visitor/Neutral]],rtg_vlookup,4,FALSE)</f>
        <v>-3.0751184834123304</v>
      </c>
      <c r="W548" s="25"/>
      <c r="X548" s="2"/>
      <c r="Y548" s="2">
        <f>Table2[[#This Row],[Away EV]]-Table2[[#This Row],[Home EV]]</f>
        <v>-5.1720063283093936</v>
      </c>
      <c r="Z548" s="33"/>
      <c r="AA548" s="34"/>
      <c r="AB548" s="5" t="b">
        <f>IF(VLOOKUP(Table2[[#This Row],[Home/Neutral]],division_lookup,9,FALSE)=VLOOKUP(Table2[[#This Row],[Visitor/Neutral]],division_lookup,9,FALSE),TRUE,FALSE)</f>
        <v>0</v>
      </c>
      <c r="AC548" s="19" t="str">
        <f>VLOOKUP(Table2[[#This Row],[Home/Neutral]],division_lookup,9,FALSE)</f>
        <v>P</v>
      </c>
      <c r="AD548" s="19"/>
      <c r="AE548" s="19" t="str">
        <f>IF(Table2[[#This Row],[Total EV ®]]&lt;Table2[[#This Row],[Total (V)]],"UNDER","OVER")</f>
        <v>OVER</v>
      </c>
      <c r="AF548" s="30">
        <f>Table2[[#This Row],[(A) Spread]]-Table2[[#This Row],[Spread (V)]]</f>
        <v>0</v>
      </c>
      <c r="AG548" s="19"/>
      <c r="AH548" s="2">
        <f>Table2[[#This Row],[EV]]-Table2[[#This Row],[Spread (V)]]</f>
        <v>-5.1720063283093936</v>
      </c>
      <c r="AI548" s="22">
        <f>Table2[[#This Row],[(A)]]-Table2[[#This Row],[Spread]]</f>
        <v>-3.0751184834123304</v>
      </c>
      <c r="AJ548" s="1">
        <f>Table2[[#This Row],[(A) Err]]^2</f>
        <v>9.4563536870241514</v>
      </c>
      <c r="AK548" s="6">
        <f>Table2[[#This Row],[EV]]-Table2[[#This Row],[Spread]]</f>
        <v>-5.1720063283093936</v>
      </c>
      <c r="AL548" s="1">
        <f>Table2[[#This Row],[EV Err]]^2</f>
        <v>26.749649460072416</v>
      </c>
    </row>
    <row r="549" spans="1:38" x14ac:dyDescent="0.25">
      <c r="A549" t="s">
        <v>114</v>
      </c>
      <c r="B549" t="s">
        <v>30</v>
      </c>
      <c r="C549" t="s">
        <v>31</v>
      </c>
      <c r="K549" s="25">
        <f>(Table2[[#This Row],[Home Pace]]/100)*(VLOOKUP(Table2[[#This Row],[Home/Neutral]],home_lookup,8,FALSE)+VLOOKUP(Table2[[#This Row],[Home/Neutral]],OFR_lookup,2,FALSE)+VLOOKUP(Table2[[#This Row],[Visitor/Neutral]],def_diff_lookup,6,FALSE))</f>
        <v>112.68128034993644</v>
      </c>
      <c r="L549" s="25"/>
      <c r="M549" s="25">
        <f>(Table2[[#This Row],[Away Pace]]/100)*(VLOOKUP(Table2[[#This Row],[Visitor/Neutral]],OFR_lookup,2,FALSE)+VLOOKUP(Table2[[#This Row],[Home/Neutral]],def_diff_lookup,6,FALSE))</f>
        <v>106.28224000000002</v>
      </c>
      <c r="N549" s="25"/>
      <c r="O549" s="25"/>
      <c r="P549">
        <f>VLOOKUP(Table2[[#This Row],[Home/Neutral]],pace_lookup,7,FALSE)</f>
        <v>96.8</v>
      </c>
      <c r="Q549" s="5">
        <f>VLOOKUP(Table2[[#This Row],[Visitor/Neutral]],pace_lookup,7,FALSE)</f>
        <v>96</v>
      </c>
      <c r="R549" s="9"/>
      <c r="V549" s="2">
        <f>-home-VLOOKUP(Table2[[#This Row],[Home/Neutral]],rtg_vlookup,4,FALSE)+VLOOKUP(Table2[[#This Row],[Visitor/Neutral]],rtg_vlookup,4,FALSE)</f>
        <v>-2.4551184834123312</v>
      </c>
      <c r="W549" s="25"/>
      <c r="X549" s="2"/>
      <c r="Y549" s="2">
        <f>Table2[[#This Row],[Away EV]]-Table2[[#This Row],[Home EV]]</f>
        <v>-6.3990403499364277</v>
      </c>
      <c r="Z549" s="33"/>
      <c r="AA549" s="34"/>
      <c r="AB549" s="5" t="b">
        <f>IF(VLOOKUP(Table2[[#This Row],[Home/Neutral]],division_lookup,9,FALSE)=VLOOKUP(Table2[[#This Row],[Visitor/Neutral]],division_lookup,9,FALSE),TRUE,FALSE)</f>
        <v>0</v>
      </c>
      <c r="AC549" s="19" t="str">
        <f>VLOOKUP(Table2[[#This Row],[Home/Neutral]],division_lookup,9,FALSE)</f>
        <v>C</v>
      </c>
      <c r="AD549" s="19"/>
      <c r="AE549" s="19" t="str">
        <f>IF(Table2[[#This Row],[Total EV ®]]&lt;Table2[[#This Row],[Total (V)]],"UNDER","OVER")</f>
        <v>OVER</v>
      </c>
      <c r="AF549" s="30">
        <f>Table2[[#This Row],[(A) Spread]]-Table2[[#This Row],[Spread (V)]]</f>
        <v>0</v>
      </c>
      <c r="AG549" s="19"/>
      <c r="AH549" s="2">
        <f>Table2[[#This Row],[EV]]-Table2[[#This Row],[Spread (V)]]</f>
        <v>-6.3990403499364277</v>
      </c>
      <c r="AI549" s="22">
        <f>Table2[[#This Row],[(A)]]-Table2[[#This Row],[Spread]]</f>
        <v>-2.4551184834123312</v>
      </c>
      <c r="AJ549" s="1">
        <f>Table2[[#This Row],[(A) Err]]^2</f>
        <v>6.0276067675928653</v>
      </c>
      <c r="AK549" s="6">
        <f>Table2[[#This Row],[EV]]-Table2[[#This Row],[Spread]]</f>
        <v>-6.3990403499364277</v>
      </c>
      <c r="AL549" s="1">
        <f>Table2[[#This Row],[EV Err]]^2</f>
        <v>40.94771740011452</v>
      </c>
    </row>
    <row r="550" spans="1:38" x14ac:dyDescent="0.25">
      <c r="A550" t="s">
        <v>114</v>
      </c>
      <c r="B550" t="s">
        <v>38</v>
      </c>
      <c r="C550" t="s">
        <v>17</v>
      </c>
      <c r="K550" s="25">
        <f>(Table2[[#This Row],[Home Pace]]/100)*(VLOOKUP(Table2[[#This Row],[Home/Neutral]],home_lookup,8,FALSE)+VLOOKUP(Table2[[#This Row],[Home/Neutral]],OFR_lookup,2,FALSE)+VLOOKUP(Table2[[#This Row],[Visitor/Neutral]],def_diff_lookup,6,FALSE))</f>
        <v>109.08639167891479</v>
      </c>
      <c r="L550" s="25"/>
      <c r="M550" s="25">
        <f>(Table2[[#This Row],[Away Pace]]/100)*(VLOOKUP(Table2[[#This Row],[Visitor/Neutral]],OFR_lookup,2,FALSE)+VLOOKUP(Table2[[#This Row],[Home/Neutral]],def_diff_lookup,6,FALSE))</f>
        <v>111.14762466666669</v>
      </c>
      <c r="N550" s="25"/>
      <c r="O550" s="25"/>
      <c r="P550">
        <f>VLOOKUP(Table2[[#This Row],[Home/Neutral]],pace_lookup,7,FALSE)</f>
        <v>94.2</v>
      </c>
      <c r="Q550" s="5">
        <f>VLOOKUP(Table2[[#This Row],[Visitor/Neutral]],pace_lookup,7,FALSE)</f>
        <v>96.7</v>
      </c>
      <c r="R550" s="9"/>
      <c r="V550" s="2">
        <f>-home-VLOOKUP(Table2[[#This Row],[Home/Neutral]],rtg_vlookup,4,FALSE)+VLOOKUP(Table2[[#This Row],[Visitor/Neutral]],rtg_vlookup,4,FALSE)</f>
        <v>10.204881516587669</v>
      </c>
      <c r="W550" s="25"/>
      <c r="X550" s="2"/>
      <c r="Y550" s="2">
        <f>Table2[[#This Row],[Away EV]]-Table2[[#This Row],[Home EV]]</f>
        <v>2.0612329877518931</v>
      </c>
      <c r="Z550" s="33"/>
      <c r="AA550" s="34"/>
      <c r="AB550" s="5" t="b">
        <f>IF(VLOOKUP(Table2[[#This Row],[Home/Neutral]],division_lookup,9,FALSE)=VLOOKUP(Table2[[#This Row],[Visitor/Neutral]],division_lookup,9,FALSE),TRUE,FALSE)</f>
        <v>0</v>
      </c>
      <c r="AC550" s="19" t="str">
        <f>VLOOKUP(Table2[[#This Row],[Home/Neutral]],division_lookup,9,FALSE)</f>
        <v>SE</v>
      </c>
      <c r="AD550" s="19"/>
      <c r="AE550" s="19" t="str">
        <f>IF(Table2[[#This Row],[Total EV ®]]&lt;Table2[[#This Row],[Total (V)]],"UNDER","OVER")</f>
        <v>OVER</v>
      </c>
      <c r="AF550" s="30">
        <f>Table2[[#This Row],[(A) Spread]]-Table2[[#This Row],[Spread (V)]]</f>
        <v>0</v>
      </c>
      <c r="AG550" s="19"/>
      <c r="AH550" s="2">
        <f>Table2[[#This Row],[EV]]-Table2[[#This Row],[Spread (V)]]</f>
        <v>2.0612329877518931</v>
      </c>
      <c r="AI550" s="22">
        <f>Table2[[#This Row],[(A)]]-Table2[[#This Row],[Spread]]</f>
        <v>10.204881516587669</v>
      </c>
      <c r="AJ550" s="1">
        <f>Table2[[#This Row],[(A) Err]]^2</f>
        <v>104.13960676759264</v>
      </c>
      <c r="AK550" s="6">
        <f>Table2[[#This Row],[EV]]-Table2[[#This Row],[Spread]]</f>
        <v>2.0612329877518931</v>
      </c>
      <c r="AL550" s="1">
        <f>Table2[[#This Row],[EV Err]]^2</f>
        <v>4.248681429796596</v>
      </c>
    </row>
    <row r="551" spans="1:38" x14ac:dyDescent="0.25">
      <c r="A551" t="s">
        <v>114</v>
      </c>
      <c r="B551" t="s">
        <v>29</v>
      </c>
      <c r="C551" t="s">
        <v>4</v>
      </c>
      <c r="K551" s="25">
        <f>(Table2[[#This Row],[Home Pace]]/100)*(VLOOKUP(Table2[[#This Row],[Home/Neutral]],home_lookup,8,FALSE)+VLOOKUP(Table2[[#This Row],[Home/Neutral]],OFR_lookup,2,FALSE)+VLOOKUP(Table2[[#This Row],[Visitor/Neutral]],def_diff_lookup,6,FALSE))</f>
        <v>103.24866926898522</v>
      </c>
      <c r="L551" s="25"/>
      <c r="M551" s="25">
        <f>(Table2[[#This Row],[Away Pace]]/100)*(VLOOKUP(Table2[[#This Row],[Visitor/Neutral]],OFR_lookup,2,FALSE)+VLOOKUP(Table2[[#This Row],[Home/Neutral]],def_diff_lookup,6,FALSE))</f>
        <v>114.16252399999999</v>
      </c>
      <c r="N551" s="25"/>
      <c r="O551" s="25"/>
      <c r="P551">
        <f>VLOOKUP(Table2[[#This Row],[Home/Neutral]],pace_lookup,7,FALSE)</f>
        <v>93.8</v>
      </c>
      <c r="Q551" s="5">
        <f>VLOOKUP(Table2[[#This Row],[Visitor/Neutral]],pace_lookup,7,FALSE)</f>
        <v>96.6</v>
      </c>
      <c r="R551" s="9"/>
      <c r="V551" s="2">
        <f>-home-VLOOKUP(Table2[[#This Row],[Home/Neutral]],rtg_vlookup,4,FALSE)+VLOOKUP(Table2[[#This Row],[Visitor/Neutral]],rtg_vlookup,4,FALSE)</f>
        <v>14.204881516587669</v>
      </c>
      <c r="W551" s="25"/>
      <c r="X551" s="2"/>
      <c r="Y551" s="2">
        <f>Table2[[#This Row],[Away EV]]-Table2[[#This Row],[Home EV]]</f>
        <v>10.913854731014766</v>
      </c>
      <c r="Z551" s="33"/>
      <c r="AA551" s="34"/>
      <c r="AB551" s="5" t="b">
        <f>IF(VLOOKUP(Table2[[#This Row],[Home/Neutral]],division_lookup,9,FALSE)=VLOOKUP(Table2[[#This Row],[Visitor/Neutral]],division_lookup,9,FALSE),TRUE,FALSE)</f>
        <v>1</v>
      </c>
      <c r="AC551" s="19" t="str">
        <f>VLOOKUP(Table2[[#This Row],[Home/Neutral]],division_lookup,9,FALSE)</f>
        <v>P</v>
      </c>
      <c r="AD551" s="19"/>
      <c r="AE551" s="19" t="str">
        <f>IF(Table2[[#This Row],[Total EV ®]]&lt;Table2[[#This Row],[Total (V)]],"UNDER","OVER")</f>
        <v>OVER</v>
      </c>
      <c r="AF551" s="30">
        <f>Table2[[#This Row],[(A) Spread]]-Table2[[#This Row],[Spread (V)]]</f>
        <v>0</v>
      </c>
      <c r="AG551" s="19"/>
      <c r="AH551" s="2">
        <f>Table2[[#This Row],[EV]]-Table2[[#This Row],[Spread (V)]]</f>
        <v>10.913854731014766</v>
      </c>
      <c r="AI551" s="22">
        <f>Table2[[#This Row],[(A)]]-Table2[[#This Row],[Spread]]</f>
        <v>14.204881516587669</v>
      </c>
      <c r="AJ551" s="1">
        <f>Table2[[#This Row],[(A) Err]]^2</f>
        <v>201.778658900294</v>
      </c>
      <c r="AK551" s="6">
        <f>Table2[[#This Row],[EV]]-Table2[[#This Row],[Spread]]</f>
        <v>10.913854731014766</v>
      </c>
      <c r="AL551" s="1">
        <f>Table2[[#This Row],[EV Err]]^2</f>
        <v>119.11222508969338</v>
      </c>
    </row>
    <row r="552" spans="1:38" x14ac:dyDescent="0.25">
      <c r="A552" t="s">
        <v>114</v>
      </c>
      <c r="B552" t="s">
        <v>28</v>
      </c>
      <c r="C552" t="s">
        <v>22</v>
      </c>
      <c r="K552" s="25">
        <f>(Table2[[#This Row],[Home Pace]]/100)*(VLOOKUP(Table2[[#This Row],[Home/Neutral]],home_lookup,8,FALSE)+VLOOKUP(Table2[[#This Row],[Home/Neutral]],OFR_lookup,2,FALSE)+VLOOKUP(Table2[[#This Row],[Visitor/Neutral]],def_diff_lookup,6,FALSE))</f>
        <v>112.20593553204273</v>
      </c>
      <c r="L552" s="25"/>
      <c r="M552" s="25">
        <f>(Table2[[#This Row],[Away Pace]]/100)*(VLOOKUP(Table2[[#This Row],[Visitor/Neutral]],OFR_lookup,2,FALSE)+VLOOKUP(Table2[[#This Row],[Home/Neutral]],def_diff_lookup,6,FALSE))</f>
        <v>108.16697133333336</v>
      </c>
      <c r="N552" s="25"/>
      <c r="O552" s="25"/>
      <c r="P552">
        <f>VLOOKUP(Table2[[#This Row],[Home/Neutral]],pace_lookup,7,FALSE)</f>
        <v>96.3</v>
      </c>
      <c r="Q552" s="5">
        <f>VLOOKUP(Table2[[#This Row],[Visitor/Neutral]],pace_lookup,7,FALSE)</f>
        <v>94.7</v>
      </c>
      <c r="R552" s="9"/>
      <c r="V552" s="2">
        <f>-home-VLOOKUP(Table2[[#This Row],[Home/Neutral]],rtg_vlookup,4,FALSE)+VLOOKUP(Table2[[#This Row],[Visitor/Neutral]],rtg_vlookup,4,FALSE)</f>
        <v>9.4881516587669412E-2</v>
      </c>
      <c r="W552" s="25"/>
      <c r="X552" s="2"/>
      <c r="Y552" s="2">
        <f>Table2[[#This Row],[Away EV]]-Table2[[#This Row],[Home EV]]</f>
        <v>-4.0389641987093654</v>
      </c>
      <c r="Z552" s="33"/>
      <c r="AA552" s="34"/>
      <c r="AB552" s="5" t="b">
        <f>IF(VLOOKUP(Table2[[#This Row],[Home/Neutral]],division_lookup,9,FALSE)=VLOOKUP(Table2[[#This Row],[Visitor/Neutral]],division_lookup,9,FALSE),TRUE,FALSE)</f>
        <v>0</v>
      </c>
      <c r="AC552" s="19" t="str">
        <f>VLOOKUP(Table2[[#This Row],[Home/Neutral]],division_lookup,9,FALSE)</f>
        <v>SE</v>
      </c>
      <c r="AD552" s="19"/>
      <c r="AE552" s="19" t="str">
        <f>IF(Table2[[#This Row],[Total EV ®]]&lt;Table2[[#This Row],[Total (V)]],"UNDER","OVER")</f>
        <v>OVER</v>
      </c>
      <c r="AF552" s="30">
        <f>Table2[[#This Row],[(A) Spread]]-Table2[[#This Row],[Spread (V)]]</f>
        <v>0</v>
      </c>
      <c r="AG552" s="19"/>
      <c r="AH552" s="2">
        <f>Table2[[#This Row],[EV]]-Table2[[#This Row],[Spread (V)]]</f>
        <v>-4.0389641987093654</v>
      </c>
      <c r="AI552" s="22">
        <f>Table2[[#This Row],[(A)]]-Table2[[#This Row],[Spread]]</f>
        <v>9.4881516587669412E-2</v>
      </c>
      <c r="AJ552" s="1">
        <f>Table2[[#This Row],[(A) Err]]^2</f>
        <v>9.0025021899761866E-3</v>
      </c>
      <c r="AK552" s="6">
        <f>Table2[[#This Row],[EV]]-Table2[[#This Row],[Spread]]</f>
        <v>-4.0389641987093654</v>
      </c>
      <c r="AL552" s="1">
        <f>Table2[[#This Row],[EV Err]]^2</f>
        <v>16.313231798455988</v>
      </c>
    </row>
    <row r="553" spans="1:38" x14ac:dyDescent="0.25">
      <c r="A553" t="s">
        <v>115</v>
      </c>
      <c r="B553" t="s">
        <v>26</v>
      </c>
      <c r="C553" t="s">
        <v>34</v>
      </c>
      <c r="K553" s="25">
        <f>(Table2[[#This Row],[Home Pace]]/100)*(VLOOKUP(Table2[[#This Row],[Home/Neutral]],home_lookup,8,FALSE)+VLOOKUP(Table2[[#This Row],[Home/Neutral]],OFR_lookup,2,FALSE)+VLOOKUP(Table2[[#This Row],[Visitor/Neutral]],def_diff_lookup,6,FALSE))</f>
        <v>106.60176358918159</v>
      </c>
      <c r="L553" s="25"/>
      <c r="M553" s="25">
        <f>(Table2[[#This Row],[Away Pace]]/100)*(VLOOKUP(Table2[[#This Row],[Visitor/Neutral]],OFR_lookup,2,FALSE)+VLOOKUP(Table2[[#This Row],[Home/Neutral]],def_diff_lookup,6,FALSE))</f>
        <v>101.53741866666667</v>
      </c>
      <c r="N553" s="25"/>
      <c r="O553" s="25"/>
      <c r="P553">
        <f>VLOOKUP(Table2[[#This Row],[Home/Neutral]],pace_lookup,7,FALSE)</f>
        <v>96</v>
      </c>
      <c r="Q553" s="5">
        <f>VLOOKUP(Table2[[#This Row],[Visitor/Neutral]],pace_lookup,7,FALSE)</f>
        <v>98.8</v>
      </c>
      <c r="R553" s="9"/>
      <c r="V553" s="2">
        <f>-home-VLOOKUP(Table2[[#This Row],[Home/Neutral]],rtg_vlookup,4,FALSE)+VLOOKUP(Table2[[#This Row],[Visitor/Neutral]],rtg_vlookup,4,FALSE)</f>
        <v>-7.5351184834123313</v>
      </c>
      <c r="W553" s="25"/>
      <c r="X553" s="2"/>
      <c r="Y553" s="2">
        <f>Table2[[#This Row],[Away EV]]-Table2[[#This Row],[Home EV]]</f>
        <v>-5.0643449225149197</v>
      </c>
      <c r="Z553" s="33"/>
      <c r="AA553" s="34"/>
      <c r="AB553" s="5" t="b">
        <f>IF(VLOOKUP(Table2[[#This Row],[Home/Neutral]],division_lookup,9,FALSE)=VLOOKUP(Table2[[#This Row],[Visitor/Neutral]],division_lookup,9,FALSE),TRUE,FALSE)</f>
        <v>0</v>
      </c>
      <c r="AC553" s="19" t="str">
        <f>VLOOKUP(Table2[[#This Row],[Home/Neutral]],division_lookup,9,FALSE)</f>
        <v>A</v>
      </c>
      <c r="AD553" s="19"/>
      <c r="AE553" s="19" t="str">
        <f>IF(Table2[[#This Row],[Total EV ®]]&lt;Table2[[#This Row],[Total (V)]],"UNDER","OVER")</f>
        <v>OVER</v>
      </c>
      <c r="AF553" s="30">
        <f>Table2[[#This Row],[(A) Spread]]-Table2[[#This Row],[Spread (V)]]</f>
        <v>0</v>
      </c>
      <c r="AG553" s="19"/>
      <c r="AH553" s="2">
        <f>Table2[[#This Row],[EV]]-Table2[[#This Row],[Spread (V)]]</f>
        <v>-5.0643449225149197</v>
      </c>
      <c r="AI553" s="22">
        <f>Table2[[#This Row],[(A)]]-Table2[[#This Row],[Spread]]</f>
        <v>-7.5351184834123313</v>
      </c>
      <c r="AJ553" s="1">
        <f>Table2[[#This Row],[(A) Err]]^2</f>
        <v>56.778010559062153</v>
      </c>
      <c r="AK553" s="6">
        <f>Table2[[#This Row],[EV]]-Table2[[#This Row],[Spread]]</f>
        <v>-5.0643449225149197</v>
      </c>
      <c r="AL553" s="1">
        <f>Table2[[#This Row],[EV Err]]^2</f>
        <v>25.647589494202649</v>
      </c>
    </row>
    <row r="554" spans="1:38" x14ac:dyDescent="0.25">
      <c r="A554" t="s">
        <v>115</v>
      </c>
      <c r="B554" t="s">
        <v>13</v>
      </c>
      <c r="C554" t="s">
        <v>14</v>
      </c>
      <c r="K554" s="25">
        <f>(Table2[[#This Row],[Home Pace]]/100)*(VLOOKUP(Table2[[#This Row],[Home/Neutral]],home_lookup,8,FALSE)+VLOOKUP(Table2[[#This Row],[Home/Neutral]],OFR_lookup,2,FALSE)+VLOOKUP(Table2[[#This Row],[Visitor/Neutral]],def_diff_lookup,6,FALSE))</f>
        <v>107.17819108450401</v>
      </c>
      <c r="L554" s="25"/>
      <c r="M554" s="25">
        <f>(Table2[[#This Row],[Away Pace]]/100)*(VLOOKUP(Table2[[#This Row],[Visitor/Neutral]],OFR_lookup,2,FALSE)+VLOOKUP(Table2[[#This Row],[Home/Neutral]],def_diff_lookup,6,FALSE))</f>
        <v>107.87854933333335</v>
      </c>
      <c r="N554" s="25"/>
      <c r="O554" s="25"/>
      <c r="P554">
        <f>VLOOKUP(Table2[[#This Row],[Home/Neutral]],pace_lookup,7,FALSE)</f>
        <v>94.5</v>
      </c>
      <c r="Q554" s="5">
        <f>VLOOKUP(Table2[[#This Row],[Visitor/Neutral]],pace_lookup,7,FALSE)</f>
        <v>95.9</v>
      </c>
      <c r="R554" s="9"/>
      <c r="V554" s="2">
        <f>-home-VLOOKUP(Table2[[#This Row],[Home/Neutral]],rtg_vlookup,4,FALSE)+VLOOKUP(Table2[[#This Row],[Visitor/Neutral]],rtg_vlookup,4,FALSE)</f>
        <v>-3.3951184834123316</v>
      </c>
      <c r="W554" s="25"/>
      <c r="X554" s="2"/>
      <c r="Y554" s="2">
        <f>Table2[[#This Row],[Away EV]]-Table2[[#This Row],[Home EV]]</f>
        <v>0.70035824882934605</v>
      </c>
      <c r="Z554" s="33"/>
      <c r="AA554" s="34"/>
      <c r="AB554" s="5" t="b">
        <f>IF(VLOOKUP(Table2[[#This Row],[Home/Neutral]],division_lookup,9,FALSE)=VLOOKUP(Table2[[#This Row],[Visitor/Neutral]],division_lookup,9,FALSE),TRUE,FALSE)</f>
        <v>0</v>
      </c>
      <c r="AC554" s="19" t="str">
        <f>VLOOKUP(Table2[[#This Row],[Home/Neutral]],division_lookup,9,FALSE)</f>
        <v>C</v>
      </c>
      <c r="AD554" s="19"/>
      <c r="AE554" s="19" t="str">
        <f>IF(Table2[[#This Row],[Total EV ®]]&lt;Table2[[#This Row],[Total (V)]],"UNDER","OVER")</f>
        <v>OVER</v>
      </c>
      <c r="AF554" s="30">
        <f>Table2[[#This Row],[(A) Spread]]-Table2[[#This Row],[Spread (V)]]</f>
        <v>0</v>
      </c>
      <c r="AG554" s="19"/>
      <c r="AH554" s="2">
        <f>Table2[[#This Row],[EV]]-Table2[[#This Row],[Spread (V)]]</f>
        <v>0.70035824882934605</v>
      </c>
      <c r="AI554" s="22">
        <f>Table2[[#This Row],[(A)]]-Table2[[#This Row],[Spread]]</f>
        <v>-3.3951184834123316</v>
      </c>
      <c r="AJ554" s="1">
        <f>Table2[[#This Row],[(A) Err]]^2</f>
        <v>11.52682951640805</v>
      </c>
      <c r="AK554" s="6">
        <f>Table2[[#This Row],[EV]]-Table2[[#This Row],[Spread]]</f>
        <v>0.70035824882934605</v>
      </c>
      <c r="AL554" s="1">
        <f>Table2[[#This Row],[EV Err]]^2</f>
        <v>0.49050167670330819</v>
      </c>
    </row>
    <row r="555" spans="1:38" x14ac:dyDescent="0.25">
      <c r="A555" t="s">
        <v>115</v>
      </c>
      <c r="B555" t="s">
        <v>37</v>
      </c>
      <c r="C555" t="s">
        <v>11</v>
      </c>
      <c r="K555" s="25">
        <f>(Table2[[#This Row],[Home Pace]]/100)*(VLOOKUP(Table2[[#This Row],[Home/Neutral]],home_lookup,8,FALSE)+VLOOKUP(Table2[[#This Row],[Home/Neutral]],OFR_lookup,2,FALSE)+VLOOKUP(Table2[[#This Row],[Visitor/Neutral]],def_diff_lookup,6,FALSE))</f>
        <v>95.192818093621227</v>
      </c>
      <c r="L555" s="25"/>
      <c r="M555" s="25">
        <f>(Table2[[#This Row],[Away Pace]]/100)*(VLOOKUP(Table2[[#This Row],[Visitor/Neutral]],OFR_lookup,2,FALSE)+VLOOKUP(Table2[[#This Row],[Home/Neutral]],def_diff_lookup,6,FALSE))</f>
        <v>101.46535466666667</v>
      </c>
      <c r="N555" s="25"/>
      <c r="O555" s="25"/>
      <c r="P555">
        <f>VLOOKUP(Table2[[#This Row],[Home/Neutral]],pace_lookup,7,FALSE)</f>
        <v>92.1</v>
      </c>
      <c r="Q555" s="5">
        <f>VLOOKUP(Table2[[#This Row],[Visitor/Neutral]],pace_lookup,7,FALSE)</f>
        <v>99.7</v>
      </c>
      <c r="R555" s="9"/>
      <c r="V555" s="2">
        <f>-home-VLOOKUP(Table2[[#This Row],[Home/Neutral]],rtg_vlookup,4,FALSE)+VLOOKUP(Table2[[#This Row],[Visitor/Neutral]],rtg_vlookup,4,FALSE)</f>
        <v>11.07488151658767</v>
      </c>
      <c r="W555" s="25"/>
      <c r="X555" s="2"/>
      <c r="Y555" s="2">
        <f>Table2[[#This Row],[Away EV]]-Table2[[#This Row],[Home EV]]</f>
        <v>6.2725365730454428</v>
      </c>
      <c r="Z555" s="33"/>
      <c r="AA555" s="34"/>
      <c r="AB555" s="5" t="b">
        <f>IF(VLOOKUP(Table2[[#This Row],[Home/Neutral]],division_lookup,9,FALSE)=VLOOKUP(Table2[[#This Row],[Visitor/Neutral]],division_lookup,9,FALSE),TRUE,FALSE)</f>
        <v>0</v>
      </c>
      <c r="AC555" s="19" t="str">
        <f>VLOOKUP(Table2[[#This Row],[Home/Neutral]],division_lookup,9,FALSE)</f>
        <v>SW</v>
      </c>
      <c r="AD555" s="19"/>
      <c r="AE555" s="19" t="str">
        <f>IF(Table2[[#This Row],[Total EV ®]]&lt;Table2[[#This Row],[Total (V)]],"UNDER","OVER")</f>
        <v>OVER</v>
      </c>
      <c r="AF555" s="30">
        <f>Table2[[#This Row],[(A) Spread]]-Table2[[#This Row],[Spread (V)]]</f>
        <v>0</v>
      </c>
      <c r="AG555" s="19"/>
      <c r="AH555" s="2">
        <f>Table2[[#This Row],[EV]]-Table2[[#This Row],[Spread (V)]]</f>
        <v>6.2725365730454428</v>
      </c>
      <c r="AI555" s="22">
        <f>Table2[[#This Row],[(A)]]-Table2[[#This Row],[Spread]]</f>
        <v>11.07488151658767</v>
      </c>
      <c r="AJ555" s="1">
        <f>Table2[[#This Row],[(A) Err]]^2</f>
        <v>122.65300060645521</v>
      </c>
      <c r="AK555" s="6">
        <f>Table2[[#This Row],[EV]]-Table2[[#This Row],[Spread]]</f>
        <v>6.2725365730454428</v>
      </c>
      <c r="AL555" s="1">
        <f>Table2[[#This Row],[EV Err]]^2</f>
        <v>39.344715060192669</v>
      </c>
    </row>
    <row r="556" spans="1:38" x14ac:dyDescent="0.25">
      <c r="A556" t="s">
        <v>115</v>
      </c>
      <c r="B556" t="s">
        <v>33</v>
      </c>
      <c r="C556" t="s">
        <v>31</v>
      </c>
      <c r="K556" s="25">
        <f>(Table2[[#This Row],[Home Pace]]/100)*(VLOOKUP(Table2[[#This Row],[Home/Neutral]],home_lookup,8,FALSE)+VLOOKUP(Table2[[#This Row],[Home/Neutral]],OFR_lookup,2,FALSE)+VLOOKUP(Table2[[#This Row],[Visitor/Neutral]],def_diff_lookup,6,FALSE))</f>
        <v>112.15403852057507</v>
      </c>
      <c r="L556" s="25"/>
      <c r="M556" s="25">
        <f>(Table2[[#This Row],[Away Pace]]/100)*(VLOOKUP(Table2[[#This Row],[Visitor/Neutral]],OFR_lookup,2,FALSE)+VLOOKUP(Table2[[#This Row],[Home/Neutral]],def_diff_lookup,6,FALSE))</f>
        <v>106.81024000000001</v>
      </c>
      <c r="N556" s="25"/>
      <c r="O556" s="25"/>
      <c r="P556">
        <f>VLOOKUP(Table2[[#This Row],[Home/Neutral]],pace_lookup,7,FALSE)</f>
        <v>98.2</v>
      </c>
      <c r="Q556" s="5">
        <f>VLOOKUP(Table2[[#This Row],[Visitor/Neutral]],pace_lookup,7,FALSE)</f>
        <v>96</v>
      </c>
      <c r="R556" s="9"/>
      <c r="V556" s="2">
        <f>-home-VLOOKUP(Table2[[#This Row],[Home/Neutral]],rtg_vlookup,4,FALSE)+VLOOKUP(Table2[[#This Row],[Visitor/Neutral]],rtg_vlookup,4,FALSE)</f>
        <v>0.27488151658766924</v>
      </c>
      <c r="W556" s="25"/>
      <c r="X556" s="2"/>
      <c r="Y556" s="2">
        <f>Table2[[#This Row],[Away EV]]-Table2[[#This Row],[Home EV]]</f>
        <v>-5.3437985205750635</v>
      </c>
      <c r="Z556" s="33"/>
      <c r="AA556" s="34"/>
      <c r="AB556" s="5" t="b">
        <f>IF(VLOOKUP(Table2[[#This Row],[Home/Neutral]],division_lookup,9,FALSE)=VLOOKUP(Table2[[#This Row],[Visitor/Neutral]],division_lookup,9,FALSE),TRUE,FALSE)</f>
        <v>0</v>
      </c>
      <c r="AC556" s="19" t="str">
        <f>VLOOKUP(Table2[[#This Row],[Home/Neutral]],division_lookup,9,FALSE)</f>
        <v>C</v>
      </c>
      <c r="AD556" s="19"/>
      <c r="AE556" s="19" t="str">
        <f>IF(Table2[[#This Row],[Total EV ®]]&lt;Table2[[#This Row],[Total (V)]],"UNDER","OVER")</f>
        <v>OVER</v>
      </c>
      <c r="AF556" s="30">
        <f>Table2[[#This Row],[(A) Spread]]-Table2[[#This Row],[Spread (V)]]</f>
        <v>0</v>
      </c>
      <c r="AG556" s="19"/>
      <c r="AH556" s="2">
        <f>Table2[[#This Row],[EV]]-Table2[[#This Row],[Spread (V)]]</f>
        <v>-5.3437985205750635</v>
      </c>
      <c r="AI556" s="22">
        <f>Table2[[#This Row],[(A)]]-Table2[[#This Row],[Spread]]</f>
        <v>0.27488151658766924</v>
      </c>
      <c r="AJ556" s="1">
        <f>Table2[[#This Row],[(A) Err]]^2</f>
        <v>7.5559848161537074E-2</v>
      </c>
      <c r="AK556" s="6">
        <f>Table2[[#This Row],[EV]]-Table2[[#This Row],[Spread]]</f>
        <v>-5.3437985205750635</v>
      </c>
      <c r="AL556" s="1">
        <f>Table2[[#This Row],[EV Err]]^2</f>
        <v>28.556182628500238</v>
      </c>
    </row>
    <row r="557" spans="1:38" x14ac:dyDescent="0.25">
      <c r="A557" t="s">
        <v>115</v>
      </c>
      <c r="B557" t="s">
        <v>22</v>
      </c>
      <c r="C557" t="s">
        <v>20</v>
      </c>
      <c r="K557" s="25">
        <f>(Table2[[#This Row],[Home Pace]]/100)*(VLOOKUP(Table2[[#This Row],[Home/Neutral]],home_lookup,8,FALSE)+VLOOKUP(Table2[[#This Row],[Home/Neutral]],OFR_lookup,2,FALSE)+VLOOKUP(Table2[[#This Row],[Visitor/Neutral]],def_diff_lookup,6,FALSE))</f>
        <v>109.54278922968977</v>
      </c>
      <c r="L557" s="25"/>
      <c r="M557" s="25">
        <f>(Table2[[#This Row],[Away Pace]]/100)*(VLOOKUP(Table2[[#This Row],[Visitor/Neutral]],OFR_lookup,2,FALSE)+VLOOKUP(Table2[[#This Row],[Home/Neutral]],def_diff_lookup,6,FALSE))</f>
        <v>100.56327600000002</v>
      </c>
      <c r="N557" s="25"/>
      <c r="O557" s="25"/>
      <c r="P557">
        <f>VLOOKUP(Table2[[#This Row],[Home/Neutral]],pace_lookup,7,FALSE)</f>
        <v>94.7</v>
      </c>
      <c r="Q557" s="5">
        <f>VLOOKUP(Table2[[#This Row],[Visitor/Neutral]],pace_lookup,7,FALSE)</f>
        <v>90.9</v>
      </c>
      <c r="R557" s="9"/>
      <c r="V557" s="2">
        <f>-home-VLOOKUP(Table2[[#This Row],[Home/Neutral]],rtg_vlookup,4,FALSE)+VLOOKUP(Table2[[#This Row],[Visitor/Neutral]],rtg_vlookup,4,FALSE)</f>
        <v>-1.8951184834123309</v>
      </c>
      <c r="W557" s="25"/>
      <c r="X557" s="2"/>
      <c r="Y557" s="2">
        <f>Table2[[#This Row],[Away EV]]-Table2[[#This Row],[Home EV]]</f>
        <v>-8.9795132296897577</v>
      </c>
      <c r="Z557" s="33"/>
      <c r="AA557" s="34"/>
      <c r="AB557" s="5" t="b">
        <f>IF(VLOOKUP(Table2[[#This Row],[Home/Neutral]],division_lookup,9,FALSE)=VLOOKUP(Table2[[#This Row],[Visitor/Neutral]],division_lookup,9,FALSE),TRUE,FALSE)</f>
        <v>1</v>
      </c>
      <c r="AC557" s="19" t="str">
        <f>VLOOKUP(Table2[[#This Row],[Home/Neutral]],division_lookup,9,FALSE)</f>
        <v>NW</v>
      </c>
      <c r="AD557" s="19"/>
      <c r="AE557" s="19" t="str">
        <f>IF(Table2[[#This Row],[Total EV ®]]&lt;Table2[[#This Row],[Total (V)]],"UNDER","OVER")</f>
        <v>OVER</v>
      </c>
      <c r="AF557" s="30">
        <f>Table2[[#This Row],[(A) Spread]]-Table2[[#This Row],[Spread (V)]]</f>
        <v>0</v>
      </c>
      <c r="AG557" s="19"/>
      <c r="AH557" s="2">
        <f>Table2[[#This Row],[EV]]-Table2[[#This Row],[Spread (V)]]</f>
        <v>-8.9795132296897577</v>
      </c>
      <c r="AI557" s="22">
        <f>Table2[[#This Row],[(A)]]-Table2[[#This Row],[Spread]]</f>
        <v>-1.8951184834123309</v>
      </c>
      <c r="AJ557" s="1">
        <f>Table2[[#This Row],[(A) Err]]^2</f>
        <v>3.5914740661710534</v>
      </c>
      <c r="AK557" s="6">
        <f>Table2[[#This Row],[EV]]-Table2[[#This Row],[Spread]]</f>
        <v>-8.9795132296897577</v>
      </c>
      <c r="AL557" s="1">
        <f>Table2[[#This Row],[EV Err]]^2</f>
        <v>80.631657842173382</v>
      </c>
    </row>
    <row r="558" spans="1:38" x14ac:dyDescent="0.25">
      <c r="A558" t="s">
        <v>115</v>
      </c>
      <c r="B558" t="s">
        <v>18</v>
      </c>
      <c r="C558" t="s">
        <v>27</v>
      </c>
      <c r="K558" s="25">
        <f>(Table2[[#This Row],[Home Pace]]/100)*(VLOOKUP(Table2[[#This Row],[Home/Neutral]],home_lookup,8,FALSE)+VLOOKUP(Table2[[#This Row],[Home/Neutral]],OFR_lookup,2,FALSE)+VLOOKUP(Table2[[#This Row],[Visitor/Neutral]],def_diff_lookup,6,FALSE))</f>
        <v>102.45735616021132</v>
      </c>
      <c r="L558" s="25"/>
      <c r="M558" s="25">
        <f>(Table2[[#This Row],[Away Pace]]/100)*(VLOOKUP(Table2[[#This Row],[Visitor/Neutral]],OFR_lookup,2,FALSE)+VLOOKUP(Table2[[#This Row],[Home/Neutral]],def_diff_lookup,6,FALSE))</f>
        <v>100.10946</v>
      </c>
      <c r="N558" s="25"/>
      <c r="O558" s="25"/>
      <c r="P558">
        <f>VLOOKUP(Table2[[#This Row],[Home/Neutral]],pace_lookup,7,FALSE)</f>
        <v>99.5</v>
      </c>
      <c r="Q558" s="5">
        <f>VLOOKUP(Table2[[#This Row],[Visitor/Neutral]],pace_lookup,7,FALSE)</f>
        <v>99</v>
      </c>
      <c r="R558" s="9"/>
      <c r="V558" s="2">
        <f>-home-VLOOKUP(Table2[[#This Row],[Home/Neutral]],rtg_vlookup,4,FALSE)+VLOOKUP(Table2[[#This Row],[Visitor/Neutral]],rtg_vlookup,4,FALSE)</f>
        <v>-5.6451184834123307</v>
      </c>
      <c r="W558" s="25"/>
      <c r="X558" s="2"/>
      <c r="Y558" s="2">
        <f>Table2[[#This Row],[Away EV]]-Table2[[#This Row],[Home EV]]</f>
        <v>-2.3478961602113202</v>
      </c>
      <c r="Z558" s="33"/>
      <c r="AA558" s="34"/>
      <c r="AB558" s="5" t="b">
        <f>IF(VLOOKUP(Table2[[#This Row],[Home/Neutral]],division_lookup,9,FALSE)=VLOOKUP(Table2[[#This Row],[Visitor/Neutral]],division_lookup,9,FALSE),TRUE,FALSE)</f>
        <v>1</v>
      </c>
      <c r="AC558" s="19" t="str">
        <f>VLOOKUP(Table2[[#This Row],[Home/Neutral]],division_lookup,9,FALSE)</f>
        <v>NW</v>
      </c>
      <c r="AD558" s="19"/>
      <c r="AE558" s="19" t="str">
        <f>IF(Table2[[#This Row],[Total EV ®]]&lt;Table2[[#This Row],[Total (V)]],"UNDER","OVER")</f>
        <v>OVER</v>
      </c>
      <c r="AF558" s="30">
        <f>Table2[[#This Row],[(A) Spread]]-Table2[[#This Row],[Spread (V)]]</f>
        <v>0</v>
      </c>
      <c r="AG558" s="19"/>
      <c r="AH558" s="2">
        <f>Table2[[#This Row],[EV]]-Table2[[#This Row],[Spread (V)]]</f>
        <v>-2.3478961602113202</v>
      </c>
      <c r="AI558" s="22">
        <f>Table2[[#This Row],[(A)]]-Table2[[#This Row],[Spread]]</f>
        <v>-5.6451184834123307</v>
      </c>
      <c r="AJ558" s="1">
        <f>Table2[[#This Row],[(A) Err]]^2</f>
        <v>31.867362691763532</v>
      </c>
      <c r="AK558" s="6">
        <f>Table2[[#This Row],[EV]]-Table2[[#This Row],[Spread]]</f>
        <v>-2.3478961602113202</v>
      </c>
      <c r="AL558" s="1">
        <f>Table2[[#This Row],[EV Err]]^2</f>
        <v>5.5126163791350615</v>
      </c>
    </row>
    <row r="559" spans="1:38" x14ac:dyDescent="0.25">
      <c r="A559" t="s">
        <v>115</v>
      </c>
      <c r="B559" t="s">
        <v>32</v>
      </c>
      <c r="C559" t="s">
        <v>25</v>
      </c>
      <c r="K559" s="25">
        <f>(Table2[[#This Row],[Home Pace]]/100)*(VLOOKUP(Table2[[#This Row],[Home/Neutral]],home_lookup,8,FALSE)+VLOOKUP(Table2[[#This Row],[Home/Neutral]],OFR_lookup,2,FALSE)+VLOOKUP(Table2[[#This Row],[Visitor/Neutral]],def_diff_lookup,6,FALSE))</f>
        <v>105.57991112001839</v>
      </c>
      <c r="L559" s="25"/>
      <c r="M559" s="25">
        <f>(Table2[[#This Row],[Away Pace]]/100)*(VLOOKUP(Table2[[#This Row],[Visitor/Neutral]],OFR_lookup,2,FALSE)+VLOOKUP(Table2[[#This Row],[Home/Neutral]],def_diff_lookup,6,FALSE))</f>
        <v>101.64110933333335</v>
      </c>
      <c r="N559" s="25"/>
      <c r="O559" s="25"/>
      <c r="P559">
        <f>VLOOKUP(Table2[[#This Row],[Home/Neutral]],pace_lookup,7,FALSE)</f>
        <v>98.6</v>
      </c>
      <c r="Q559" s="5">
        <f>VLOOKUP(Table2[[#This Row],[Visitor/Neutral]],pace_lookup,7,FALSE)</f>
        <v>94.4</v>
      </c>
      <c r="R559" s="9"/>
      <c r="V559" s="2">
        <f>-home-VLOOKUP(Table2[[#This Row],[Home/Neutral]],rtg_vlookup,4,FALSE)+VLOOKUP(Table2[[#This Row],[Visitor/Neutral]],rtg_vlookup,4,FALSE)</f>
        <v>0.14488151658766912</v>
      </c>
      <c r="W559" s="25"/>
      <c r="X559" s="2"/>
      <c r="Y559" s="2">
        <f>Table2[[#This Row],[Away EV]]-Table2[[#This Row],[Home EV]]</f>
        <v>-3.9388017866850475</v>
      </c>
      <c r="Z559" s="33"/>
      <c r="AA559" s="34"/>
      <c r="AB559" s="5" t="b">
        <f>IF(VLOOKUP(Table2[[#This Row],[Home/Neutral]],division_lookup,9,FALSE)=VLOOKUP(Table2[[#This Row],[Visitor/Neutral]],division_lookup,9,FALSE),TRUE,FALSE)</f>
        <v>0</v>
      </c>
      <c r="AC559" s="19" t="str">
        <f>VLOOKUP(Table2[[#This Row],[Home/Neutral]],division_lookup,9,FALSE)</f>
        <v>NW</v>
      </c>
      <c r="AD559" s="19"/>
      <c r="AE559" s="19" t="str">
        <f>IF(Table2[[#This Row],[Total EV ®]]&lt;Table2[[#This Row],[Total (V)]],"UNDER","OVER")</f>
        <v>OVER</v>
      </c>
      <c r="AF559" s="30">
        <f>Table2[[#This Row],[(A) Spread]]-Table2[[#This Row],[Spread (V)]]</f>
        <v>0</v>
      </c>
      <c r="AG559" s="19"/>
      <c r="AH559" s="2">
        <f>Table2[[#This Row],[EV]]-Table2[[#This Row],[Spread (V)]]</f>
        <v>-3.9388017866850475</v>
      </c>
      <c r="AI559" s="22">
        <f>Table2[[#This Row],[(A)]]-Table2[[#This Row],[Spread]]</f>
        <v>0.14488151658766912</v>
      </c>
      <c r="AJ559" s="1">
        <f>Table2[[#This Row],[(A) Err]]^2</f>
        <v>2.0990653848743043E-2</v>
      </c>
      <c r="AK559" s="6">
        <f>Table2[[#This Row],[EV]]-Table2[[#This Row],[Spread]]</f>
        <v>-3.9388017866850475</v>
      </c>
      <c r="AL559" s="1">
        <f>Table2[[#This Row],[EV Err]]^2</f>
        <v>15.514159514793322</v>
      </c>
    </row>
    <row r="560" spans="1:38" x14ac:dyDescent="0.25">
      <c r="A560" t="s">
        <v>115</v>
      </c>
      <c r="B560" t="s">
        <v>6</v>
      </c>
      <c r="C560" t="s">
        <v>16</v>
      </c>
      <c r="K560" s="25">
        <f>(Table2[[#This Row],[Home Pace]]/100)*(VLOOKUP(Table2[[#This Row],[Home/Neutral]],home_lookup,8,FALSE)+VLOOKUP(Table2[[#This Row],[Home/Neutral]],OFR_lookup,2,FALSE)+VLOOKUP(Table2[[#This Row],[Visitor/Neutral]],def_diff_lookup,6,FALSE))</f>
        <v>101.38369787062244</v>
      </c>
      <c r="L560" s="25"/>
      <c r="M560" s="25">
        <f>(Table2[[#This Row],[Away Pace]]/100)*(VLOOKUP(Table2[[#This Row],[Visitor/Neutral]],OFR_lookup,2,FALSE)+VLOOKUP(Table2[[#This Row],[Home/Neutral]],def_diff_lookup,6,FALSE))</f>
        <v>102.23915000000001</v>
      </c>
      <c r="N560" s="25"/>
      <c r="O560" s="25"/>
      <c r="P560">
        <f>VLOOKUP(Table2[[#This Row],[Home/Neutral]],pace_lookup,7,FALSE)</f>
        <v>93.1</v>
      </c>
      <c r="Q560" s="5">
        <f>VLOOKUP(Table2[[#This Row],[Visitor/Neutral]],pace_lookup,7,FALSE)</f>
        <v>97.5</v>
      </c>
      <c r="R560" s="9"/>
      <c r="V560" s="2">
        <f>-home-VLOOKUP(Table2[[#This Row],[Home/Neutral]],rtg_vlookup,4,FALSE)+VLOOKUP(Table2[[#This Row],[Visitor/Neutral]],rtg_vlookup,4,FALSE)</f>
        <v>-7.1051184834123307</v>
      </c>
      <c r="W560" s="25"/>
      <c r="X560" s="2"/>
      <c r="Y560" s="2">
        <f>Table2[[#This Row],[Away EV]]-Table2[[#This Row],[Home EV]]</f>
        <v>0.85545212937756787</v>
      </c>
      <c r="Z560" s="33"/>
      <c r="AA560" s="34"/>
      <c r="AB560" s="5" t="b">
        <f>IF(VLOOKUP(Table2[[#This Row],[Home/Neutral]],division_lookup,9,FALSE)=VLOOKUP(Table2[[#This Row],[Visitor/Neutral]],division_lookup,9,FALSE),TRUE,FALSE)</f>
        <v>0</v>
      </c>
      <c r="AC560" s="19" t="str">
        <f>VLOOKUP(Table2[[#This Row],[Home/Neutral]],division_lookup,9,FALSE)</f>
        <v>SW</v>
      </c>
      <c r="AD560" s="19"/>
      <c r="AE560" s="19" t="str">
        <f>IF(Table2[[#This Row],[Total EV ®]]&lt;Table2[[#This Row],[Total (V)]],"UNDER","OVER")</f>
        <v>OVER</v>
      </c>
      <c r="AF560" s="30">
        <f>Table2[[#This Row],[(A) Spread]]-Table2[[#This Row],[Spread (V)]]</f>
        <v>0</v>
      </c>
      <c r="AG560" s="19"/>
      <c r="AH560" s="2">
        <f>Table2[[#This Row],[EV]]-Table2[[#This Row],[Spread (V)]]</f>
        <v>0.85545212937756787</v>
      </c>
      <c r="AI560" s="22">
        <f>Table2[[#This Row],[(A)]]-Table2[[#This Row],[Spread]]</f>
        <v>-7.1051184834123307</v>
      </c>
      <c r="AJ560" s="1">
        <f>Table2[[#This Row],[(A) Err]]^2</f>
        <v>50.482708663327536</v>
      </c>
      <c r="AK560" s="6">
        <f>Table2[[#This Row],[EV]]-Table2[[#This Row],[Spread]]</f>
        <v>0.85545212937756787</v>
      </c>
      <c r="AL560" s="1">
        <f>Table2[[#This Row],[EV Err]]^2</f>
        <v>0.73179834565661517</v>
      </c>
    </row>
    <row r="561" spans="1:38" x14ac:dyDescent="0.25">
      <c r="A561" t="s">
        <v>116</v>
      </c>
      <c r="B561" t="s">
        <v>35</v>
      </c>
      <c r="C561" t="s">
        <v>39</v>
      </c>
      <c r="K561" s="25">
        <f>(Table2[[#This Row],[Home Pace]]/100)*(VLOOKUP(Table2[[#This Row],[Home/Neutral]],home_lookup,8,FALSE)+VLOOKUP(Table2[[#This Row],[Home/Neutral]],OFR_lookup,2,FALSE)+VLOOKUP(Table2[[#This Row],[Visitor/Neutral]],def_diff_lookup,6,FALSE))</f>
        <v>110.70649121209625</v>
      </c>
      <c r="L561" s="25"/>
      <c r="M561" s="25">
        <f>(Table2[[#This Row],[Away Pace]]/100)*(VLOOKUP(Table2[[#This Row],[Visitor/Neutral]],OFR_lookup,2,FALSE)+VLOOKUP(Table2[[#This Row],[Home/Neutral]],def_diff_lookup,6,FALSE))</f>
        <v>101.0399</v>
      </c>
      <c r="N561" s="25"/>
      <c r="O561" s="25"/>
      <c r="P561">
        <f>VLOOKUP(Table2[[#This Row],[Home/Neutral]],pace_lookup,7,FALSE)</f>
        <v>102.2</v>
      </c>
      <c r="Q561" s="5">
        <f>VLOOKUP(Table2[[#This Row],[Visitor/Neutral]],pace_lookup,7,FALSE)</f>
        <v>97.5</v>
      </c>
      <c r="R561" s="9"/>
      <c r="V561" s="2">
        <f>-home-VLOOKUP(Table2[[#This Row],[Home/Neutral]],rtg_vlookup,4,FALSE)+VLOOKUP(Table2[[#This Row],[Visitor/Neutral]],rtg_vlookup,4,FALSE)</f>
        <v>-5.6851184834123307</v>
      </c>
      <c r="W561" s="25"/>
      <c r="X561" s="2"/>
      <c r="Y561" s="2">
        <f>Table2[[#This Row],[Away EV]]-Table2[[#This Row],[Home EV]]</f>
        <v>-9.6665912120962503</v>
      </c>
      <c r="Z561" s="33"/>
      <c r="AA561" s="34"/>
      <c r="AB561" s="5" t="b">
        <f>IF(VLOOKUP(Table2[[#This Row],[Home/Neutral]],division_lookup,9,FALSE)=VLOOKUP(Table2[[#This Row],[Visitor/Neutral]],division_lookup,9,FALSE),TRUE,FALSE)</f>
        <v>1</v>
      </c>
      <c r="AC561" s="19" t="str">
        <f>VLOOKUP(Table2[[#This Row],[Home/Neutral]],division_lookup,9,FALSE)</f>
        <v>A</v>
      </c>
      <c r="AD561" s="19"/>
      <c r="AE561" s="19" t="str">
        <f>IF(Table2[[#This Row],[Total EV ®]]&lt;Table2[[#This Row],[Total (V)]],"UNDER","OVER")</f>
        <v>OVER</v>
      </c>
      <c r="AF561" s="30">
        <f>Table2[[#This Row],[(A) Spread]]-Table2[[#This Row],[Spread (V)]]</f>
        <v>0</v>
      </c>
      <c r="AG561" s="19"/>
      <c r="AH561" s="2">
        <f>Table2[[#This Row],[EV]]-Table2[[#This Row],[Spread (V)]]</f>
        <v>-9.6665912120962503</v>
      </c>
      <c r="AI561" s="22">
        <f>Table2[[#This Row],[(A)]]-Table2[[#This Row],[Spread]]</f>
        <v>-5.6851184834123307</v>
      </c>
      <c r="AJ561" s="1">
        <f>Table2[[#This Row],[(A) Err]]^2</f>
        <v>32.32057217043652</v>
      </c>
      <c r="AK561" s="6">
        <f>Table2[[#This Row],[EV]]-Table2[[#This Row],[Spread]]</f>
        <v>-9.6665912120962503</v>
      </c>
      <c r="AL561" s="1">
        <f>Table2[[#This Row],[EV Err]]^2</f>
        <v>93.442985661776447</v>
      </c>
    </row>
    <row r="562" spans="1:38" x14ac:dyDescent="0.25">
      <c r="A562" t="s">
        <v>116</v>
      </c>
      <c r="B562" t="s">
        <v>4</v>
      </c>
      <c r="C562" t="s">
        <v>21</v>
      </c>
      <c r="K562" s="25">
        <f>(Table2[[#This Row],[Home Pace]]/100)*(VLOOKUP(Table2[[#This Row],[Home/Neutral]],home_lookup,8,FALSE)+VLOOKUP(Table2[[#This Row],[Home/Neutral]],OFR_lookup,2,FALSE)+VLOOKUP(Table2[[#This Row],[Visitor/Neutral]],def_diff_lookup,6,FALSE))</f>
        <v>98.668927813934459</v>
      </c>
      <c r="L562" s="25"/>
      <c r="M562" s="25">
        <f>(Table2[[#This Row],[Away Pace]]/100)*(VLOOKUP(Table2[[#This Row],[Visitor/Neutral]],OFR_lookup,2,FALSE)+VLOOKUP(Table2[[#This Row],[Home/Neutral]],def_diff_lookup,6,FALSE))</f>
        <v>90.781168000000022</v>
      </c>
      <c r="N562" s="25"/>
      <c r="O562" s="25"/>
      <c r="P562">
        <f>VLOOKUP(Table2[[#This Row],[Home/Neutral]],pace_lookup,7,FALSE)</f>
        <v>96.6</v>
      </c>
      <c r="Q562" s="5">
        <f>VLOOKUP(Table2[[#This Row],[Visitor/Neutral]],pace_lookup,7,FALSE)</f>
        <v>94.2</v>
      </c>
      <c r="R562" s="9"/>
      <c r="V562" s="2">
        <f>-home-VLOOKUP(Table2[[#This Row],[Home/Neutral]],rtg_vlookup,4,FALSE)+VLOOKUP(Table2[[#This Row],[Visitor/Neutral]],rtg_vlookup,4,FALSE)</f>
        <v>-17.455118483412331</v>
      </c>
      <c r="W562" s="25"/>
      <c r="X562" s="2"/>
      <c r="Y562" s="2">
        <f>Table2[[#This Row],[Away EV]]-Table2[[#This Row],[Home EV]]</f>
        <v>-7.8877598139344371</v>
      </c>
      <c r="Z562" s="33"/>
      <c r="AA562" s="34"/>
      <c r="AB562" s="5" t="b">
        <f>IF(VLOOKUP(Table2[[#This Row],[Home/Neutral]],division_lookup,9,FALSE)=VLOOKUP(Table2[[#This Row],[Visitor/Neutral]],division_lookup,9,FALSE),TRUE,FALSE)</f>
        <v>0</v>
      </c>
      <c r="AC562" s="19" t="str">
        <f>VLOOKUP(Table2[[#This Row],[Home/Neutral]],division_lookup,9,FALSE)</f>
        <v>P</v>
      </c>
      <c r="AD562" s="19"/>
      <c r="AE562" s="19" t="str">
        <f>IF(Table2[[#This Row],[Total EV ®]]&lt;Table2[[#This Row],[Total (V)]],"UNDER","OVER")</f>
        <v>OVER</v>
      </c>
      <c r="AF562" s="30">
        <f>Table2[[#This Row],[(A) Spread]]-Table2[[#This Row],[Spread (V)]]</f>
        <v>0</v>
      </c>
      <c r="AG562" s="19"/>
      <c r="AH562" s="2">
        <f>Table2[[#This Row],[EV]]-Table2[[#This Row],[Spread (V)]]</f>
        <v>-7.8877598139344371</v>
      </c>
      <c r="AI562" s="22">
        <f>Table2[[#This Row],[(A)]]-Table2[[#This Row],[Spread]]</f>
        <v>-17.455118483412331</v>
      </c>
      <c r="AJ562" s="1">
        <f>Table2[[#This Row],[(A) Err]]^2</f>
        <v>304.68116126996279</v>
      </c>
      <c r="AK562" s="6">
        <f>Table2[[#This Row],[EV]]-Table2[[#This Row],[Spread]]</f>
        <v>-7.8877598139344371</v>
      </c>
      <c r="AL562" s="1">
        <f>Table2[[#This Row],[EV Err]]^2</f>
        <v>62.216754882319023</v>
      </c>
    </row>
    <row r="563" spans="1:38" x14ac:dyDescent="0.25">
      <c r="A563" t="s">
        <v>116</v>
      </c>
      <c r="B563" t="s">
        <v>24</v>
      </c>
      <c r="C563" t="s">
        <v>38</v>
      </c>
      <c r="K563" s="25">
        <f>(Table2[[#This Row],[Home Pace]]/100)*(VLOOKUP(Table2[[#This Row],[Home/Neutral]],home_lookup,8,FALSE)+VLOOKUP(Table2[[#This Row],[Home/Neutral]],OFR_lookup,2,FALSE)+VLOOKUP(Table2[[#This Row],[Visitor/Neutral]],def_diff_lookup,6,FALSE))</f>
        <v>110.29539432830941</v>
      </c>
      <c r="L563" s="25"/>
      <c r="M563" s="25">
        <f>(Table2[[#This Row],[Away Pace]]/100)*(VLOOKUP(Table2[[#This Row],[Visitor/Neutral]],OFR_lookup,2,FALSE)+VLOOKUP(Table2[[#This Row],[Home/Neutral]],def_diff_lookup,6,FALSE))</f>
        <v>96.744028000000014</v>
      </c>
      <c r="N563" s="25"/>
      <c r="O563" s="25"/>
      <c r="P563">
        <f>VLOOKUP(Table2[[#This Row],[Home/Neutral]],pace_lookup,7,FALSE)</f>
        <v>99.9</v>
      </c>
      <c r="Q563" s="5">
        <f>VLOOKUP(Table2[[#This Row],[Visitor/Neutral]],pace_lookup,7,FALSE)</f>
        <v>94.2</v>
      </c>
      <c r="R563" s="9"/>
      <c r="V563" s="2">
        <f>-home-VLOOKUP(Table2[[#This Row],[Home/Neutral]],rtg_vlookup,4,FALSE)+VLOOKUP(Table2[[#This Row],[Visitor/Neutral]],rtg_vlookup,4,FALSE)</f>
        <v>-11.67511848341233</v>
      </c>
      <c r="W563" s="25"/>
      <c r="X563" s="2"/>
      <c r="Y563" s="2">
        <f>Table2[[#This Row],[Away EV]]-Table2[[#This Row],[Home EV]]</f>
        <v>-13.551366328309399</v>
      </c>
      <c r="Z563" s="33"/>
      <c r="AA563" s="34"/>
      <c r="AB563" s="5" t="b">
        <f>IF(VLOOKUP(Table2[[#This Row],[Home/Neutral]],division_lookup,9,FALSE)=VLOOKUP(Table2[[#This Row],[Visitor/Neutral]],division_lookup,9,FALSE),TRUE,FALSE)</f>
        <v>0</v>
      </c>
      <c r="AC563" s="19" t="str">
        <f>VLOOKUP(Table2[[#This Row],[Home/Neutral]],division_lookup,9,FALSE)</f>
        <v>P</v>
      </c>
      <c r="AD563" s="19"/>
      <c r="AE563" s="19" t="str">
        <f>IF(Table2[[#This Row],[Total EV ®]]&lt;Table2[[#This Row],[Total (V)]],"UNDER","OVER")</f>
        <v>OVER</v>
      </c>
      <c r="AF563" s="30">
        <f>Table2[[#This Row],[(A) Spread]]-Table2[[#This Row],[Spread (V)]]</f>
        <v>0</v>
      </c>
      <c r="AG563" s="19"/>
      <c r="AH563" s="2">
        <f>Table2[[#This Row],[EV]]-Table2[[#This Row],[Spread (V)]]</f>
        <v>-13.551366328309399</v>
      </c>
      <c r="AI563" s="22">
        <f>Table2[[#This Row],[(A)]]-Table2[[#This Row],[Spread]]</f>
        <v>-11.67511848341233</v>
      </c>
      <c r="AJ563" s="1">
        <f>Table2[[#This Row],[(A) Err]]^2</f>
        <v>136.30839160171624</v>
      </c>
      <c r="AK563" s="6">
        <f>Table2[[#This Row],[EV]]-Table2[[#This Row],[Spread]]</f>
        <v>-13.551366328309399</v>
      </c>
      <c r="AL563" s="1">
        <f>Table2[[#This Row],[EV Err]]^2</f>
        <v>183.63952936403777</v>
      </c>
    </row>
    <row r="564" spans="1:38" x14ac:dyDescent="0.25">
      <c r="A564" t="s">
        <v>116</v>
      </c>
      <c r="B564" t="s">
        <v>23</v>
      </c>
      <c r="C564" t="s">
        <v>20</v>
      </c>
      <c r="K564" s="25">
        <f>(Table2[[#This Row],[Home Pace]]/100)*(VLOOKUP(Table2[[#This Row],[Home/Neutral]],home_lookup,8,FALSE)+VLOOKUP(Table2[[#This Row],[Home/Neutral]],OFR_lookup,2,FALSE)+VLOOKUP(Table2[[#This Row],[Visitor/Neutral]],def_diff_lookup,6,FALSE))</f>
        <v>100.5838873587136</v>
      </c>
      <c r="L564" s="25"/>
      <c r="M564" s="25">
        <f>(Table2[[#This Row],[Away Pace]]/100)*(VLOOKUP(Table2[[#This Row],[Visitor/Neutral]],OFR_lookup,2,FALSE)+VLOOKUP(Table2[[#This Row],[Home/Neutral]],def_diff_lookup,6,FALSE))</f>
        <v>92.918586000000019</v>
      </c>
      <c r="N564" s="25"/>
      <c r="O564" s="25"/>
      <c r="P564">
        <f>VLOOKUP(Table2[[#This Row],[Home/Neutral]],pace_lookup,7,FALSE)</f>
        <v>92.5</v>
      </c>
      <c r="Q564" s="5">
        <f>VLOOKUP(Table2[[#This Row],[Visitor/Neutral]],pace_lookup,7,FALSE)</f>
        <v>90.9</v>
      </c>
      <c r="R564" s="9"/>
      <c r="V564" s="2">
        <f>-home-VLOOKUP(Table2[[#This Row],[Home/Neutral]],rtg_vlookup,4,FALSE)+VLOOKUP(Table2[[#This Row],[Visitor/Neutral]],rtg_vlookup,4,FALSE)</f>
        <v>-3.3851184834123309</v>
      </c>
      <c r="W564" s="25"/>
      <c r="X564" s="2"/>
      <c r="Y564" s="2">
        <f>Table2[[#This Row],[Away EV]]-Table2[[#This Row],[Home EV]]</f>
        <v>-7.6653013587135774</v>
      </c>
      <c r="Z564" s="33"/>
      <c r="AA564" s="34"/>
      <c r="AB564" s="5" t="b">
        <f>IF(VLOOKUP(Table2[[#This Row],[Home/Neutral]],division_lookup,9,FALSE)=VLOOKUP(Table2[[#This Row],[Visitor/Neutral]],division_lookup,9,FALSE),TRUE,FALSE)</f>
        <v>0</v>
      </c>
      <c r="AC564" s="19" t="str">
        <f>VLOOKUP(Table2[[#This Row],[Home/Neutral]],division_lookup,9,FALSE)</f>
        <v>SW</v>
      </c>
      <c r="AD564" s="19"/>
      <c r="AE564" s="19" t="str">
        <f>IF(Table2[[#This Row],[Total EV ®]]&lt;Table2[[#This Row],[Total (V)]],"UNDER","OVER")</f>
        <v>OVER</v>
      </c>
      <c r="AF564" s="30">
        <f>Table2[[#This Row],[(A) Spread]]-Table2[[#This Row],[Spread (V)]]</f>
        <v>0</v>
      </c>
      <c r="AG564" s="19"/>
      <c r="AH564" s="2">
        <f>Table2[[#This Row],[EV]]-Table2[[#This Row],[Spread (V)]]</f>
        <v>-7.6653013587135774</v>
      </c>
      <c r="AI564" s="22">
        <f>Table2[[#This Row],[(A)]]-Table2[[#This Row],[Spread]]</f>
        <v>-3.3851184834123309</v>
      </c>
      <c r="AJ564" s="1">
        <f>Table2[[#This Row],[(A) Err]]^2</f>
        <v>11.4590271467398</v>
      </c>
      <c r="AK564" s="6">
        <f>Table2[[#This Row],[EV]]-Table2[[#This Row],[Spread]]</f>
        <v>-7.6653013587135774</v>
      </c>
      <c r="AL564" s="1">
        <f>Table2[[#This Row],[EV Err]]^2</f>
        <v>58.756844919896217</v>
      </c>
    </row>
    <row r="565" spans="1:38" x14ac:dyDescent="0.25">
      <c r="A565" t="s">
        <v>116</v>
      </c>
      <c r="B565" t="s">
        <v>30</v>
      </c>
      <c r="C565" t="s">
        <v>28</v>
      </c>
      <c r="K565" s="25">
        <f>(Table2[[#This Row],[Home Pace]]/100)*(VLOOKUP(Table2[[#This Row],[Home/Neutral]],home_lookup,8,FALSE)+VLOOKUP(Table2[[#This Row],[Home/Neutral]],OFR_lookup,2,FALSE)+VLOOKUP(Table2[[#This Row],[Visitor/Neutral]],def_diff_lookup,6,FALSE))</f>
        <v>110.99696034993644</v>
      </c>
      <c r="L565" s="25"/>
      <c r="M565" s="25">
        <f>(Table2[[#This Row],[Away Pace]]/100)*(VLOOKUP(Table2[[#This Row],[Visitor/Neutral]],OFR_lookup,2,FALSE)+VLOOKUP(Table2[[#This Row],[Home/Neutral]],def_diff_lookup,6,FALSE))</f>
        <v>105.26617200000001</v>
      </c>
      <c r="N565" s="25"/>
      <c r="O565" s="25"/>
      <c r="P565">
        <f>VLOOKUP(Table2[[#This Row],[Home/Neutral]],pace_lookup,7,FALSE)</f>
        <v>96.8</v>
      </c>
      <c r="Q565" s="5">
        <f>VLOOKUP(Table2[[#This Row],[Visitor/Neutral]],pace_lookup,7,FALSE)</f>
        <v>96.3</v>
      </c>
      <c r="R565" s="9"/>
      <c r="V565" s="2">
        <f>-home-VLOOKUP(Table2[[#This Row],[Home/Neutral]],rtg_vlookup,4,FALSE)+VLOOKUP(Table2[[#This Row],[Visitor/Neutral]],rtg_vlookup,4,FALSE)</f>
        <v>-2.1251184834123311</v>
      </c>
      <c r="W565" s="25"/>
      <c r="X565" s="2"/>
      <c r="Y565" s="2">
        <f>Table2[[#This Row],[Away EV]]-Table2[[#This Row],[Home EV]]</f>
        <v>-5.7307883499364323</v>
      </c>
      <c r="Z565" s="33"/>
      <c r="AA565" s="34"/>
      <c r="AB565" s="5" t="b">
        <f>IF(VLOOKUP(Table2[[#This Row],[Home/Neutral]],division_lookup,9,FALSE)=VLOOKUP(Table2[[#This Row],[Visitor/Neutral]],division_lookup,9,FALSE),TRUE,FALSE)</f>
        <v>0</v>
      </c>
      <c r="AC565" s="19" t="str">
        <f>VLOOKUP(Table2[[#This Row],[Home/Neutral]],division_lookup,9,FALSE)</f>
        <v>C</v>
      </c>
      <c r="AD565" s="19"/>
      <c r="AE565" s="19" t="str">
        <f>IF(Table2[[#This Row],[Total EV ®]]&lt;Table2[[#This Row],[Total (V)]],"UNDER","OVER")</f>
        <v>OVER</v>
      </c>
      <c r="AF565" s="30">
        <f>Table2[[#This Row],[(A) Spread]]-Table2[[#This Row],[Spread (V)]]</f>
        <v>0</v>
      </c>
      <c r="AG565" s="19"/>
      <c r="AH565" s="2">
        <f>Table2[[#This Row],[EV]]-Table2[[#This Row],[Spread (V)]]</f>
        <v>-5.7307883499364323</v>
      </c>
      <c r="AI565" s="22">
        <f>Table2[[#This Row],[(A)]]-Table2[[#This Row],[Spread]]</f>
        <v>-2.1251184834123311</v>
      </c>
      <c r="AJ565" s="1">
        <f>Table2[[#This Row],[(A) Err]]^2</f>
        <v>4.5161285685407266</v>
      </c>
      <c r="AK565" s="6">
        <f>Table2[[#This Row],[EV]]-Table2[[#This Row],[Spread]]</f>
        <v>-5.7307883499364323</v>
      </c>
      <c r="AL565" s="1">
        <f>Table2[[#This Row],[EV Err]]^2</f>
        <v>32.841935111767135</v>
      </c>
    </row>
    <row r="566" spans="1:38" x14ac:dyDescent="0.25">
      <c r="A566" t="s">
        <v>116</v>
      </c>
      <c r="B566" t="s">
        <v>36</v>
      </c>
      <c r="C566" t="s">
        <v>8</v>
      </c>
      <c r="K566" s="25">
        <f>(Table2[[#This Row],[Home Pace]]/100)*(VLOOKUP(Table2[[#This Row],[Home/Neutral]],home_lookup,8,FALSE)+VLOOKUP(Table2[[#This Row],[Home/Neutral]],OFR_lookup,2,FALSE)+VLOOKUP(Table2[[#This Row],[Visitor/Neutral]],def_diff_lookup,6,FALSE))</f>
        <v>105.46905156604043</v>
      </c>
      <c r="L566" s="25"/>
      <c r="M566" s="25">
        <f>(Table2[[#This Row],[Away Pace]]/100)*(VLOOKUP(Table2[[#This Row],[Visitor/Neutral]],OFR_lookup,2,FALSE)+VLOOKUP(Table2[[#This Row],[Home/Neutral]],def_diff_lookup,6,FALSE))</f>
        <v>110.847528</v>
      </c>
      <c r="N566" s="25"/>
      <c r="O566" s="25"/>
      <c r="P566">
        <f>VLOOKUP(Table2[[#This Row],[Home/Neutral]],pace_lookup,7,FALSE)</f>
        <v>102.2</v>
      </c>
      <c r="Q566" s="5">
        <f>VLOOKUP(Table2[[#This Row],[Visitor/Neutral]],pace_lookup,7,FALSE)</f>
        <v>97.2</v>
      </c>
      <c r="R566" s="9"/>
      <c r="V566" s="2">
        <f>-home-VLOOKUP(Table2[[#This Row],[Home/Neutral]],rtg_vlookup,4,FALSE)+VLOOKUP(Table2[[#This Row],[Visitor/Neutral]],rtg_vlookup,4,FALSE)</f>
        <v>10.33488151658767</v>
      </c>
      <c r="W566" s="25"/>
      <c r="X566" s="2"/>
      <c r="Y566" s="2">
        <f>Table2[[#This Row],[Away EV]]-Table2[[#This Row],[Home EV]]</f>
        <v>5.3784764339595625</v>
      </c>
      <c r="Z566" s="33"/>
      <c r="AA566" s="34"/>
      <c r="AB566" s="5" t="b">
        <f>IF(VLOOKUP(Table2[[#This Row],[Home/Neutral]],division_lookup,9,FALSE)=VLOOKUP(Table2[[#This Row],[Visitor/Neutral]],division_lookup,9,FALSE),TRUE,FALSE)</f>
        <v>0</v>
      </c>
      <c r="AC566" s="19" t="str">
        <f>VLOOKUP(Table2[[#This Row],[Home/Neutral]],division_lookup,9,FALSE)</f>
        <v>P</v>
      </c>
      <c r="AD566" s="19"/>
      <c r="AE566" s="19" t="str">
        <f>IF(Table2[[#This Row],[Total EV ®]]&lt;Table2[[#This Row],[Total (V)]],"UNDER","OVER")</f>
        <v>OVER</v>
      </c>
      <c r="AF566" s="30">
        <f>Table2[[#This Row],[(A) Spread]]-Table2[[#This Row],[Spread (V)]]</f>
        <v>0</v>
      </c>
      <c r="AG566" s="19"/>
      <c r="AH566" s="2">
        <f>Table2[[#This Row],[EV]]-Table2[[#This Row],[Spread (V)]]</f>
        <v>5.3784764339595625</v>
      </c>
      <c r="AI566" s="22">
        <f>Table2[[#This Row],[(A)]]-Table2[[#This Row],[Spread]]</f>
        <v>10.33488151658767</v>
      </c>
      <c r="AJ566" s="1">
        <f>Table2[[#This Row],[(A) Err]]^2</f>
        <v>106.80977596190546</v>
      </c>
      <c r="AK566" s="6">
        <f>Table2[[#This Row],[EV]]-Table2[[#This Row],[Spread]]</f>
        <v>5.3784764339595625</v>
      </c>
      <c r="AL566" s="1">
        <f>Table2[[#This Row],[EV Err]]^2</f>
        <v>28.928008750658371</v>
      </c>
    </row>
    <row r="567" spans="1:38" x14ac:dyDescent="0.25">
      <c r="A567" t="s">
        <v>116</v>
      </c>
      <c r="B567" t="s">
        <v>29</v>
      </c>
      <c r="C567" t="s">
        <v>10</v>
      </c>
      <c r="K567" s="25">
        <f>(Table2[[#This Row],[Home Pace]]/100)*(VLOOKUP(Table2[[#This Row],[Home/Neutral]],home_lookup,8,FALSE)+VLOOKUP(Table2[[#This Row],[Home/Neutral]],OFR_lookup,2,FALSE)+VLOOKUP(Table2[[#This Row],[Visitor/Neutral]],def_diff_lookup,6,FALSE))</f>
        <v>110.43374926898522</v>
      </c>
      <c r="L567" s="25"/>
      <c r="M567" s="25">
        <f>(Table2[[#This Row],[Away Pace]]/100)*(VLOOKUP(Table2[[#This Row],[Visitor/Neutral]],OFR_lookup,2,FALSE)+VLOOKUP(Table2[[#This Row],[Home/Neutral]],def_diff_lookup,6,FALSE))</f>
        <v>120.03970866666666</v>
      </c>
      <c r="N567" s="25"/>
      <c r="O567" s="25"/>
      <c r="P567">
        <f>VLOOKUP(Table2[[#This Row],[Home/Neutral]],pace_lookup,7,FALSE)</f>
        <v>93.8</v>
      </c>
      <c r="Q567" s="5">
        <f>VLOOKUP(Table2[[#This Row],[Visitor/Neutral]],pace_lookup,7,FALSE)</f>
        <v>100.3</v>
      </c>
      <c r="R567" s="9"/>
      <c r="V567" s="2">
        <f>-home-VLOOKUP(Table2[[#This Row],[Home/Neutral]],rtg_vlookup,4,FALSE)+VLOOKUP(Table2[[#This Row],[Visitor/Neutral]],rtg_vlookup,4,FALSE)</f>
        <v>8.0448815165876688</v>
      </c>
      <c r="W567" s="25"/>
      <c r="X567" s="2"/>
      <c r="Y567" s="2">
        <f>Table2[[#This Row],[Away EV]]-Table2[[#This Row],[Home EV]]</f>
        <v>9.6059593976814313</v>
      </c>
      <c r="Z567" s="33"/>
      <c r="AA567" s="34"/>
      <c r="AB567" s="5" t="b">
        <f>IF(VLOOKUP(Table2[[#This Row],[Home/Neutral]],division_lookup,9,FALSE)=VLOOKUP(Table2[[#This Row],[Visitor/Neutral]],division_lookup,9,FALSE),TRUE,FALSE)</f>
        <v>1</v>
      </c>
      <c r="AC567" s="19" t="str">
        <f>VLOOKUP(Table2[[#This Row],[Home/Neutral]],division_lookup,9,FALSE)</f>
        <v>P</v>
      </c>
      <c r="AD567" s="19"/>
      <c r="AE567" s="19" t="str">
        <f>IF(Table2[[#This Row],[Total EV ®]]&lt;Table2[[#This Row],[Total (V)]],"UNDER","OVER")</f>
        <v>OVER</v>
      </c>
      <c r="AF567" s="30">
        <f>Table2[[#This Row],[(A) Spread]]-Table2[[#This Row],[Spread (V)]]</f>
        <v>0</v>
      </c>
      <c r="AG567" s="19"/>
      <c r="AH567" s="2">
        <f>Table2[[#This Row],[EV]]-Table2[[#This Row],[Spread (V)]]</f>
        <v>9.6059593976814313</v>
      </c>
      <c r="AI567" s="22">
        <f>Table2[[#This Row],[(A)]]-Table2[[#This Row],[Spread]]</f>
        <v>8.0448815165876688</v>
      </c>
      <c r="AJ567" s="1">
        <f>Table2[[#This Row],[(A) Err]]^2</f>
        <v>64.720118615933913</v>
      </c>
      <c r="AK567" s="6">
        <f>Table2[[#This Row],[EV]]-Table2[[#This Row],[Spread]]</f>
        <v>9.6059593976814313</v>
      </c>
      <c r="AL567" s="1">
        <f>Table2[[#This Row],[EV Err]]^2</f>
        <v>92.274455949904208</v>
      </c>
    </row>
    <row r="568" spans="1:38" x14ac:dyDescent="0.25">
      <c r="A568" t="s">
        <v>116</v>
      </c>
      <c r="B568" t="s">
        <v>14</v>
      </c>
      <c r="C568" t="s">
        <v>17</v>
      </c>
      <c r="K568" s="25">
        <f>(Table2[[#This Row],[Home Pace]]/100)*(VLOOKUP(Table2[[#This Row],[Home/Neutral]],home_lookup,8,FALSE)+VLOOKUP(Table2[[#This Row],[Home/Neutral]],OFR_lookup,2,FALSE)+VLOOKUP(Table2[[#This Row],[Visitor/Neutral]],def_diff_lookup,6,FALSE))</f>
        <v>110.31330414241451</v>
      </c>
      <c r="L568" s="25"/>
      <c r="M568" s="25">
        <f>(Table2[[#This Row],[Away Pace]]/100)*(VLOOKUP(Table2[[#This Row],[Visitor/Neutral]],OFR_lookup,2,FALSE)+VLOOKUP(Table2[[#This Row],[Home/Neutral]],def_diff_lookup,6,FALSE))</f>
        <v>111.90188466666669</v>
      </c>
      <c r="N568" s="25"/>
      <c r="O568" s="25"/>
      <c r="P568">
        <f>VLOOKUP(Table2[[#This Row],[Home/Neutral]],pace_lookup,7,FALSE)</f>
        <v>95.9</v>
      </c>
      <c r="Q568" s="5">
        <f>VLOOKUP(Table2[[#This Row],[Visitor/Neutral]],pace_lookup,7,FALSE)</f>
        <v>96.7</v>
      </c>
      <c r="R568" s="9"/>
      <c r="V568" s="2">
        <f>-home-VLOOKUP(Table2[[#This Row],[Home/Neutral]],rtg_vlookup,4,FALSE)+VLOOKUP(Table2[[#This Row],[Visitor/Neutral]],rtg_vlookup,4,FALSE)</f>
        <v>-3.4551184834123303</v>
      </c>
      <c r="W568" s="25"/>
      <c r="X568" s="2"/>
      <c r="Y568" s="2">
        <f>Table2[[#This Row],[Away EV]]-Table2[[#This Row],[Home EV]]</f>
        <v>1.5885805242521798</v>
      </c>
      <c r="Z568" s="33"/>
      <c r="AA568" s="34"/>
      <c r="AB568" s="5" t="b">
        <f>IF(VLOOKUP(Table2[[#This Row],[Home/Neutral]],division_lookup,9,FALSE)=VLOOKUP(Table2[[#This Row],[Visitor/Neutral]],division_lookup,9,FALSE),TRUE,FALSE)</f>
        <v>0</v>
      </c>
      <c r="AC568" s="19" t="str">
        <f>VLOOKUP(Table2[[#This Row],[Home/Neutral]],division_lookup,9,FALSE)</f>
        <v>A</v>
      </c>
      <c r="AD568" s="19"/>
      <c r="AE568" s="19" t="str">
        <f>IF(Table2[[#This Row],[Total EV ®]]&lt;Table2[[#This Row],[Total (V)]],"UNDER","OVER")</f>
        <v>OVER</v>
      </c>
      <c r="AF568" s="30">
        <f>Table2[[#This Row],[(A) Spread]]-Table2[[#This Row],[Spread (V)]]</f>
        <v>0</v>
      </c>
      <c r="AG568" s="19"/>
      <c r="AH568" s="2">
        <f>Table2[[#This Row],[EV]]-Table2[[#This Row],[Spread (V)]]</f>
        <v>1.5885805242521798</v>
      </c>
      <c r="AI568" s="22">
        <f>Table2[[#This Row],[(A)]]-Table2[[#This Row],[Spread]]</f>
        <v>-3.4551184834123303</v>
      </c>
      <c r="AJ568" s="1">
        <f>Table2[[#This Row],[(A) Err]]^2</f>
        <v>11.937843734417521</v>
      </c>
      <c r="AK568" s="6">
        <f>Table2[[#This Row],[EV]]-Table2[[#This Row],[Spread]]</f>
        <v>1.5885805242521798</v>
      </c>
      <c r="AL568" s="1">
        <f>Table2[[#This Row],[EV Err]]^2</f>
        <v>2.5235880820333305</v>
      </c>
    </row>
    <row r="569" spans="1:38" x14ac:dyDescent="0.25">
      <c r="A569" t="s">
        <v>117</v>
      </c>
      <c r="B569" t="s">
        <v>13</v>
      </c>
      <c r="C569" t="s">
        <v>18</v>
      </c>
      <c r="K569" s="25">
        <f>(Table2[[#This Row],[Home Pace]]/100)*(VLOOKUP(Table2[[#This Row],[Home/Neutral]],home_lookup,8,FALSE)+VLOOKUP(Table2[[#This Row],[Home/Neutral]],OFR_lookup,2,FALSE)+VLOOKUP(Table2[[#This Row],[Visitor/Neutral]],def_diff_lookup,6,FALSE))</f>
        <v>101.442041084504</v>
      </c>
      <c r="L569" s="25"/>
      <c r="M569" s="25">
        <f>(Table2[[#This Row],[Away Pace]]/100)*(VLOOKUP(Table2[[#This Row],[Visitor/Neutral]],OFR_lookup,2,FALSE)+VLOOKUP(Table2[[#This Row],[Home/Neutral]],def_diff_lookup,6,FALSE))</f>
        <v>103.25181333333335</v>
      </c>
      <c r="N569" s="25"/>
      <c r="O569" s="25"/>
      <c r="P569">
        <f>VLOOKUP(Table2[[#This Row],[Home/Neutral]],pace_lookup,7,FALSE)</f>
        <v>94.5</v>
      </c>
      <c r="Q569" s="5">
        <f>VLOOKUP(Table2[[#This Row],[Visitor/Neutral]],pace_lookup,7,FALSE)</f>
        <v>99.5</v>
      </c>
      <c r="R569" s="9"/>
      <c r="V569" s="2">
        <f>-home-VLOOKUP(Table2[[#This Row],[Home/Neutral]],rtg_vlookup,4,FALSE)+VLOOKUP(Table2[[#This Row],[Visitor/Neutral]],rtg_vlookup,4,FALSE)</f>
        <v>-6.0351184834123313</v>
      </c>
      <c r="W569" s="25"/>
      <c r="X569" s="2"/>
      <c r="Y569" s="2">
        <f>Table2[[#This Row],[Away EV]]-Table2[[#This Row],[Home EV]]</f>
        <v>1.8097722488293471</v>
      </c>
      <c r="Z569" s="33"/>
      <c r="AA569" s="34"/>
      <c r="AB569" s="5" t="b">
        <f>IF(VLOOKUP(Table2[[#This Row],[Home/Neutral]],division_lookup,9,FALSE)=VLOOKUP(Table2[[#This Row],[Visitor/Neutral]],division_lookup,9,FALSE),TRUE,FALSE)</f>
        <v>0</v>
      </c>
      <c r="AC569" s="19" t="str">
        <f>VLOOKUP(Table2[[#This Row],[Home/Neutral]],division_lookup,9,FALSE)</f>
        <v>C</v>
      </c>
      <c r="AD569" s="19"/>
      <c r="AE569" s="19" t="str">
        <f>IF(Table2[[#This Row],[Total EV ®]]&lt;Table2[[#This Row],[Total (V)]],"UNDER","OVER")</f>
        <v>OVER</v>
      </c>
      <c r="AF569" s="30">
        <f>Table2[[#This Row],[(A) Spread]]-Table2[[#This Row],[Spread (V)]]</f>
        <v>0</v>
      </c>
      <c r="AG569" s="19"/>
      <c r="AH569" s="2">
        <f>Table2[[#This Row],[EV]]-Table2[[#This Row],[Spread (V)]]</f>
        <v>1.8097722488293471</v>
      </c>
      <c r="AI569" s="22">
        <f>Table2[[#This Row],[(A)]]-Table2[[#This Row],[Spread]]</f>
        <v>-6.0351184834123313</v>
      </c>
      <c r="AJ569" s="1">
        <f>Table2[[#This Row],[(A) Err]]^2</f>
        <v>36.422655108825154</v>
      </c>
      <c r="AK569" s="6">
        <f>Table2[[#This Row],[EV]]-Table2[[#This Row],[Spread]]</f>
        <v>1.8097722488293471</v>
      </c>
      <c r="AL569" s="1">
        <f>Table2[[#This Row],[EV Err]]^2</f>
        <v>3.2752755926328323</v>
      </c>
    </row>
    <row r="570" spans="1:38" x14ac:dyDescent="0.25">
      <c r="A570" t="s">
        <v>117</v>
      </c>
      <c r="B570" t="s">
        <v>22</v>
      </c>
      <c r="C570" t="s">
        <v>37</v>
      </c>
      <c r="K570" s="25">
        <f>(Table2[[#This Row],[Home Pace]]/100)*(VLOOKUP(Table2[[#This Row],[Home/Neutral]],home_lookup,8,FALSE)+VLOOKUP(Table2[[#This Row],[Home/Neutral]],OFR_lookup,2,FALSE)+VLOOKUP(Table2[[#This Row],[Visitor/Neutral]],def_diff_lookup,6,FALSE))</f>
        <v>108.02758922968977</v>
      </c>
      <c r="L570" s="25"/>
      <c r="M570" s="25">
        <f>(Table2[[#This Row],[Away Pace]]/100)*(VLOOKUP(Table2[[#This Row],[Visitor/Neutral]],OFR_lookup,2,FALSE)+VLOOKUP(Table2[[#This Row],[Home/Neutral]],def_diff_lookup,6,FALSE))</f>
        <v>91.907204000000007</v>
      </c>
      <c r="N570" s="25"/>
      <c r="O570" s="25"/>
      <c r="P570">
        <f>VLOOKUP(Table2[[#This Row],[Home/Neutral]],pace_lookup,7,FALSE)</f>
        <v>94.7</v>
      </c>
      <c r="Q570" s="5">
        <f>VLOOKUP(Table2[[#This Row],[Visitor/Neutral]],pace_lookup,7,FALSE)</f>
        <v>92.1</v>
      </c>
      <c r="R570" s="9"/>
      <c r="V570" s="2">
        <f>-home-VLOOKUP(Table2[[#This Row],[Home/Neutral]],rtg_vlookup,4,FALSE)+VLOOKUP(Table2[[#This Row],[Visitor/Neutral]],rtg_vlookup,4,FALSE)</f>
        <v>-11.115118483412331</v>
      </c>
      <c r="W570" s="25"/>
      <c r="X570" s="2"/>
      <c r="Y570" s="2">
        <f>Table2[[#This Row],[Away EV]]-Table2[[#This Row],[Home EV]]</f>
        <v>-16.120385229689759</v>
      </c>
      <c r="Z570" s="33"/>
      <c r="AA570" s="34"/>
      <c r="AB570" s="5" t="b">
        <f>IF(VLOOKUP(Table2[[#This Row],[Home/Neutral]],division_lookup,9,FALSE)=VLOOKUP(Table2[[#This Row],[Visitor/Neutral]],division_lookup,9,FALSE),TRUE,FALSE)</f>
        <v>0</v>
      </c>
      <c r="AC570" s="19" t="str">
        <f>VLOOKUP(Table2[[#This Row],[Home/Neutral]],division_lookup,9,FALSE)</f>
        <v>NW</v>
      </c>
      <c r="AD570" s="19"/>
      <c r="AE570" s="19" t="str">
        <f>IF(Table2[[#This Row],[Total EV ®]]&lt;Table2[[#This Row],[Total (V)]],"UNDER","OVER")</f>
        <v>OVER</v>
      </c>
      <c r="AF570" s="30">
        <f>Table2[[#This Row],[(A) Spread]]-Table2[[#This Row],[Spread (V)]]</f>
        <v>0</v>
      </c>
      <c r="AG570" s="19"/>
      <c r="AH570" s="2">
        <f>Table2[[#This Row],[EV]]-Table2[[#This Row],[Spread (V)]]</f>
        <v>-16.120385229689759</v>
      </c>
      <c r="AI570" s="22">
        <f>Table2[[#This Row],[(A)]]-Table2[[#This Row],[Spread]]</f>
        <v>-11.115118483412331</v>
      </c>
      <c r="AJ570" s="1">
        <f>Table2[[#This Row],[(A) Err]]^2</f>
        <v>123.54585890029445</v>
      </c>
      <c r="AK570" s="6">
        <f>Table2[[#This Row],[EV]]-Table2[[#This Row],[Spread]]</f>
        <v>-16.120385229689759</v>
      </c>
      <c r="AL570" s="1">
        <f>Table2[[#This Row],[EV Err]]^2</f>
        <v>259.86681995359976</v>
      </c>
    </row>
    <row r="571" spans="1:38" x14ac:dyDescent="0.25">
      <c r="A571" t="s">
        <v>117</v>
      </c>
      <c r="B571" t="s">
        <v>31</v>
      </c>
      <c r="C571" t="s">
        <v>34</v>
      </c>
      <c r="K571" s="25">
        <f>(Table2[[#This Row],[Home Pace]]/100)*(VLOOKUP(Table2[[#This Row],[Home/Neutral]],home_lookup,8,FALSE)+VLOOKUP(Table2[[#This Row],[Home/Neutral]],OFR_lookup,2,FALSE)+VLOOKUP(Table2[[#This Row],[Visitor/Neutral]],def_diff_lookup,6,FALSE))</f>
        <v>110.1021743021789</v>
      </c>
      <c r="L571" s="25"/>
      <c r="M571" s="25">
        <f>(Table2[[#This Row],[Away Pace]]/100)*(VLOOKUP(Table2[[#This Row],[Visitor/Neutral]],OFR_lookup,2,FALSE)+VLOOKUP(Table2[[#This Row],[Home/Neutral]],def_diff_lookup,6,FALSE))</f>
        <v>104.47177866666667</v>
      </c>
      <c r="N571" s="25"/>
      <c r="O571" s="25"/>
      <c r="P571">
        <f>VLOOKUP(Table2[[#This Row],[Home/Neutral]],pace_lookup,7,FALSE)</f>
        <v>96</v>
      </c>
      <c r="Q571" s="5">
        <f>VLOOKUP(Table2[[#This Row],[Visitor/Neutral]],pace_lookup,7,FALSE)</f>
        <v>98.8</v>
      </c>
      <c r="R571" s="9"/>
      <c r="V571" s="2">
        <f>-home-VLOOKUP(Table2[[#This Row],[Home/Neutral]],rtg_vlookup,4,FALSE)+VLOOKUP(Table2[[#This Row],[Visitor/Neutral]],rtg_vlookup,4,FALSE)</f>
        <v>-5.5151184834123308</v>
      </c>
      <c r="W571" s="25"/>
      <c r="X571" s="2"/>
      <c r="Y571" s="2">
        <f>Table2[[#This Row],[Away EV]]-Table2[[#This Row],[Home EV]]</f>
        <v>-5.6303956355122295</v>
      </c>
      <c r="Z571" s="33"/>
      <c r="AA571" s="34"/>
      <c r="AB571" s="5" t="b">
        <f>IF(VLOOKUP(Table2[[#This Row],[Home/Neutral]],division_lookup,9,FALSE)=VLOOKUP(Table2[[#This Row],[Visitor/Neutral]],division_lookup,9,FALSE),TRUE,FALSE)</f>
        <v>0</v>
      </c>
      <c r="AC571" s="19" t="str">
        <f>VLOOKUP(Table2[[#This Row],[Home/Neutral]],division_lookup,9,FALSE)</f>
        <v>A</v>
      </c>
      <c r="AD571" s="19"/>
      <c r="AE571" s="19" t="str">
        <f>IF(Table2[[#This Row],[Total EV ®]]&lt;Table2[[#This Row],[Total (V)]],"UNDER","OVER")</f>
        <v>OVER</v>
      </c>
      <c r="AF571" s="30">
        <f>Table2[[#This Row],[(A) Spread]]-Table2[[#This Row],[Spread (V)]]</f>
        <v>0</v>
      </c>
      <c r="AG571" s="19"/>
      <c r="AH571" s="2">
        <f>Table2[[#This Row],[EV]]-Table2[[#This Row],[Spread (V)]]</f>
        <v>-5.6303956355122295</v>
      </c>
      <c r="AI571" s="22">
        <f>Table2[[#This Row],[(A)]]-Table2[[#This Row],[Spread]]</f>
        <v>-5.5151184834123308</v>
      </c>
      <c r="AJ571" s="1">
        <f>Table2[[#This Row],[(A) Err]]^2</f>
        <v>30.416531886076328</v>
      </c>
      <c r="AK571" s="6">
        <f>Table2[[#This Row],[EV]]-Table2[[#This Row],[Spread]]</f>
        <v>-5.6303956355122295</v>
      </c>
      <c r="AL571" s="1">
        <f>Table2[[#This Row],[EV Err]]^2</f>
        <v>31.701355012395162</v>
      </c>
    </row>
    <row r="572" spans="1:38" x14ac:dyDescent="0.25">
      <c r="A572" t="s">
        <v>118</v>
      </c>
      <c r="B572" t="s">
        <v>35</v>
      </c>
      <c r="C572" t="s">
        <v>11</v>
      </c>
      <c r="K572" s="25">
        <f>(Table2[[#This Row],[Home Pace]]/100)*(VLOOKUP(Table2[[#This Row],[Home/Neutral]],home_lookup,8,FALSE)+VLOOKUP(Table2[[#This Row],[Home/Neutral]],OFR_lookup,2,FALSE)+VLOOKUP(Table2[[#This Row],[Visitor/Neutral]],def_diff_lookup,6,FALSE))</f>
        <v>99.648451212096262</v>
      </c>
      <c r="L572" s="25"/>
      <c r="M572" s="25">
        <f>(Table2[[#This Row],[Away Pace]]/100)*(VLOOKUP(Table2[[#This Row],[Visitor/Neutral]],OFR_lookup,2,FALSE)+VLOOKUP(Table2[[#This Row],[Home/Neutral]],def_diff_lookup,6,FALSE))</f>
        <v>108.07546466666666</v>
      </c>
      <c r="N572" s="25"/>
      <c r="O572" s="25"/>
      <c r="P572">
        <f>VLOOKUP(Table2[[#This Row],[Home/Neutral]],pace_lookup,7,FALSE)</f>
        <v>102.2</v>
      </c>
      <c r="Q572" s="5">
        <f>VLOOKUP(Table2[[#This Row],[Visitor/Neutral]],pace_lookup,7,FALSE)</f>
        <v>99.7</v>
      </c>
      <c r="R572" s="9"/>
      <c r="V572" s="2">
        <f>-home-VLOOKUP(Table2[[#This Row],[Home/Neutral]],rtg_vlookup,4,FALSE)+VLOOKUP(Table2[[#This Row],[Visitor/Neutral]],rtg_vlookup,4,FALSE)</f>
        <v>9.9048815165876682</v>
      </c>
      <c r="W572" s="25"/>
      <c r="X572" s="2"/>
      <c r="Y572" s="2">
        <f>Table2[[#This Row],[Away EV]]-Table2[[#This Row],[Home EV]]</f>
        <v>8.4270134545703996</v>
      </c>
      <c r="Z572" s="33"/>
      <c r="AA572" s="34"/>
      <c r="AB572" s="5" t="b">
        <f>IF(VLOOKUP(Table2[[#This Row],[Home/Neutral]],division_lookup,9,FALSE)=VLOOKUP(Table2[[#This Row],[Visitor/Neutral]],division_lookup,9,FALSE),TRUE,FALSE)</f>
        <v>0</v>
      </c>
      <c r="AC572" s="19" t="str">
        <f>VLOOKUP(Table2[[#This Row],[Home/Neutral]],division_lookup,9,FALSE)</f>
        <v>A</v>
      </c>
      <c r="AD572" s="19"/>
      <c r="AE572" s="19" t="str">
        <f>IF(Table2[[#This Row],[Total EV ®]]&lt;Table2[[#This Row],[Total (V)]],"UNDER","OVER")</f>
        <v>OVER</v>
      </c>
      <c r="AF572" s="30">
        <f>Table2[[#This Row],[(A) Spread]]-Table2[[#This Row],[Spread (V)]]</f>
        <v>0</v>
      </c>
      <c r="AG572" s="19"/>
      <c r="AH572" s="2">
        <f>Table2[[#This Row],[EV]]-Table2[[#This Row],[Spread (V)]]</f>
        <v>8.4270134545703996</v>
      </c>
      <c r="AI572" s="22">
        <f>Table2[[#This Row],[(A)]]-Table2[[#This Row],[Spread]]</f>
        <v>9.9048815165876682</v>
      </c>
      <c r="AJ572" s="1">
        <f>Table2[[#This Row],[(A) Err]]^2</f>
        <v>98.106677857640022</v>
      </c>
      <c r="AK572" s="6">
        <f>Table2[[#This Row],[EV]]-Table2[[#This Row],[Spread]]</f>
        <v>8.4270134545703996</v>
      </c>
      <c r="AL572" s="1">
        <f>Table2[[#This Row],[EV Err]]^2</f>
        <v>71.014555763510543</v>
      </c>
    </row>
    <row r="573" spans="1:38" x14ac:dyDescent="0.25">
      <c r="A573" t="s">
        <v>118</v>
      </c>
      <c r="B573" t="s">
        <v>10</v>
      </c>
      <c r="C573" t="s">
        <v>21</v>
      </c>
      <c r="K573" s="25">
        <f>(Table2[[#This Row],[Home Pace]]/100)*(VLOOKUP(Table2[[#This Row],[Home/Neutral]],home_lookup,8,FALSE)+VLOOKUP(Table2[[#This Row],[Home/Neutral]],OFR_lookup,2,FALSE)+VLOOKUP(Table2[[#This Row],[Visitor/Neutral]],def_diff_lookup,6,FALSE))</f>
        <v>103.41502853790561</v>
      </c>
      <c r="L573" s="25"/>
      <c r="M573" s="25">
        <f>(Table2[[#This Row],[Away Pace]]/100)*(VLOOKUP(Table2[[#This Row],[Visitor/Neutral]],OFR_lookup,2,FALSE)+VLOOKUP(Table2[[#This Row],[Home/Neutral]],def_diff_lookup,6,FALSE))</f>
        <v>97.996888000000013</v>
      </c>
      <c r="N573" s="25"/>
      <c r="O573" s="25"/>
      <c r="P573">
        <f>VLOOKUP(Table2[[#This Row],[Home/Neutral]],pace_lookup,7,FALSE)</f>
        <v>100.3</v>
      </c>
      <c r="Q573" s="5">
        <f>VLOOKUP(Table2[[#This Row],[Visitor/Neutral]],pace_lookup,7,FALSE)</f>
        <v>94.2</v>
      </c>
      <c r="R573" s="9"/>
      <c r="V573" s="2">
        <f>-home-VLOOKUP(Table2[[#This Row],[Home/Neutral]],rtg_vlookup,4,FALSE)+VLOOKUP(Table2[[#This Row],[Visitor/Neutral]],rtg_vlookup,4,FALSE)</f>
        <v>-11.295118483412331</v>
      </c>
      <c r="W573" s="25"/>
      <c r="X573" s="2"/>
      <c r="Y573" s="2">
        <f>Table2[[#This Row],[Away EV]]-Table2[[#This Row],[Home EV]]</f>
        <v>-5.4181405379056002</v>
      </c>
      <c r="Z573" s="33"/>
      <c r="AA573" s="34"/>
      <c r="AB573" s="5" t="b">
        <f>IF(VLOOKUP(Table2[[#This Row],[Home/Neutral]],division_lookup,9,FALSE)=VLOOKUP(Table2[[#This Row],[Visitor/Neutral]],division_lookup,9,FALSE),TRUE,FALSE)</f>
        <v>0</v>
      </c>
      <c r="AC573" s="19" t="str">
        <f>VLOOKUP(Table2[[#This Row],[Home/Neutral]],division_lookup,9,FALSE)</f>
        <v>P</v>
      </c>
      <c r="AD573" s="19"/>
      <c r="AE573" s="19" t="str">
        <f>IF(Table2[[#This Row],[Total EV ®]]&lt;Table2[[#This Row],[Total (V)]],"UNDER","OVER")</f>
        <v>OVER</v>
      </c>
      <c r="AF573" s="30">
        <f>Table2[[#This Row],[(A) Spread]]-Table2[[#This Row],[Spread (V)]]</f>
        <v>0</v>
      </c>
      <c r="AG573" s="19"/>
      <c r="AH573" s="2">
        <f>Table2[[#This Row],[EV]]-Table2[[#This Row],[Spread (V)]]</f>
        <v>-5.4181405379056002</v>
      </c>
      <c r="AI573" s="22">
        <f>Table2[[#This Row],[(A)]]-Table2[[#This Row],[Spread]]</f>
        <v>-11.295118483412331</v>
      </c>
      <c r="AJ573" s="1">
        <f>Table2[[#This Row],[(A) Err]]^2</f>
        <v>127.57970155432288</v>
      </c>
      <c r="AK573" s="6">
        <f>Table2[[#This Row],[EV]]-Table2[[#This Row],[Spread]]</f>
        <v>-5.4181405379056002</v>
      </c>
      <c r="AL573" s="1">
        <f>Table2[[#This Row],[EV Err]]^2</f>
        <v>29.356246888495988</v>
      </c>
    </row>
    <row r="574" spans="1:38" x14ac:dyDescent="0.25">
      <c r="A574" t="s">
        <v>118</v>
      </c>
      <c r="B574" t="s">
        <v>17</v>
      </c>
      <c r="C574" t="s">
        <v>16</v>
      </c>
      <c r="K574" s="25">
        <f>(Table2[[#This Row],[Home Pace]]/100)*(VLOOKUP(Table2[[#This Row],[Home/Neutral]],home_lookup,8,FALSE)+VLOOKUP(Table2[[#This Row],[Home/Neutral]],OFR_lookup,2,FALSE)+VLOOKUP(Table2[[#This Row],[Visitor/Neutral]],def_diff_lookup,6,FALSE))</f>
        <v>107.58593692873545</v>
      </c>
      <c r="L574" s="25"/>
      <c r="M574" s="25">
        <f>(Table2[[#This Row],[Away Pace]]/100)*(VLOOKUP(Table2[[#This Row],[Visitor/Neutral]],OFR_lookup,2,FALSE)+VLOOKUP(Table2[[#This Row],[Home/Neutral]],def_diff_lookup,6,FALSE))</f>
        <v>107.67965000000001</v>
      </c>
      <c r="N574" s="25"/>
      <c r="O574" s="25"/>
      <c r="P574">
        <f>VLOOKUP(Table2[[#This Row],[Home/Neutral]],pace_lookup,7,FALSE)</f>
        <v>96.7</v>
      </c>
      <c r="Q574" s="5">
        <f>VLOOKUP(Table2[[#This Row],[Visitor/Neutral]],pace_lookup,7,FALSE)</f>
        <v>97.5</v>
      </c>
      <c r="R574" s="9"/>
      <c r="V574" s="2">
        <f>-home-VLOOKUP(Table2[[#This Row],[Home/Neutral]],rtg_vlookup,4,FALSE)+VLOOKUP(Table2[[#This Row],[Visitor/Neutral]],rtg_vlookup,4,FALSE)</f>
        <v>-4.3451184834123309</v>
      </c>
      <c r="W574" s="25"/>
      <c r="X574" s="2"/>
      <c r="Y574" s="2">
        <f>Table2[[#This Row],[Away EV]]-Table2[[#This Row],[Home EV]]</f>
        <v>9.3713071264559744E-2</v>
      </c>
      <c r="Z574" s="33"/>
      <c r="AA574" s="34"/>
      <c r="AB574" s="5" t="b">
        <f>IF(VLOOKUP(Table2[[#This Row],[Home/Neutral]],division_lookup,9,FALSE)=VLOOKUP(Table2[[#This Row],[Visitor/Neutral]],division_lookup,9,FALSE),TRUE,FALSE)</f>
        <v>0</v>
      </c>
      <c r="AC574" s="19" t="str">
        <f>VLOOKUP(Table2[[#This Row],[Home/Neutral]],division_lookup,9,FALSE)</f>
        <v>SW</v>
      </c>
      <c r="AD574" s="19"/>
      <c r="AE574" s="19" t="str">
        <f>IF(Table2[[#This Row],[Total EV ®]]&lt;Table2[[#This Row],[Total (V)]],"UNDER","OVER")</f>
        <v>OVER</v>
      </c>
      <c r="AF574" s="30">
        <f>Table2[[#This Row],[(A) Spread]]-Table2[[#This Row],[Spread (V)]]</f>
        <v>0</v>
      </c>
      <c r="AG574" s="19"/>
      <c r="AH574" s="2">
        <f>Table2[[#This Row],[EV]]-Table2[[#This Row],[Spread (V)]]</f>
        <v>9.3713071264559744E-2</v>
      </c>
      <c r="AI574" s="22">
        <f>Table2[[#This Row],[(A)]]-Table2[[#This Row],[Spread]]</f>
        <v>-4.3451184834123309</v>
      </c>
      <c r="AJ574" s="1">
        <f>Table2[[#This Row],[(A) Err]]^2</f>
        <v>18.880054634891476</v>
      </c>
      <c r="AK574" s="6">
        <f>Table2[[#This Row],[EV]]-Table2[[#This Row],[Spread]]</f>
        <v>9.3713071264559744E-2</v>
      </c>
      <c r="AL574" s="1">
        <f>Table2[[#This Row],[EV Err]]^2</f>
        <v>8.782139725836453E-3</v>
      </c>
    </row>
    <row r="575" spans="1:38" x14ac:dyDescent="0.25">
      <c r="A575" t="s">
        <v>118</v>
      </c>
      <c r="B575" t="s">
        <v>24</v>
      </c>
      <c r="C575" t="s">
        <v>32</v>
      </c>
      <c r="K575" s="25">
        <f>(Table2[[#This Row],[Home Pace]]/100)*(VLOOKUP(Table2[[#This Row],[Home/Neutral]],home_lookup,8,FALSE)+VLOOKUP(Table2[[#This Row],[Home/Neutral]],OFR_lookup,2,FALSE)+VLOOKUP(Table2[[#This Row],[Visitor/Neutral]],def_diff_lookup,6,FALSE))</f>
        <v>114.24144432830941</v>
      </c>
      <c r="L575" s="25"/>
      <c r="M575" s="25">
        <f>(Table2[[#This Row],[Away Pace]]/100)*(VLOOKUP(Table2[[#This Row],[Visitor/Neutral]],OFR_lookup,2,FALSE)+VLOOKUP(Table2[[#This Row],[Home/Neutral]],def_diff_lookup,6,FALSE))</f>
        <v>110.86649733333334</v>
      </c>
      <c r="N575" s="25"/>
      <c r="O575" s="25"/>
      <c r="P575">
        <f>VLOOKUP(Table2[[#This Row],[Home/Neutral]],pace_lookup,7,FALSE)</f>
        <v>99.9</v>
      </c>
      <c r="Q575" s="5">
        <f>VLOOKUP(Table2[[#This Row],[Visitor/Neutral]],pace_lookup,7,FALSE)</f>
        <v>98.6</v>
      </c>
      <c r="R575" s="9"/>
      <c r="V575" s="2">
        <f>-home-VLOOKUP(Table2[[#This Row],[Home/Neutral]],rtg_vlookup,4,FALSE)+VLOOKUP(Table2[[#This Row],[Visitor/Neutral]],rtg_vlookup,4,FALSE)</f>
        <v>-5.8651184834123304</v>
      </c>
      <c r="W575" s="25"/>
      <c r="X575" s="2"/>
      <c r="Y575" s="2">
        <f>Table2[[#This Row],[Away EV]]-Table2[[#This Row],[Home EV]]</f>
        <v>-3.3749469949760709</v>
      </c>
      <c r="Z575" s="33"/>
      <c r="AA575" s="34"/>
      <c r="AB575" s="5" t="b">
        <f>IF(VLOOKUP(Table2[[#This Row],[Home/Neutral]],division_lookup,9,FALSE)=VLOOKUP(Table2[[#This Row],[Visitor/Neutral]],division_lookup,9,FALSE),TRUE,FALSE)</f>
        <v>0</v>
      </c>
      <c r="AC575" s="19" t="str">
        <f>VLOOKUP(Table2[[#This Row],[Home/Neutral]],division_lookup,9,FALSE)</f>
        <v>P</v>
      </c>
      <c r="AD575" s="19"/>
      <c r="AE575" s="19" t="str">
        <f>IF(Table2[[#This Row],[Total EV ®]]&lt;Table2[[#This Row],[Total (V)]],"UNDER","OVER")</f>
        <v>OVER</v>
      </c>
      <c r="AF575" s="30">
        <f>Table2[[#This Row],[(A) Spread]]-Table2[[#This Row],[Spread (V)]]</f>
        <v>0</v>
      </c>
      <c r="AG575" s="19"/>
      <c r="AH575" s="2">
        <f>Table2[[#This Row],[EV]]-Table2[[#This Row],[Spread (V)]]</f>
        <v>-3.3749469949760709</v>
      </c>
      <c r="AI575" s="22">
        <f>Table2[[#This Row],[(A)]]-Table2[[#This Row],[Spread]]</f>
        <v>-5.8651184834123304</v>
      </c>
      <c r="AJ575" s="1">
        <f>Table2[[#This Row],[(A) Err]]^2</f>
        <v>34.399614824464955</v>
      </c>
      <c r="AK575" s="6">
        <f>Table2[[#This Row],[EV]]-Table2[[#This Row],[Spread]]</f>
        <v>-3.3749469949760709</v>
      </c>
      <c r="AL575" s="1">
        <f>Table2[[#This Row],[EV Err]]^2</f>
        <v>11.390267218898011</v>
      </c>
    </row>
    <row r="576" spans="1:38" x14ac:dyDescent="0.25">
      <c r="A576" t="s">
        <v>118</v>
      </c>
      <c r="B576" t="s">
        <v>29</v>
      </c>
      <c r="C576" t="s">
        <v>25</v>
      </c>
      <c r="K576" s="25">
        <f>(Table2[[#This Row],[Home Pace]]/100)*(VLOOKUP(Table2[[#This Row],[Home/Neutral]],home_lookup,8,FALSE)+VLOOKUP(Table2[[#This Row],[Home/Neutral]],OFR_lookup,2,FALSE)+VLOOKUP(Table2[[#This Row],[Visitor/Neutral]],def_diff_lookup,6,FALSE))</f>
        <v>105.49986926898524</v>
      </c>
      <c r="L576" s="25"/>
      <c r="M576" s="25">
        <f>(Table2[[#This Row],[Away Pace]]/100)*(VLOOKUP(Table2[[#This Row],[Visitor/Neutral]],OFR_lookup,2,FALSE)+VLOOKUP(Table2[[#This Row],[Home/Neutral]],def_diff_lookup,6,FALSE))</f>
        <v>99.998549333333344</v>
      </c>
      <c r="N576" s="25"/>
      <c r="O576" s="25"/>
      <c r="P576">
        <f>VLOOKUP(Table2[[#This Row],[Home/Neutral]],pace_lookup,7,FALSE)</f>
        <v>93.8</v>
      </c>
      <c r="Q576" s="5">
        <f>VLOOKUP(Table2[[#This Row],[Visitor/Neutral]],pace_lookup,7,FALSE)</f>
        <v>94.4</v>
      </c>
      <c r="R576" s="9"/>
      <c r="V576" s="2">
        <f>-home-VLOOKUP(Table2[[#This Row],[Home/Neutral]],rtg_vlookup,4,FALSE)+VLOOKUP(Table2[[#This Row],[Visitor/Neutral]],rtg_vlookup,4,FALSE)</f>
        <v>-0.44511848341233073</v>
      </c>
      <c r="W576" s="25"/>
      <c r="X576" s="2"/>
      <c r="Y576" s="2">
        <f>Table2[[#This Row],[Away EV]]-Table2[[#This Row],[Home EV]]</f>
        <v>-5.5013199356518925</v>
      </c>
      <c r="Z576" s="33"/>
      <c r="AA576" s="34"/>
      <c r="AB576" s="5" t="b">
        <f>IF(VLOOKUP(Table2[[#This Row],[Home/Neutral]],division_lookup,9,FALSE)=VLOOKUP(Table2[[#This Row],[Visitor/Neutral]],division_lookup,9,FALSE),TRUE,FALSE)</f>
        <v>0</v>
      </c>
      <c r="AC576" s="19" t="str">
        <f>VLOOKUP(Table2[[#This Row],[Home/Neutral]],division_lookup,9,FALSE)</f>
        <v>P</v>
      </c>
      <c r="AD576" s="19"/>
      <c r="AE576" s="19" t="str">
        <f>IF(Table2[[#This Row],[Total EV ®]]&lt;Table2[[#This Row],[Total (V)]],"UNDER","OVER")</f>
        <v>OVER</v>
      </c>
      <c r="AF576" s="30">
        <f>Table2[[#This Row],[(A) Spread]]-Table2[[#This Row],[Spread (V)]]</f>
        <v>0</v>
      </c>
      <c r="AG576" s="19"/>
      <c r="AH576" s="2">
        <f>Table2[[#This Row],[EV]]-Table2[[#This Row],[Spread (V)]]</f>
        <v>-5.5013199356518925</v>
      </c>
      <c r="AI576" s="22">
        <f>Table2[[#This Row],[(A)]]-Table2[[#This Row],[Spread]]</f>
        <v>-0.44511848341233073</v>
      </c>
      <c r="AJ576" s="1">
        <f>Table2[[#This Row],[(A) Err]]^2</f>
        <v>0.19813046427529335</v>
      </c>
      <c r="AK576" s="6">
        <f>Table2[[#This Row],[EV]]-Table2[[#This Row],[Spread]]</f>
        <v>-5.5013199356518925</v>
      </c>
      <c r="AL576" s="1">
        <f>Table2[[#This Row],[EV Err]]^2</f>
        <v>30.264521034400943</v>
      </c>
    </row>
    <row r="577" spans="1:38" x14ac:dyDescent="0.25">
      <c r="A577" t="s">
        <v>118</v>
      </c>
      <c r="B577" t="s">
        <v>6</v>
      </c>
      <c r="C577" t="s">
        <v>30</v>
      </c>
      <c r="K577" s="25">
        <f>(Table2[[#This Row],[Home Pace]]/100)*(VLOOKUP(Table2[[#This Row],[Home/Neutral]],home_lookup,8,FALSE)+VLOOKUP(Table2[[#This Row],[Home/Neutral]],OFR_lookup,2,FALSE)+VLOOKUP(Table2[[#This Row],[Visitor/Neutral]],def_diff_lookup,6,FALSE))</f>
        <v>104.82839787062244</v>
      </c>
      <c r="L577" s="25"/>
      <c r="M577" s="25">
        <f>(Table2[[#This Row],[Away Pace]]/100)*(VLOOKUP(Table2[[#This Row],[Visitor/Neutral]],OFR_lookup,2,FALSE)+VLOOKUP(Table2[[#This Row],[Home/Neutral]],def_diff_lookup,6,FALSE))</f>
        <v>100.12088533333335</v>
      </c>
      <c r="N577" s="25"/>
      <c r="O577" s="25"/>
      <c r="P577">
        <f>VLOOKUP(Table2[[#This Row],[Home/Neutral]],pace_lookup,7,FALSE)</f>
        <v>93.1</v>
      </c>
      <c r="Q577" s="5">
        <f>VLOOKUP(Table2[[#This Row],[Visitor/Neutral]],pace_lookup,7,FALSE)</f>
        <v>96.8</v>
      </c>
      <c r="R577" s="9"/>
      <c r="V577" s="2">
        <f>-home-VLOOKUP(Table2[[#This Row],[Home/Neutral]],rtg_vlookup,4,FALSE)+VLOOKUP(Table2[[#This Row],[Visitor/Neutral]],rtg_vlookup,4,FALSE)</f>
        <v>-12.235118483412331</v>
      </c>
      <c r="W577" s="25"/>
      <c r="X577" s="2"/>
      <c r="Y577" s="2">
        <f>Table2[[#This Row],[Away EV]]-Table2[[#This Row],[Home EV]]</f>
        <v>-4.7075125372890909</v>
      </c>
      <c r="Z577" s="33"/>
      <c r="AA577" s="34"/>
      <c r="AB577" s="5" t="b">
        <f>IF(VLOOKUP(Table2[[#This Row],[Home/Neutral]],division_lookup,9,FALSE)=VLOOKUP(Table2[[#This Row],[Visitor/Neutral]],division_lookup,9,FALSE),TRUE,FALSE)</f>
        <v>0</v>
      </c>
      <c r="AC577" s="19" t="str">
        <f>VLOOKUP(Table2[[#This Row],[Home/Neutral]],division_lookup,9,FALSE)</f>
        <v>SW</v>
      </c>
      <c r="AD577" s="19"/>
      <c r="AE577" s="19" t="str">
        <f>IF(Table2[[#This Row],[Total EV ®]]&lt;Table2[[#This Row],[Total (V)]],"UNDER","OVER")</f>
        <v>OVER</v>
      </c>
      <c r="AF577" s="30">
        <f>Table2[[#This Row],[(A) Spread]]-Table2[[#This Row],[Spread (V)]]</f>
        <v>0</v>
      </c>
      <c r="AG577" s="19"/>
      <c r="AH577" s="2">
        <f>Table2[[#This Row],[EV]]-Table2[[#This Row],[Spread (V)]]</f>
        <v>-4.7075125372890909</v>
      </c>
      <c r="AI577" s="22">
        <f>Table2[[#This Row],[(A)]]-Table2[[#This Row],[Spread]]</f>
        <v>-12.235118483412331</v>
      </c>
      <c r="AJ577" s="1">
        <f>Table2[[#This Row],[(A) Err]]^2</f>
        <v>149.69812430313806</v>
      </c>
      <c r="AK577" s="6">
        <f>Table2[[#This Row],[EV]]-Table2[[#This Row],[Spread]]</f>
        <v>-4.7075125372890909</v>
      </c>
      <c r="AL577" s="1">
        <f>Table2[[#This Row],[EV Err]]^2</f>
        <v>22.160674288733976</v>
      </c>
    </row>
    <row r="578" spans="1:38" x14ac:dyDescent="0.25">
      <c r="A578" t="s">
        <v>118</v>
      </c>
      <c r="B578" t="s">
        <v>14</v>
      </c>
      <c r="C578" t="s">
        <v>26</v>
      </c>
      <c r="K578" s="25">
        <f>(Table2[[#This Row],[Home Pace]]/100)*(VLOOKUP(Table2[[#This Row],[Home/Neutral]],home_lookup,8,FALSE)+VLOOKUP(Table2[[#This Row],[Home/Neutral]],OFR_lookup,2,FALSE)+VLOOKUP(Table2[[#This Row],[Visitor/Neutral]],def_diff_lookup,6,FALSE))</f>
        <v>108.84603414241451</v>
      </c>
      <c r="L578" s="25"/>
      <c r="M578" s="25">
        <f>(Table2[[#This Row],[Away Pace]]/100)*(VLOOKUP(Table2[[#This Row],[Visitor/Neutral]],OFR_lookup,2,FALSE)+VLOOKUP(Table2[[#This Row],[Home/Neutral]],def_diff_lookup,6,FALSE))</f>
        <v>105.34144000000001</v>
      </c>
      <c r="N578" s="25"/>
      <c r="O578" s="25"/>
      <c r="P578">
        <f>VLOOKUP(Table2[[#This Row],[Home/Neutral]],pace_lookup,7,FALSE)</f>
        <v>95.9</v>
      </c>
      <c r="Q578" s="5">
        <f>VLOOKUP(Table2[[#This Row],[Visitor/Neutral]],pace_lookup,7,FALSE)</f>
        <v>96</v>
      </c>
      <c r="R578" s="9"/>
      <c r="V578" s="2">
        <f>-home-VLOOKUP(Table2[[#This Row],[Home/Neutral]],rtg_vlookup,4,FALSE)+VLOOKUP(Table2[[#This Row],[Visitor/Neutral]],rtg_vlookup,4,FALSE)</f>
        <v>-7.9151184834123303</v>
      </c>
      <c r="W578" s="25"/>
      <c r="X578" s="2"/>
      <c r="Y578" s="2">
        <f>Table2[[#This Row],[Away EV]]-Table2[[#This Row],[Home EV]]</f>
        <v>-3.5045941424145042</v>
      </c>
      <c r="Z578" s="33"/>
      <c r="AA578" s="34"/>
      <c r="AB578" s="5" t="b">
        <f>IF(VLOOKUP(Table2[[#This Row],[Home/Neutral]],division_lookup,9,FALSE)=VLOOKUP(Table2[[#This Row],[Visitor/Neutral]],division_lookup,9,FALSE),TRUE,FALSE)</f>
        <v>1</v>
      </c>
      <c r="AC578" s="19" t="str">
        <f>VLOOKUP(Table2[[#This Row],[Home/Neutral]],division_lookup,9,FALSE)</f>
        <v>A</v>
      </c>
      <c r="AD578" s="19"/>
      <c r="AE578" s="19" t="str">
        <f>IF(Table2[[#This Row],[Total EV ®]]&lt;Table2[[#This Row],[Total (V)]],"UNDER","OVER")</f>
        <v>OVER</v>
      </c>
      <c r="AF578" s="30">
        <f>Table2[[#This Row],[(A) Spread]]-Table2[[#This Row],[Spread (V)]]</f>
        <v>0</v>
      </c>
      <c r="AG578" s="19"/>
      <c r="AH578" s="2">
        <f>Table2[[#This Row],[EV]]-Table2[[#This Row],[Spread (V)]]</f>
        <v>-3.5045941424145042</v>
      </c>
      <c r="AI578" s="22">
        <f>Table2[[#This Row],[(A)]]-Table2[[#This Row],[Spread]]</f>
        <v>-7.9151184834123303</v>
      </c>
      <c r="AJ578" s="1">
        <f>Table2[[#This Row],[(A) Err]]^2</f>
        <v>62.649100606455505</v>
      </c>
      <c r="AK578" s="6">
        <f>Table2[[#This Row],[EV]]-Table2[[#This Row],[Spread]]</f>
        <v>-3.5045941424145042</v>
      </c>
      <c r="AL578" s="1">
        <f>Table2[[#This Row],[EV Err]]^2</f>
        <v>12.282180103046054</v>
      </c>
    </row>
    <row r="579" spans="1:38" x14ac:dyDescent="0.25">
      <c r="A579" t="s">
        <v>118</v>
      </c>
      <c r="B579" t="s">
        <v>20</v>
      </c>
      <c r="C579" t="s">
        <v>8</v>
      </c>
      <c r="K579" s="25">
        <f>(Table2[[#This Row],[Home Pace]]/100)*(VLOOKUP(Table2[[#This Row],[Home/Neutral]],home_lookup,8,FALSE)+VLOOKUP(Table2[[#This Row],[Home/Neutral]],OFR_lookup,2,FALSE)+VLOOKUP(Table2[[#This Row],[Visitor/Neutral]],def_diff_lookup,6,FALSE))</f>
        <v>102.11987528915178</v>
      </c>
      <c r="L579" s="25"/>
      <c r="M579" s="25">
        <f>(Table2[[#This Row],[Away Pace]]/100)*(VLOOKUP(Table2[[#This Row],[Visitor/Neutral]],OFR_lookup,2,FALSE)+VLOOKUP(Table2[[#This Row],[Home/Neutral]],def_diff_lookup,6,FALSE))</f>
        <v>106.658208</v>
      </c>
      <c r="N579" s="25"/>
      <c r="O579" s="25"/>
      <c r="P579">
        <f>VLOOKUP(Table2[[#This Row],[Home/Neutral]],pace_lookup,7,FALSE)</f>
        <v>90.9</v>
      </c>
      <c r="Q579" s="5">
        <f>VLOOKUP(Table2[[#This Row],[Visitor/Neutral]],pace_lookup,7,FALSE)</f>
        <v>97.2</v>
      </c>
      <c r="R579" s="9"/>
      <c r="V579" s="2">
        <f>-home-VLOOKUP(Table2[[#This Row],[Home/Neutral]],rtg_vlookup,4,FALSE)+VLOOKUP(Table2[[#This Row],[Visitor/Neutral]],rtg_vlookup,4,FALSE)</f>
        <v>2.3948815165876693</v>
      </c>
      <c r="W579" s="25"/>
      <c r="X579" s="2"/>
      <c r="Y579" s="2">
        <f>Table2[[#This Row],[Away EV]]-Table2[[#This Row],[Home EV]]</f>
        <v>4.5383327108482234</v>
      </c>
      <c r="Z579" s="33"/>
      <c r="AA579" s="34"/>
      <c r="AB579" s="5" t="b">
        <f>IF(VLOOKUP(Table2[[#This Row],[Home/Neutral]],division_lookup,9,FALSE)=VLOOKUP(Table2[[#This Row],[Visitor/Neutral]],division_lookup,9,FALSE),TRUE,FALSE)</f>
        <v>0</v>
      </c>
      <c r="AC579" s="19" t="str">
        <f>VLOOKUP(Table2[[#This Row],[Home/Neutral]],division_lookup,9,FALSE)</f>
        <v>NW</v>
      </c>
      <c r="AD579" s="19"/>
      <c r="AE579" s="19" t="str">
        <f>IF(Table2[[#This Row],[Total EV ®]]&lt;Table2[[#This Row],[Total (V)]],"UNDER","OVER")</f>
        <v>OVER</v>
      </c>
      <c r="AF579" s="30">
        <f>Table2[[#This Row],[(A) Spread]]-Table2[[#This Row],[Spread (V)]]</f>
        <v>0</v>
      </c>
      <c r="AG579" s="19"/>
      <c r="AH579" s="2">
        <f>Table2[[#This Row],[EV]]-Table2[[#This Row],[Spread (V)]]</f>
        <v>4.5383327108482234</v>
      </c>
      <c r="AI579" s="22">
        <f>Table2[[#This Row],[(A)]]-Table2[[#This Row],[Spread]]</f>
        <v>2.3948815165876693</v>
      </c>
      <c r="AJ579" s="1">
        <f>Table2[[#This Row],[(A) Err]]^2</f>
        <v>5.735457478493255</v>
      </c>
      <c r="AK579" s="6">
        <f>Table2[[#This Row],[EV]]-Table2[[#This Row],[Spread]]</f>
        <v>4.5383327108482234</v>
      </c>
      <c r="AL579" s="1">
        <f>Table2[[#This Row],[EV Err]]^2</f>
        <v>20.596463794354985</v>
      </c>
    </row>
    <row r="580" spans="1:38" x14ac:dyDescent="0.25">
      <c r="A580" t="s">
        <v>118</v>
      </c>
      <c r="B580" t="s">
        <v>28</v>
      </c>
      <c r="C580" t="s">
        <v>13</v>
      </c>
      <c r="K580" s="25">
        <f>(Table2[[#This Row],[Home Pace]]/100)*(VLOOKUP(Table2[[#This Row],[Home/Neutral]],home_lookup,8,FALSE)+VLOOKUP(Table2[[#This Row],[Home/Neutral]],OFR_lookup,2,FALSE)+VLOOKUP(Table2[[#This Row],[Visitor/Neutral]],def_diff_lookup,6,FALSE))</f>
        <v>107.66057553204274</v>
      </c>
      <c r="L580" s="25"/>
      <c r="M580" s="25">
        <f>(Table2[[#This Row],[Away Pace]]/100)*(VLOOKUP(Table2[[#This Row],[Visitor/Neutral]],OFR_lookup,2,FALSE)+VLOOKUP(Table2[[#This Row],[Home/Neutral]],def_diff_lookup,6,FALSE))</f>
        <v>107.95743000000002</v>
      </c>
      <c r="N580" s="25"/>
      <c r="O580" s="25"/>
      <c r="P580">
        <f>VLOOKUP(Table2[[#This Row],[Home/Neutral]],pace_lookup,7,FALSE)</f>
        <v>96.3</v>
      </c>
      <c r="Q580" s="5">
        <f>VLOOKUP(Table2[[#This Row],[Visitor/Neutral]],pace_lookup,7,FALSE)</f>
        <v>94.5</v>
      </c>
      <c r="R580" s="9"/>
      <c r="V580" s="2">
        <f>-home-VLOOKUP(Table2[[#This Row],[Home/Neutral]],rtg_vlookup,4,FALSE)+VLOOKUP(Table2[[#This Row],[Visitor/Neutral]],rtg_vlookup,4,FALSE)</f>
        <v>4.8248815165876691</v>
      </c>
      <c r="W580" s="25"/>
      <c r="X580" s="2"/>
      <c r="Y580" s="2">
        <f>Table2[[#This Row],[Away EV]]-Table2[[#This Row],[Home EV]]</f>
        <v>0.29685446795727444</v>
      </c>
      <c r="Z580" s="33"/>
      <c r="AA580" s="34"/>
      <c r="AB580" s="5" t="b">
        <f>IF(VLOOKUP(Table2[[#This Row],[Home/Neutral]],division_lookup,9,FALSE)=VLOOKUP(Table2[[#This Row],[Visitor/Neutral]],division_lookup,9,FALSE),TRUE,FALSE)</f>
        <v>0</v>
      </c>
      <c r="AC580" s="19" t="str">
        <f>VLOOKUP(Table2[[#This Row],[Home/Neutral]],division_lookup,9,FALSE)</f>
        <v>SE</v>
      </c>
      <c r="AD580" s="19"/>
      <c r="AE580" s="19" t="str">
        <f>IF(Table2[[#This Row],[Total EV ®]]&lt;Table2[[#This Row],[Total (V)]],"UNDER","OVER")</f>
        <v>OVER</v>
      </c>
      <c r="AF580" s="30">
        <f>Table2[[#This Row],[(A) Spread]]-Table2[[#This Row],[Spread (V)]]</f>
        <v>0</v>
      </c>
      <c r="AG580" s="19"/>
      <c r="AH580" s="2">
        <f>Table2[[#This Row],[EV]]-Table2[[#This Row],[Spread (V)]]</f>
        <v>0.29685446795727444</v>
      </c>
      <c r="AI580" s="22">
        <f>Table2[[#This Row],[(A)]]-Table2[[#This Row],[Spread]]</f>
        <v>4.8248815165876691</v>
      </c>
      <c r="AJ580" s="1">
        <f>Table2[[#This Row],[(A) Err]]^2</f>
        <v>23.279481649109325</v>
      </c>
      <c r="AK580" s="6">
        <f>Table2[[#This Row],[EV]]-Table2[[#This Row],[Spread]]</f>
        <v>0.29685446795727444</v>
      </c>
      <c r="AL580" s="1">
        <f>Table2[[#This Row],[EV Err]]^2</f>
        <v>8.812257514619648E-2</v>
      </c>
    </row>
    <row r="581" spans="1:38" x14ac:dyDescent="0.25">
      <c r="A581" t="s">
        <v>119</v>
      </c>
      <c r="B581" t="s">
        <v>26</v>
      </c>
      <c r="C581" t="s">
        <v>28</v>
      </c>
      <c r="K581" s="25">
        <f>(Table2[[#This Row],[Home Pace]]/100)*(VLOOKUP(Table2[[#This Row],[Home/Neutral]],home_lookup,8,FALSE)+VLOOKUP(Table2[[#This Row],[Home/Neutral]],OFR_lookup,2,FALSE)+VLOOKUP(Table2[[#This Row],[Visitor/Neutral]],def_diff_lookup,6,FALSE))</f>
        <v>109.71216358918159</v>
      </c>
      <c r="L581" s="25"/>
      <c r="M581" s="25">
        <f>(Table2[[#This Row],[Away Pace]]/100)*(VLOOKUP(Table2[[#This Row],[Visitor/Neutral]],OFR_lookup,2,FALSE)+VLOOKUP(Table2[[#This Row],[Home/Neutral]],def_diff_lookup,6,FALSE))</f>
        <v>105.092832</v>
      </c>
      <c r="N581" s="25"/>
      <c r="O581" s="25"/>
      <c r="P581">
        <f>VLOOKUP(Table2[[#This Row],[Home/Neutral]],pace_lookup,7,FALSE)</f>
        <v>96</v>
      </c>
      <c r="Q581" s="5">
        <f>VLOOKUP(Table2[[#This Row],[Visitor/Neutral]],pace_lookup,7,FALSE)</f>
        <v>96.3</v>
      </c>
      <c r="R581" s="9"/>
      <c r="V581" s="2">
        <f>-home-VLOOKUP(Table2[[#This Row],[Home/Neutral]],rtg_vlookup,4,FALSE)+VLOOKUP(Table2[[#This Row],[Visitor/Neutral]],rtg_vlookup,4,FALSE)</f>
        <v>-4.4151184834123312</v>
      </c>
      <c r="W581" s="25"/>
      <c r="X581" s="2"/>
      <c r="Y581" s="2">
        <f>Table2[[#This Row],[Away EV]]-Table2[[#This Row],[Home EV]]</f>
        <v>-4.6193315891815843</v>
      </c>
      <c r="Z581" s="33"/>
      <c r="AA581" s="34"/>
      <c r="AB581" s="5" t="b">
        <f>IF(VLOOKUP(Table2[[#This Row],[Home/Neutral]],division_lookup,9,FALSE)=VLOOKUP(Table2[[#This Row],[Visitor/Neutral]],division_lookup,9,FALSE),TRUE,FALSE)</f>
        <v>0</v>
      </c>
      <c r="AC581" s="19" t="str">
        <f>VLOOKUP(Table2[[#This Row],[Home/Neutral]],division_lookup,9,FALSE)</f>
        <v>A</v>
      </c>
      <c r="AD581" s="19"/>
      <c r="AE581" s="19" t="str">
        <f>IF(Table2[[#This Row],[Total EV ®]]&lt;Table2[[#This Row],[Total (V)]],"UNDER","OVER")</f>
        <v>OVER</v>
      </c>
      <c r="AF581" s="30">
        <f>Table2[[#This Row],[(A) Spread]]-Table2[[#This Row],[Spread (V)]]</f>
        <v>0</v>
      </c>
      <c r="AG581" s="19"/>
      <c r="AH581" s="2">
        <f>Table2[[#This Row],[EV]]-Table2[[#This Row],[Spread (V)]]</f>
        <v>-4.6193315891815843</v>
      </c>
      <c r="AI581" s="22">
        <f>Table2[[#This Row],[(A)]]-Table2[[#This Row],[Spread]]</f>
        <v>-4.4151184834123312</v>
      </c>
      <c r="AJ581" s="1">
        <f>Table2[[#This Row],[(A) Err]]^2</f>
        <v>19.493271222569202</v>
      </c>
      <c r="AK581" s="6">
        <f>Table2[[#This Row],[EV]]-Table2[[#This Row],[Spread]]</f>
        <v>-4.6193315891815843</v>
      </c>
      <c r="AL581" s="1">
        <f>Table2[[#This Row],[EV Err]]^2</f>
        <v>21.33822433081086</v>
      </c>
    </row>
    <row r="582" spans="1:38" x14ac:dyDescent="0.25">
      <c r="A582" t="s">
        <v>119</v>
      </c>
      <c r="B582" t="s">
        <v>4</v>
      </c>
      <c r="C582" t="s">
        <v>38</v>
      </c>
      <c r="K582" s="25">
        <f>(Table2[[#This Row],[Home Pace]]/100)*(VLOOKUP(Table2[[#This Row],[Home/Neutral]],home_lookup,8,FALSE)+VLOOKUP(Table2[[#This Row],[Home/Neutral]],OFR_lookup,2,FALSE)+VLOOKUP(Table2[[#This Row],[Visitor/Neutral]],def_diff_lookup,6,FALSE))</f>
        <v>103.38300781393446</v>
      </c>
      <c r="L582" s="25"/>
      <c r="M582" s="25">
        <f>(Table2[[#This Row],[Away Pace]]/100)*(VLOOKUP(Table2[[#This Row],[Visitor/Neutral]],OFR_lookup,2,FALSE)+VLOOKUP(Table2[[#This Row],[Home/Neutral]],def_diff_lookup,6,FALSE))</f>
        <v>87.276928000000012</v>
      </c>
      <c r="N582" s="25"/>
      <c r="O582" s="25"/>
      <c r="P582">
        <f>VLOOKUP(Table2[[#This Row],[Home/Neutral]],pace_lookup,7,FALSE)</f>
        <v>96.6</v>
      </c>
      <c r="Q582" s="5">
        <f>VLOOKUP(Table2[[#This Row],[Visitor/Neutral]],pace_lookup,7,FALSE)</f>
        <v>94.2</v>
      </c>
      <c r="R582" s="9"/>
      <c r="V582" s="2">
        <f>-home-VLOOKUP(Table2[[#This Row],[Home/Neutral]],rtg_vlookup,4,FALSE)+VLOOKUP(Table2[[#This Row],[Visitor/Neutral]],rtg_vlookup,4,FALSE)</f>
        <v>-26.055118483412329</v>
      </c>
      <c r="W582" s="25"/>
      <c r="X582" s="2"/>
      <c r="Y582" s="2">
        <f>Table2[[#This Row],[Away EV]]-Table2[[#This Row],[Home EV]]</f>
        <v>-16.106079813934443</v>
      </c>
      <c r="Z582" s="33"/>
      <c r="AA582" s="34"/>
      <c r="AB582" s="5" t="b">
        <f>IF(VLOOKUP(Table2[[#This Row],[Home/Neutral]],division_lookup,9,FALSE)=VLOOKUP(Table2[[#This Row],[Visitor/Neutral]],division_lookup,9,FALSE),TRUE,FALSE)</f>
        <v>0</v>
      </c>
      <c r="AC582" s="19" t="str">
        <f>VLOOKUP(Table2[[#This Row],[Home/Neutral]],division_lookup,9,FALSE)</f>
        <v>P</v>
      </c>
      <c r="AD582" s="19"/>
      <c r="AE582" s="19" t="str">
        <f>IF(Table2[[#This Row],[Total EV ®]]&lt;Table2[[#This Row],[Total (V)]],"UNDER","OVER")</f>
        <v>OVER</v>
      </c>
      <c r="AF582" s="30">
        <f>Table2[[#This Row],[(A) Spread]]-Table2[[#This Row],[Spread (V)]]</f>
        <v>0</v>
      </c>
      <c r="AG582" s="19"/>
      <c r="AH582" s="2">
        <f>Table2[[#This Row],[EV]]-Table2[[#This Row],[Spread (V)]]</f>
        <v>-16.106079813934443</v>
      </c>
      <c r="AI582" s="22">
        <f>Table2[[#This Row],[(A)]]-Table2[[#This Row],[Spread]]</f>
        <v>-26.055118483412329</v>
      </c>
      <c r="AJ582" s="1">
        <f>Table2[[#This Row],[(A) Err]]^2</f>
        <v>678.8691991846548</v>
      </c>
      <c r="AK582" s="6">
        <f>Table2[[#This Row],[EV]]-Table2[[#This Row],[Spread]]</f>
        <v>-16.106079813934443</v>
      </c>
      <c r="AL582" s="1">
        <f>Table2[[#This Row],[EV Err]]^2</f>
        <v>259.40580697282655</v>
      </c>
    </row>
    <row r="583" spans="1:38" x14ac:dyDescent="0.25">
      <c r="A583" t="s">
        <v>119</v>
      </c>
      <c r="B583" t="s">
        <v>22</v>
      </c>
      <c r="C583" t="s">
        <v>17</v>
      </c>
      <c r="K583" s="25">
        <f>(Table2[[#This Row],[Home Pace]]/100)*(VLOOKUP(Table2[[#This Row],[Home/Neutral]],home_lookup,8,FALSE)+VLOOKUP(Table2[[#This Row],[Home/Neutral]],OFR_lookup,2,FALSE)+VLOOKUP(Table2[[#This Row],[Visitor/Neutral]],def_diff_lookup,6,FALSE))</f>
        <v>114.03156922968977</v>
      </c>
      <c r="L583" s="25"/>
      <c r="M583" s="25">
        <f>(Table2[[#This Row],[Away Pace]]/100)*(VLOOKUP(Table2[[#This Row],[Visitor/Neutral]],OFR_lookup,2,FALSE)+VLOOKUP(Table2[[#This Row],[Home/Neutral]],def_diff_lookup,6,FALSE))</f>
        <v>113.97126466666668</v>
      </c>
      <c r="N583" s="25"/>
      <c r="O583" s="25"/>
      <c r="P583">
        <f>VLOOKUP(Table2[[#This Row],[Home/Neutral]],pace_lookup,7,FALSE)</f>
        <v>94.7</v>
      </c>
      <c r="Q583" s="5">
        <f>VLOOKUP(Table2[[#This Row],[Visitor/Neutral]],pace_lookup,7,FALSE)</f>
        <v>96.7</v>
      </c>
      <c r="R583" s="9"/>
      <c r="V583" s="2">
        <f>-home-VLOOKUP(Table2[[#This Row],[Home/Neutral]],rtg_vlookup,4,FALSE)+VLOOKUP(Table2[[#This Row],[Visitor/Neutral]],rtg_vlookup,4,FALSE)</f>
        <v>0.60488151658766931</v>
      </c>
      <c r="W583" s="25"/>
      <c r="X583" s="2"/>
      <c r="Y583" s="2">
        <f>Table2[[#This Row],[Away EV]]-Table2[[#This Row],[Home EV]]</f>
        <v>-6.0304563023080959E-2</v>
      </c>
      <c r="Z583" s="33"/>
      <c r="AA583" s="34"/>
      <c r="AB583" s="5" t="b">
        <f>IF(VLOOKUP(Table2[[#This Row],[Home/Neutral]],division_lookup,9,FALSE)=VLOOKUP(Table2[[#This Row],[Visitor/Neutral]],division_lookup,9,FALSE),TRUE,FALSE)</f>
        <v>0</v>
      </c>
      <c r="AC583" s="19" t="str">
        <f>VLOOKUP(Table2[[#This Row],[Home/Neutral]],division_lookup,9,FALSE)</f>
        <v>NW</v>
      </c>
      <c r="AD583" s="19"/>
      <c r="AE583" s="19" t="str">
        <f>IF(Table2[[#This Row],[Total EV ®]]&lt;Table2[[#This Row],[Total (V)]],"UNDER","OVER")</f>
        <v>OVER</v>
      </c>
      <c r="AF583" s="30">
        <f>Table2[[#This Row],[(A) Spread]]-Table2[[#This Row],[Spread (V)]]</f>
        <v>0</v>
      </c>
      <c r="AG583" s="19"/>
      <c r="AH583" s="2">
        <f>Table2[[#This Row],[EV]]-Table2[[#This Row],[Spread (V)]]</f>
        <v>-6.0304563023080959E-2</v>
      </c>
      <c r="AI583" s="22">
        <f>Table2[[#This Row],[(A)]]-Table2[[#This Row],[Spread]]</f>
        <v>0.60488151658766931</v>
      </c>
      <c r="AJ583" s="1">
        <f>Table2[[#This Row],[(A) Err]]^2</f>
        <v>0.36588164910939885</v>
      </c>
      <c r="AK583" s="6">
        <f>Table2[[#This Row],[EV]]-Table2[[#This Row],[Spread]]</f>
        <v>-6.0304563023080959E-2</v>
      </c>
      <c r="AL583" s="1">
        <f>Table2[[#This Row],[EV Err]]^2</f>
        <v>3.6366403214047435E-3</v>
      </c>
    </row>
    <row r="584" spans="1:38" x14ac:dyDescent="0.25">
      <c r="A584" t="s">
        <v>119</v>
      </c>
      <c r="B584" t="s">
        <v>18</v>
      </c>
      <c r="C584" t="s">
        <v>23</v>
      </c>
      <c r="K584" s="25">
        <f>(Table2[[#This Row],[Home Pace]]/100)*(VLOOKUP(Table2[[#This Row],[Home/Neutral]],home_lookup,8,FALSE)+VLOOKUP(Table2[[#This Row],[Home/Neutral]],OFR_lookup,2,FALSE)+VLOOKUP(Table2[[#This Row],[Visitor/Neutral]],def_diff_lookup,6,FALSE))</f>
        <v>98.517156160211329</v>
      </c>
      <c r="L584" s="25"/>
      <c r="M584" s="25">
        <f>(Table2[[#This Row],[Away Pace]]/100)*(VLOOKUP(Table2[[#This Row],[Visitor/Neutral]],OFR_lookup,2,FALSE)+VLOOKUP(Table2[[#This Row],[Home/Neutral]],def_diff_lookup,6,FALSE))</f>
        <v>92.63011666666668</v>
      </c>
      <c r="N584" s="25"/>
      <c r="O584" s="25"/>
      <c r="P584">
        <f>VLOOKUP(Table2[[#This Row],[Home/Neutral]],pace_lookup,7,FALSE)</f>
        <v>99.5</v>
      </c>
      <c r="Q584" s="5">
        <f>VLOOKUP(Table2[[#This Row],[Visitor/Neutral]],pace_lookup,7,FALSE)</f>
        <v>92.5</v>
      </c>
      <c r="R584" s="9"/>
      <c r="V584" s="2">
        <f>-home-VLOOKUP(Table2[[#This Row],[Home/Neutral]],rtg_vlookup,4,FALSE)+VLOOKUP(Table2[[#This Row],[Visitor/Neutral]],rtg_vlookup,4,FALSE)</f>
        <v>-2.6551184834123309</v>
      </c>
      <c r="W584" s="25"/>
      <c r="X584" s="2"/>
      <c r="Y584" s="2">
        <f>Table2[[#This Row],[Away EV]]-Table2[[#This Row],[Home EV]]</f>
        <v>-5.8870394935446484</v>
      </c>
      <c r="Z584" s="33"/>
      <c r="AA584" s="34"/>
      <c r="AB584" s="5" t="b">
        <f>IF(VLOOKUP(Table2[[#This Row],[Home/Neutral]],division_lookup,9,FALSE)=VLOOKUP(Table2[[#This Row],[Visitor/Neutral]],division_lookup,9,FALSE),TRUE,FALSE)</f>
        <v>0</v>
      </c>
      <c r="AC584" s="19" t="str">
        <f>VLOOKUP(Table2[[#This Row],[Home/Neutral]],division_lookup,9,FALSE)</f>
        <v>NW</v>
      </c>
      <c r="AD584" s="19"/>
      <c r="AE584" s="19" t="str">
        <f>IF(Table2[[#This Row],[Total EV ®]]&lt;Table2[[#This Row],[Total (V)]],"UNDER","OVER")</f>
        <v>OVER</v>
      </c>
      <c r="AF584" s="30">
        <f>Table2[[#This Row],[(A) Spread]]-Table2[[#This Row],[Spread (V)]]</f>
        <v>0</v>
      </c>
      <c r="AG584" s="19"/>
      <c r="AH584" s="2">
        <f>Table2[[#This Row],[EV]]-Table2[[#This Row],[Spread (V)]]</f>
        <v>-5.8870394935446484</v>
      </c>
      <c r="AI584" s="22">
        <f>Table2[[#This Row],[(A)]]-Table2[[#This Row],[Spread]]</f>
        <v>-2.6551184834123309</v>
      </c>
      <c r="AJ584" s="1">
        <f>Table2[[#This Row],[(A) Err]]^2</f>
        <v>7.0496541609577958</v>
      </c>
      <c r="AK584" s="6">
        <f>Table2[[#This Row],[EV]]-Table2[[#This Row],[Spread]]</f>
        <v>-5.8870394935446484</v>
      </c>
      <c r="AL584" s="1">
        <f>Table2[[#This Row],[EV Err]]^2</f>
        <v>34.657233998554432</v>
      </c>
    </row>
    <row r="585" spans="1:38" x14ac:dyDescent="0.25">
      <c r="A585" t="s">
        <v>119</v>
      </c>
      <c r="B585" t="s">
        <v>39</v>
      </c>
      <c r="C585" t="s">
        <v>31</v>
      </c>
      <c r="K585" s="25">
        <f>(Table2[[#This Row],[Home Pace]]/100)*(VLOOKUP(Table2[[#This Row],[Home/Neutral]],home_lookup,8,FALSE)+VLOOKUP(Table2[[#This Row],[Home/Neutral]],OFR_lookup,2,FALSE)+VLOOKUP(Table2[[#This Row],[Visitor/Neutral]],def_diff_lookup,6,FALSE))</f>
        <v>111.93977211468578</v>
      </c>
      <c r="L585" s="25"/>
      <c r="M585" s="25">
        <f>(Table2[[#This Row],[Away Pace]]/100)*(VLOOKUP(Table2[[#This Row],[Visitor/Neutral]],OFR_lookup,2,FALSE)+VLOOKUP(Table2[[#This Row],[Home/Neutral]],def_diff_lookup,6,FALSE))</f>
        <v>107.32864000000001</v>
      </c>
      <c r="N585" s="25"/>
      <c r="O585" s="25"/>
      <c r="P585">
        <f>VLOOKUP(Table2[[#This Row],[Home/Neutral]],pace_lookup,7,FALSE)</f>
        <v>97.5</v>
      </c>
      <c r="Q585" s="5">
        <f>VLOOKUP(Table2[[#This Row],[Visitor/Neutral]],pace_lookup,7,FALSE)</f>
        <v>96</v>
      </c>
      <c r="R585" s="9"/>
      <c r="V585" s="2">
        <f>-home-VLOOKUP(Table2[[#This Row],[Home/Neutral]],rtg_vlookup,4,FALSE)+VLOOKUP(Table2[[#This Row],[Visitor/Neutral]],rtg_vlookup,4,FALSE)</f>
        <v>4.3048815165876686</v>
      </c>
      <c r="W585" s="25"/>
      <c r="X585" s="2"/>
      <c r="Y585" s="2">
        <f>Table2[[#This Row],[Away EV]]-Table2[[#This Row],[Home EV]]</f>
        <v>-4.6111321146857733</v>
      </c>
      <c r="Z585" s="33"/>
      <c r="AA585" s="34"/>
      <c r="AB585" s="5" t="b">
        <f>IF(VLOOKUP(Table2[[#This Row],[Home/Neutral]],division_lookup,9,FALSE)=VLOOKUP(Table2[[#This Row],[Visitor/Neutral]],division_lookup,9,FALSE),TRUE,FALSE)</f>
        <v>1</v>
      </c>
      <c r="AC585" s="19" t="str">
        <f>VLOOKUP(Table2[[#This Row],[Home/Neutral]],division_lookup,9,FALSE)</f>
        <v>A</v>
      </c>
      <c r="AD585" s="19"/>
      <c r="AE585" s="19" t="str">
        <f>IF(Table2[[#This Row],[Total EV ®]]&lt;Table2[[#This Row],[Total (V)]],"UNDER","OVER")</f>
        <v>OVER</v>
      </c>
      <c r="AF585" s="30">
        <f>Table2[[#This Row],[(A) Spread]]-Table2[[#This Row],[Spread (V)]]</f>
        <v>0</v>
      </c>
      <c r="AG585" s="19"/>
      <c r="AH585" s="2">
        <f>Table2[[#This Row],[EV]]-Table2[[#This Row],[Spread (V)]]</f>
        <v>-4.6111321146857733</v>
      </c>
      <c r="AI585" s="22">
        <f>Table2[[#This Row],[(A)]]-Table2[[#This Row],[Spread]]</f>
        <v>4.3048815165876686</v>
      </c>
      <c r="AJ585" s="1">
        <f>Table2[[#This Row],[(A) Err]]^2</f>
        <v>18.532004871858145</v>
      </c>
      <c r="AK585" s="6">
        <f>Table2[[#This Row],[EV]]-Table2[[#This Row],[Spread]]</f>
        <v>-4.6111321146857733</v>
      </c>
      <c r="AL585" s="1">
        <f>Table2[[#This Row],[EV Err]]^2</f>
        <v>21.26253937908649</v>
      </c>
    </row>
    <row r="586" spans="1:38" x14ac:dyDescent="0.25">
      <c r="A586" t="s">
        <v>119</v>
      </c>
      <c r="B586" t="s">
        <v>32</v>
      </c>
      <c r="C586" t="s">
        <v>8</v>
      </c>
      <c r="K586" s="25">
        <f>(Table2[[#This Row],[Home Pace]]/100)*(VLOOKUP(Table2[[#This Row],[Home/Neutral]],home_lookup,8,FALSE)+VLOOKUP(Table2[[#This Row],[Home/Neutral]],OFR_lookup,2,FALSE)+VLOOKUP(Table2[[#This Row],[Visitor/Neutral]],def_diff_lookup,6,FALSE))</f>
        <v>107.2758311200184</v>
      </c>
      <c r="L586" s="25"/>
      <c r="M586" s="25">
        <f>(Table2[[#This Row],[Away Pace]]/100)*(VLOOKUP(Table2[[#This Row],[Visitor/Neutral]],OFR_lookup,2,FALSE)+VLOOKUP(Table2[[#This Row],[Home/Neutral]],def_diff_lookup,6,FALSE))</f>
        <v>112.995648</v>
      </c>
      <c r="N586" s="25"/>
      <c r="O586" s="25"/>
      <c r="P586">
        <f>VLOOKUP(Table2[[#This Row],[Home/Neutral]],pace_lookup,7,FALSE)</f>
        <v>98.6</v>
      </c>
      <c r="Q586" s="5">
        <f>VLOOKUP(Table2[[#This Row],[Visitor/Neutral]],pace_lookup,7,FALSE)</f>
        <v>97.2</v>
      </c>
      <c r="R586" s="9"/>
      <c r="V586" s="2">
        <f>-home-VLOOKUP(Table2[[#This Row],[Home/Neutral]],rtg_vlookup,4,FALSE)+VLOOKUP(Table2[[#This Row],[Visitor/Neutral]],rtg_vlookup,4,FALSE)</f>
        <v>7.0148815165876695</v>
      </c>
      <c r="W586" s="25"/>
      <c r="X586" s="2"/>
      <c r="Y586" s="2">
        <f>Table2[[#This Row],[Away EV]]-Table2[[#This Row],[Home EV]]</f>
        <v>5.7198168799816074</v>
      </c>
      <c r="Z586" s="33"/>
      <c r="AA586" s="34"/>
      <c r="AB586" s="5" t="b">
        <f>IF(VLOOKUP(Table2[[#This Row],[Home/Neutral]],division_lookup,9,FALSE)=VLOOKUP(Table2[[#This Row],[Visitor/Neutral]],division_lookup,9,FALSE),TRUE,FALSE)</f>
        <v>0</v>
      </c>
      <c r="AC586" s="19" t="str">
        <f>VLOOKUP(Table2[[#This Row],[Home/Neutral]],division_lookup,9,FALSE)</f>
        <v>NW</v>
      </c>
      <c r="AD586" s="19"/>
      <c r="AE586" s="19" t="str">
        <f>IF(Table2[[#This Row],[Total EV ®]]&lt;Table2[[#This Row],[Total (V)]],"UNDER","OVER")</f>
        <v>OVER</v>
      </c>
      <c r="AF586" s="30">
        <f>Table2[[#This Row],[(A) Spread]]-Table2[[#This Row],[Spread (V)]]</f>
        <v>0</v>
      </c>
      <c r="AG586" s="19"/>
      <c r="AH586" s="2">
        <f>Table2[[#This Row],[EV]]-Table2[[#This Row],[Spread (V)]]</f>
        <v>5.7198168799816074</v>
      </c>
      <c r="AI586" s="22">
        <f>Table2[[#This Row],[(A)]]-Table2[[#This Row],[Spread]]</f>
        <v>7.0148815165876695</v>
      </c>
      <c r="AJ586" s="1">
        <f>Table2[[#This Row],[(A) Err]]^2</f>
        <v>49.208562691763319</v>
      </c>
      <c r="AK586" s="6">
        <f>Table2[[#This Row],[EV]]-Table2[[#This Row],[Spread]]</f>
        <v>5.7198168799816074</v>
      </c>
      <c r="AL586" s="1">
        <f>Table2[[#This Row],[EV Err]]^2</f>
        <v>32.716305140522529</v>
      </c>
    </row>
    <row r="587" spans="1:38" x14ac:dyDescent="0.25">
      <c r="A587" t="s">
        <v>120</v>
      </c>
      <c r="B587" t="s">
        <v>35</v>
      </c>
      <c r="C587" t="s">
        <v>34</v>
      </c>
      <c r="K587" s="25">
        <f>(Table2[[#This Row],[Home Pace]]/100)*(VLOOKUP(Table2[[#This Row],[Home/Neutral]],home_lookup,8,FALSE)+VLOOKUP(Table2[[#This Row],[Home/Neutral]],OFR_lookup,2,FALSE)+VLOOKUP(Table2[[#This Row],[Visitor/Neutral]],def_diff_lookup,6,FALSE))</f>
        <v>107.35433121209626</v>
      </c>
      <c r="L587" s="25"/>
      <c r="M587" s="25">
        <f>(Table2[[#This Row],[Away Pace]]/100)*(VLOOKUP(Table2[[#This Row],[Visitor/Neutral]],OFR_lookup,2,FALSE)+VLOOKUP(Table2[[#This Row],[Home/Neutral]],def_diff_lookup,6,FALSE))</f>
        <v>103.33557866666666</v>
      </c>
      <c r="N587" s="25"/>
      <c r="O587" s="25"/>
      <c r="P587">
        <f>VLOOKUP(Table2[[#This Row],[Home/Neutral]],pace_lookup,7,FALSE)</f>
        <v>102.2</v>
      </c>
      <c r="Q587" s="5">
        <f>VLOOKUP(Table2[[#This Row],[Visitor/Neutral]],pace_lookup,7,FALSE)</f>
        <v>98.8</v>
      </c>
      <c r="R587" s="9"/>
      <c r="V587" s="2">
        <f>-home-VLOOKUP(Table2[[#This Row],[Home/Neutral]],rtg_vlookup,4,FALSE)+VLOOKUP(Table2[[#This Row],[Visitor/Neutral]],rtg_vlookup,4,FALSE)</f>
        <v>-1.4451184834123314</v>
      </c>
      <c r="W587" s="25"/>
      <c r="X587" s="2"/>
      <c r="Y587" s="2">
        <f>Table2[[#This Row],[Away EV]]-Table2[[#This Row],[Home EV]]</f>
        <v>-4.0187525454295923</v>
      </c>
      <c r="Z587" s="33"/>
      <c r="AA587" s="34"/>
      <c r="AB587" s="5" t="b">
        <f>IF(VLOOKUP(Table2[[#This Row],[Home/Neutral]],division_lookup,9,FALSE)=VLOOKUP(Table2[[#This Row],[Visitor/Neutral]],division_lookup,9,FALSE),TRUE,FALSE)</f>
        <v>0</v>
      </c>
      <c r="AC587" s="19" t="str">
        <f>VLOOKUP(Table2[[#This Row],[Home/Neutral]],division_lookup,9,FALSE)</f>
        <v>A</v>
      </c>
      <c r="AD587" s="19"/>
      <c r="AE587" s="19" t="str">
        <f>IF(Table2[[#This Row],[Total EV ®]]&lt;Table2[[#This Row],[Total (V)]],"UNDER","OVER")</f>
        <v>OVER</v>
      </c>
      <c r="AF587" s="30">
        <f>Table2[[#This Row],[(A) Spread]]-Table2[[#This Row],[Spread (V)]]</f>
        <v>0</v>
      </c>
      <c r="AG587" s="19"/>
      <c r="AH587" s="2">
        <f>Table2[[#This Row],[EV]]-Table2[[#This Row],[Spread (V)]]</f>
        <v>-4.0187525454295923</v>
      </c>
      <c r="AI587" s="22">
        <f>Table2[[#This Row],[(A)]]-Table2[[#This Row],[Spread]]</f>
        <v>-1.4451184834123314</v>
      </c>
      <c r="AJ587" s="1">
        <f>Table2[[#This Row],[(A) Err]]^2</f>
        <v>2.0883674310999569</v>
      </c>
      <c r="AK587" s="6">
        <f>Table2[[#This Row],[EV]]-Table2[[#This Row],[Spread]]</f>
        <v>-4.0187525454295923</v>
      </c>
      <c r="AL587" s="1">
        <f>Table2[[#This Row],[EV Err]]^2</f>
        <v>16.150372021396826</v>
      </c>
    </row>
    <row r="588" spans="1:38" x14ac:dyDescent="0.25">
      <c r="A588" t="s">
        <v>120</v>
      </c>
      <c r="B588" t="s">
        <v>27</v>
      </c>
      <c r="C588" t="s">
        <v>33</v>
      </c>
      <c r="K588" s="25">
        <f>(Table2[[#This Row],[Home Pace]]/100)*(VLOOKUP(Table2[[#This Row],[Home/Neutral]],home_lookup,8,FALSE)+VLOOKUP(Table2[[#This Row],[Home/Neutral]],OFR_lookup,2,FALSE)+VLOOKUP(Table2[[#This Row],[Visitor/Neutral]],def_diff_lookup,6,FALSE))</f>
        <v>107.01045642647259</v>
      </c>
      <c r="L588" s="25"/>
      <c r="M588" s="25">
        <f>(Table2[[#This Row],[Away Pace]]/100)*(VLOOKUP(Table2[[#This Row],[Visitor/Neutral]],OFR_lookup,2,FALSE)+VLOOKUP(Table2[[#This Row],[Home/Neutral]],def_diff_lookup,6,FALSE))</f>
        <v>101.27431466666667</v>
      </c>
      <c r="N588" s="25"/>
      <c r="O588" s="25"/>
      <c r="P588">
        <f>VLOOKUP(Table2[[#This Row],[Home/Neutral]],pace_lookup,7,FALSE)</f>
        <v>99</v>
      </c>
      <c r="Q588" s="5">
        <f>VLOOKUP(Table2[[#This Row],[Visitor/Neutral]],pace_lookup,7,FALSE)</f>
        <v>98.2</v>
      </c>
      <c r="R588" s="9"/>
      <c r="V588" s="2">
        <f>-home-VLOOKUP(Table2[[#This Row],[Home/Neutral]],rtg_vlookup,4,FALSE)+VLOOKUP(Table2[[#This Row],[Visitor/Neutral]],rtg_vlookup,4,FALSE)</f>
        <v>-7.3751184834123311</v>
      </c>
      <c r="W588" s="25"/>
      <c r="X588" s="2"/>
      <c r="Y588" s="2">
        <f>Table2[[#This Row],[Away EV]]-Table2[[#This Row],[Home EV]]</f>
        <v>-5.7361417598059177</v>
      </c>
      <c r="Z588" s="33"/>
      <c r="AA588" s="34"/>
      <c r="AB588" s="5" t="b">
        <f>IF(VLOOKUP(Table2[[#This Row],[Home/Neutral]],division_lookup,9,FALSE)=VLOOKUP(Table2[[#This Row],[Visitor/Neutral]],division_lookup,9,FALSE),TRUE,FALSE)</f>
        <v>0</v>
      </c>
      <c r="AC588" s="19" t="str">
        <f>VLOOKUP(Table2[[#This Row],[Home/Neutral]],division_lookup,9,FALSE)</f>
        <v>NW</v>
      </c>
      <c r="AD588" s="19"/>
      <c r="AE588" s="19" t="str">
        <f>IF(Table2[[#This Row],[Total EV ®]]&lt;Table2[[#This Row],[Total (V)]],"UNDER","OVER")</f>
        <v>OVER</v>
      </c>
      <c r="AF588" s="30">
        <f>Table2[[#This Row],[(A) Spread]]-Table2[[#This Row],[Spread (V)]]</f>
        <v>0</v>
      </c>
      <c r="AG588" s="19"/>
      <c r="AH588" s="2">
        <f>Table2[[#This Row],[EV]]-Table2[[#This Row],[Spread (V)]]</f>
        <v>-5.7361417598059177</v>
      </c>
      <c r="AI588" s="22">
        <f>Table2[[#This Row],[(A)]]-Table2[[#This Row],[Spread]]</f>
        <v>-7.3751184834123311</v>
      </c>
      <c r="AJ588" s="1">
        <f>Table2[[#This Row],[(A) Err]]^2</f>
        <v>54.392372644370205</v>
      </c>
      <c r="AK588" s="6">
        <f>Table2[[#This Row],[EV]]-Table2[[#This Row],[Spread]]</f>
        <v>-5.7361417598059177</v>
      </c>
      <c r="AL588" s="1">
        <f>Table2[[#This Row],[EV Err]]^2</f>
        <v>32.90332228858933</v>
      </c>
    </row>
    <row r="589" spans="1:38" x14ac:dyDescent="0.25">
      <c r="A589" t="s">
        <v>120</v>
      </c>
      <c r="B589" t="s">
        <v>10</v>
      </c>
      <c r="C589" t="s">
        <v>25</v>
      </c>
      <c r="K589" s="25">
        <f>(Table2[[#This Row],[Home Pace]]/100)*(VLOOKUP(Table2[[#This Row],[Home/Neutral]],home_lookup,8,FALSE)+VLOOKUP(Table2[[#This Row],[Home/Neutral]],OFR_lookup,2,FALSE)+VLOOKUP(Table2[[#This Row],[Visitor/Neutral]],def_diff_lookup,6,FALSE))</f>
        <v>103.49526853790562</v>
      </c>
      <c r="L589" s="25"/>
      <c r="M589" s="25">
        <f>(Table2[[#This Row],[Away Pace]]/100)*(VLOOKUP(Table2[[#This Row],[Visitor/Neutral]],OFR_lookup,2,FALSE)+VLOOKUP(Table2[[#This Row],[Home/Neutral]],def_diff_lookup,6,FALSE))</f>
        <v>98.346549333333343</v>
      </c>
      <c r="N589" s="25"/>
      <c r="O589" s="25"/>
      <c r="P589">
        <f>VLOOKUP(Table2[[#This Row],[Home/Neutral]],pace_lookup,7,FALSE)</f>
        <v>100.3</v>
      </c>
      <c r="Q589" s="5">
        <f>VLOOKUP(Table2[[#This Row],[Visitor/Neutral]],pace_lookup,7,FALSE)</f>
        <v>94.4</v>
      </c>
      <c r="R589" s="9"/>
      <c r="V589" s="2">
        <f>-home-VLOOKUP(Table2[[#This Row],[Home/Neutral]],rtg_vlookup,4,FALSE)+VLOOKUP(Table2[[#This Row],[Visitor/Neutral]],rtg_vlookup,4,FALSE)</f>
        <v>-11.215118483412331</v>
      </c>
      <c r="W589" s="25"/>
      <c r="X589" s="2"/>
      <c r="Y589" s="2">
        <f>Table2[[#This Row],[Away EV]]-Table2[[#This Row],[Home EV]]</f>
        <v>-5.1487192045722736</v>
      </c>
      <c r="Z589" s="33"/>
      <c r="AA589" s="34"/>
      <c r="AB589" s="5" t="b">
        <f>IF(VLOOKUP(Table2[[#This Row],[Home/Neutral]],division_lookup,9,FALSE)=VLOOKUP(Table2[[#This Row],[Visitor/Neutral]],division_lookup,9,FALSE),TRUE,FALSE)</f>
        <v>0</v>
      </c>
      <c r="AC589" s="19" t="str">
        <f>VLOOKUP(Table2[[#This Row],[Home/Neutral]],division_lookup,9,FALSE)</f>
        <v>P</v>
      </c>
      <c r="AD589" s="19"/>
      <c r="AE589" s="19" t="str">
        <f>IF(Table2[[#This Row],[Total EV ®]]&lt;Table2[[#This Row],[Total (V)]],"UNDER","OVER")</f>
        <v>OVER</v>
      </c>
      <c r="AF589" s="30">
        <f>Table2[[#This Row],[(A) Spread]]-Table2[[#This Row],[Spread (V)]]</f>
        <v>0</v>
      </c>
      <c r="AG589" s="19"/>
      <c r="AH589" s="2">
        <f>Table2[[#This Row],[EV]]-Table2[[#This Row],[Spread (V)]]</f>
        <v>-5.1487192045722736</v>
      </c>
      <c r="AI589" s="22">
        <f>Table2[[#This Row],[(A)]]-Table2[[#This Row],[Spread]]</f>
        <v>-11.215118483412331</v>
      </c>
      <c r="AJ589" s="1">
        <f>Table2[[#This Row],[(A) Err]]^2</f>
        <v>125.7788825969769</v>
      </c>
      <c r="AK589" s="6">
        <f>Table2[[#This Row],[EV]]-Table2[[#This Row],[Spread]]</f>
        <v>-5.1487192045722736</v>
      </c>
      <c r="AL589" s="1">
        <f>Table2[[#This Row],[EV Err]]^2</f>
        <v>26.509309447531347</v>
      </c>
    </row>
    <row r="590" spans="1:38" x14ac:dyDescent="0.25">
      <c r="A590" t="s">
        <v>120</v>
      </c>
      <c r="B590" t="s">
        <v>31</v>
      </c>
      <c r="C590" t="s">
        <v>13</v>
      </c>
      <c r="K590" s="25">
        <f>(Table2[[#This Row],[Home Pace]]/100)*(VLOOKUP(Table2[[#This Row],[Home/Neutral]],home_lookup,8,FALSE)+VLOOKUP(Table2[[#This Row],[Home/Neutral]],OFR_lookup,2,FALSE)+VLOOKUP(Table2[[#This Row],[Visitor/Neutral]],def_diff_lookup,6,FALSE))</f>
        <v>109.6893743021789</v>
      </c>
      <c r="L590" s="25"/>
      <c r="M590" s="25">
        <f>(Table2[[#This Row],[Away Pace]]/100)*(VLOOKUP(Table2[[#This Row],[Visitor/Neutral]],OFR_lookup,2,FALSE)+VLOOKUP(Table2[[#This Row],[Home/Neutral]],def_diff_lookup,6,FALSE))</f>
        <v>109.60173</v>
      </c>
      <c r="N590" s="25"/>
      <c r="O590" s="25"/>
      <c r="P590">
        <f>VLOOKUP(Table2[[#This Row],[Home/Neutral]],pace_lookup,7,FALSE)</f>
        <v>96</v>
      </c>
      <c r="Q590" s="5">
        <f>VLOOKUP(Table2[[#This Row],[Visitor/Neutral]],pace_lookup,7,FALSE)</f>
        <v>94.5</v>
      </c>
      <c r="R590" s="9"/>
      <c r="V590" s="2">
        <f>-home-VLOOKUP(Table2[[#This Row],[Home/Neutral]],rtg_vlookup,4,FALSE)+VLOOKUP(Table2[[#This Row],[Visitor/Neutral]],rtg_vlookup,4,FALSE)</f>
        <v>5.1548815165876691</v>
      </c>
      <c r="W590" s="25"/>
      <c r="X590" s="2"/>
      <c r="Y590" s="2">
        <f>Table2[[#This Row],[Away EV]]-Table2[[#This Row],[Home EV]]</f>
        <v>-8.7644302178901512E-2</v>
      </c>
      <c r="Z590" s="33"/>
      <c r="AA590" s="34"/>
      <c r="AB590" s="5" t="b">
        <f>IF(VLOOKUP(Table2[[#This Row],[Home/Neutral]],division_lookup,9,FALSE)=VLOOKUP(Table2[[#This Row],[Visitor/Neutral]],division_lookup,9,FALSE),TRUE,FALSE)</f>
        <v>0</v>
      </c>
      <c r="AC590" s="19" t="str">
        <f>VLOOKUP(Table2[[#This Row],[Home/Neutral]],division_lookup,9,FALSE)</f>
        <v>A</v>
      </c>
      <c r="AD590" s="19"/>
      <c r="AE590" s="19" t="str">
        <f>IF(Table2[[#This Row],[Total EV ®]]&lt;Table2[[#This Row],[Total (V)]],"UNDER","OVER")</f>
        <v>OVER</v>
      </c>
      <c r="AF590" s="30">
        <f>Table2[[#This Row],[(A) Spread]]-Table2[[#This Row],[Spread (V)]]</f>
        <v>0</v>
      </c>
      <c r="AG590" s="19"/>
      <c r="AH590" s="2">
        <f>Table2[[#This Row],[EV]]-Table2[[#This Row],[Spread (V)]]</f>
        <v>-8.7644302178901512E-2</v>
      </c>
      <c r="AI590" s="22">
        <f>Table2[[#This Row],[(A)]]-Table2[[#This Row],[Spread]]</f>
        <v>5.1548815165876691</v>
      </c>
      <c r="AJ590" s="1">
        <f>Table2[[#This Row],[(A) Err]]^2</f>
        <v>26.572803450057187</v>
      </c>
      <c r="AK590" s="6">
        <f>Table2[[#This Row],[EV]]-Table2[[#This Row],[Spread]]</f>
        <v>-8.7644302178901512E-2</v>
      </c>
      <c r="AL590" s="1">
        <f>Table2[[#This Row],[EV Err]]^2</f>
        <v>7.6815237044266004E-3</v>
      </c>
    </row>
    <row r="591" spans="1:38" x14ac:dyDescent="0.25">
      <c r="A591" t="s">
        <v>120</v>
      </c>
      <c r="B591" t="s">
        <v>36</v>
      </c>
      <c r="C591" t="s">
        <v>37</v>
      </c>
      <c r="K591" s="25">
        <f>(Table2[[#This Row],[Home Pace]]/100)*(VLOOKUP(Table2[[#This Row],[Home/Neutral]],home_lookup,8,FALSE)+VLOOKUP(Table2[[#This Row],[Home/Neutral]],OFR_lookup,2,FALSE)+VLOOKUP(Table2[[#This Row],[Visitor/Neutral]],def_diff_lookup,6,FALSE))</f>
        <v>104.35507156604042</v>
      </c>
      <c r="L591" s="25"/>
      <c r="M591" s="25">
        <f>(Table2[[#This Row],[Away Pace]]/100)*(VLOOKUP(Table2[[#This Row],[Visitor/Neutral]],OFR_lookup,2,FALSE)+VLOOKUP(Table2[[#This Row],[Home/Neutral]],def_diff_lookup,6,FALSE))</f>
        <v>90.820424000000003</v>
      </c>
      <c r="N591" s="25"/>
      <c r="O591" s="25"/>
      <c r="P591">
        <f>VLOOKUP(Table2[[#This Row],[Home/Neutral]],pace_lookup,7,FALSE)</f>
        <v>102.2</v>
      </c>
      <c r="Q591" s="5">
        <f>VLOOKUP(Table2[[#This Row],[Visitor/Neutral]],pace_lookup,7,FALSE)</f>
        <v>92.1</v>
      </c>
      <c r="R591" s="9"/>
      <c r="V591" s="2">
        <f>-home-VLOOKUP(Table2[[#This Row],[Home/Neutral]],rtg_vlookup,4,FALSE)+VLOOKUP(Table2[[#This Row],[Visitor/Neutral]],rtg_vlookup,4,FALSE)</f>
        <v>-4.005118483412331</v>
      </c>
      <c r="W591" s="25"/>
      <c r="X591" s="2"/>
      <c r="Y591" s="2">
        <f>Table2[[#This Row],[Away EV]]-Table2[[#This Row],[Home EV]]</f>
        <v>-13.53464756604042</v>
      </c>
      <c r="Z591" s="33"/>
      <c r="AA591" s="34"/>
      <c r="AB591" s="5" t="b">
        <f>IF(VLOOKUP(Table2[[#This Row],[Home/Neutral]],division_lookup,9,FALSE)=VLOOKUP(Table2[[#This Row],[Visitor/Neutral]],division_lookup,9,FALSE),TRUE,FALSE)</f>
        <v>0</v>
      </c>
      <c r="AC591" s="19" t="str">
        <f>VLOOKUP(Table2[[#This Row],[Home/Neutral]],division_lookup,9,FALSE)</f>
        <v>P</v>
      </c>
      <c r="AD591" s="19"/>
      <c r="AE591" s="19" t="str">
        <f>IF(Table2[[#This Row],[Total EV ®]]&lt;Table2[[#This Row],[Total (V)]],"UNDER","OVER")</f>
        <v>OVER</v>
      </c>
      <c r="AF591" s="30">
        <f>Table2[[#This Row],[(A) Spread]]-Table2[[#This Row],[Spread (V)]]</f>
        <v>0</v>
      </c>
      <c r="AG591" s="19"/>
      <c r="AH591" s="2">
        <f>Table2[[#This Row],[EV]]-Table2[[#This Row],[Spread (V)]]</f>
        <v>-13.53464756604042</v>
      </c>
      <c r="AI591" s="22">
        <f>Table2[[#This Row],[(A)]]-Table2[[#This Row],[Spread]]</f>
        <v>-4.005118483412331</v>
      </c>
      <c r="AJ591" s="1">
        <f>Table2[[#This Row],[(A) Err]]^2</f>
        <v>16.040974066171092</v>
      </c>
      <c r="AK591" s="6">
        <f>Table2[[#This Row],[EV]]-Table2[[#This Row],[Spread]]</f>
        <v>-13.53464756604042</v>
      </c>
      <c r="AL591" s="1">
        <f>Table2[[#This Row],[EV Err]]^2</f>
        <v>183.18668473692387</v>
      </c>
    </row>
    <row r="592" spans="1:38" x14ac:dyDescent="0.25">
      <c r="A592" t="s">
        <v>120</v>
      </c>
      <c r="B592" t="s">
        <v>6</v>
      </c>
      <c r="C592" t="s">
        <v>24</v>
      </c>
      <c r="K592" s="25">
        <f>(Table2[[#This Row],[Home Pace]]/100)*(VLOOKUP(Table2[[#This Row],[Home/Neutral]],home_lookup,8,FALSE)+VLOOKUP(Table2[[#This Row],[Home/Neutral]],OFR_lookup,2,FALSE)+VLOOKUP(Table2[[#This Row],[Visitor/Neutral]],def_diff_lookup,6,FALSE))</f>
        <v>106.71832787062243</v>
      </c>
      <c r="L592" s="25"/>
      <c r="M592" s="25">
        <f>(Table2[[#This Row],[Away Pace]]/100)*(VLOOKUP(Table2[[#This Row],[Visitor/Neutral]],OFR_lookup,2,FALSE)+VLOOKUP(Table2[[#This Row],[Home/Neutral]],def_diff_lookup,6,FALSE))</f>
        <v>108.12243600000002</v>
      </c>
      <c r="N592" s="25"/>
      <c r="O592" s="25"/>
      <c r="P592">
        <f>VLOOKUP(Table2[[#This Row],[Home/Neutral]],pace_lookup,7,FALSE)</f>
        <v>93.1</v>
      </c>
      <c r="Q592" s="5">
        <f>VLOOKUP(Table2[[#This Row],[Visitor/Neutral]],pace_lookup,7,FALSE)</f>
        <v>99.9</v>
      </c>
      <c r="R592" s="9"/>
      <c r="V592" s="2">
        <f>-home-VLOOKUP(Table2[[#This Row],[Home/Neutral]],rtg_vlookup,4,FALSE)+VLOOKUP(Table2[[#This Row],[Visitor/Neutral]],rtg_vlookup,4,FALSE)</f>
        <v>-9.465118483412331</v>
      </c>
      <c r="W592" s="25"/>
      <c r="X592" s="2"/>
      <c r="Y592" s="2">
        <f>Table2[[#This Row],[Away EV]]-Table2[[#This Row],[Home EV]]</f>
        <v>1.4041081293775903</v>
      </c>
      <c r="Z592" s="33"/>
      <c r="AA592" s="34"/>
      <c r="AB592" s="5" t="b">
        <f>IF(VLOOKUP(Table2[[#This Row],[Home/Neutral]],division_lookup,9,FALSE)=VLOOKUP(Table2[[#This Row],[Visitor/Neutral]],division_lookup,9,FALSE),TRUE,FALSE)</f>
        <v>0</v>
      </c>
      <c r="AC592" s="19" t="str">
        <f>VLOOKUP(Table2[[#This Row],[Home/Neutral]],division_lookup,9,FALSE)</f>
        <v>SW</v>
      </c>
      <c r="AD592" s="19"/>
      <c r="AE592" s="19" t="str">
        <f>IF(Table2[[#This Row],[Total EV ®]]&lt;Table2[[#This Row],[Total (V)]],"UNDER","OVER")</f>
        <v>OVER</v>
      </c>
      <c r="AF592" s="30">
        <f>Table2[[#This Row],[(A) Spread]]-Table2[[#This Row],[Spread (V)]]</f>
        <v>0</v>
      </c>
      <c r="AG592" s="19"/>
      <c r="AH592" s="2">
        <f>Table2[[#This Row],[EV]]-Table2[[#This Row],[Spread (V)]]</f>
        <v>1.4041081293775903</v>
      </c>
      <c r="AI592" s="22">
        <f>Table2[[#This Row],[(A)]]-Table2[[#This Row],[Spread]]</f>
        <v>-9.465118483412331</v>
      </c>
      <c r="AJ592" s="1">
        <f>Table2[[#This Row],[(A) Err]]^2</f>
        <v>89.588467905033738</v>
      </c>
      <c r="AK592" s="6">
        <f>Table2[[#This Row],[EV]]-Table2[[#This Row],[Spread]]</f>
        <v>1.4041081293775903</v>
      </c>
      <c r="AL592" s="1">
        <f>Table2[[#This Row],[EV Err]]^2</f>
        <v>1.971519638984236</v>
      </c>
    </row>
    <row r="593" spans="1:38" x14ac:dyDescent="0.25">
      <c r="A593" t="s">
        <v>121</v>
      </c>
      <c r="B593" t="s">
        <v>11</v>
      </c>
      <c r="C593" t="s">
        <v>26</v>
      </c>
      <c r="K593" s="25">
        <f>(Table2[[#This Row],[Home Pace]]/100)*(VLOOKUP(Table2[[#This Row],[Home/Neutral]],home_lookup,8,FALSE)+VLOOKUP(Table2[[#This Row],[Home/Neutral]],OFR_lookup,2,FALSE)+VLOOKUP(Table2[[#This Row],[Visitor/Neutral]],def_diff_lookup,6,FALSE))</f>
        <v>100.25512904407282</v>
      </c>
      <c r="L593" s="25"/>
      <c r="M593" s="25">
        <f>(Table2[[#This Row],[Away Pace]]/100)*(VLOOKUP(Table2[[#This Row],[Visitor/Neutral]],OFR_lookup,2,FALSE)+VLOOKUP(Table2[[#This Row],[Home/Neutral]],def_diff_lookup,6,FALSE))</f>
        <v>96.039040000000014</v>
      </c>
      <c r="N593" s="25"/>
      <c r="O593" s="25"/>
      <c r="P593">
        <f>VLOOKUP(Table2[[#This Row],[Home/Neutral]],pace_lookup,7,FALSE)</f>
        <v>99.7</v>
      </c>
      <c r="Q593" s="5">
        <f>VLOOKUP(Table2[[#This Row],[Visitor/Neutral]],pace_lookup,7,FALSE)</f>
        <v>96</v>
      </c>
      <c r="R593" s="9"/>
      <c r="V593" s="2">
        <f>-home-VLOOKUP(Table2[[#This Row],[Home/Neutral]],rtg_vlookup,4,FALSE)+VLOOKUP(Table2[[#This Row],[Visitor/Neutral]],rtg_vlookup,4,FALSE)</f>
        <v>-9.2651184834123317</v>
      </c>
      <c r="W593" s="25"/>
      <c r="X593" s="2"/>
      <c r="Y593" s="2">
        <f>Table2[[#This Row],[Away EV]]-Table2[[#This Row],[Home EV]]</f>
        <v>-4.2160890440728025</v>
      </c>
      <c r="Z593" s="33"/>
      <c r="AA593" s="34"/>
      <c r="AB593" s="5" t="b">
        <f>IF(VLOOKUP(Table2[[#This Row],[Home/Neutral]],division_lookup,9,FALSE)=VLOOKUP(Table2[[#This Row],[Visitor/Neutral]],division_lookup,9,FALSE),TRUE,FALSE)</f>
        <v>0</v>
      </c>
      <c r="AC593" s="19" t="str">
        <f>VLOOKUP(Table2[[#This Row],[Home/Neutral]],division_lookup,9,FALSE)</f>
        <v>SE</v>
      </c>
      <c r="AD593" s="19"/>
      <c r="AE593" s="19" t="str">
        <f>IF(Table2[[#This Row],[Total EV ®]]&lt;Table2[[#This Row],[Total (V)]],"UNDER","OVER")</f>
        <v>OVER</v>
      </c>
      <c r="AF593" s="30">
        <f>Table2[[#This Row],[(A) Spread]]-Table2[[#This Row],[Spread (V)]]</f>
        <v>0</v>
      </c>
      <c r="AG593" s="19"/>
      <c r="AH593" s="2">
        <f>Table2[[#This Row],[EV]]-Table2[[#This Row],[Spread (V)]]</f>
        <v>-4.2160890440728025</v>
      </c>
      <c r="AI593" s="22">
        <f>Table2[[#This Row],[(A)]]-Table2[[#This Row],[Spread]]</f>
        <v>-9.2651184834123317</v>
      </c>
      <c r="AJ593" s="1">
        <f>Table2[[#This Row],[(A) Err]]^2</f>
        <v>85.84242051166882</v>
      </c>
      <c r="AK593" s="6">
        <f>Table2[[#This Row],[EV]]-Table2[[#This Row],[Spread]]</f>
        <v>-4.2160890440728025</v>
      </c>
      <c r="AL593" s="1">
        <f>Table2[[#This Row],[EV Err]]^2</f>
        <v>17.775406827550718</v>
      </c>
    </row>
    <row r="594" spans="1:38" x14ac:dyDescent="0.25">
      <c r="A594" t="s">
        <v>121</v>
      </c>
      <c r="B594" t="s">
        <v>17</v>
      </c>
      <c r="C594" t="s">
        <v>23</v>
      </c>
      <c r="K594" s="25">
        <f>(Table2[[#This Row],[Home Pace]]/100)*(VLOOKUP(Table2[[#This Row],[Home/Neutral]],home_lookup,8,FALSE)+VLOOKUP(Table2[[#This Row],[Home/Neutral]],OFR_lookup,2,FALSE)+VLOOKUP(Table2[[#This Row],[Visitor/Neutral]],def_diff_lookup,6,FALSE))</f>
        <v>105.06206692873545</v>
      </c>
      <c r="L594" s="25"/>
      <c r="M594" s="25">
        <f>(Table2[[#This Row],[Away Pace]]/100)*(VLOOKUP(Table2[[#This Row],[Visitor/Neutral]],OFR_lookup,2,FALSE)+VLOOKUP(Table2[[#This Row],[Home/Neutral]],def_diff_lookup,6,FALSE))</f>
        <v>99.530616666666688</v>
      </c>
      <c r="N594" s="25"/>
      <c r="O594" s="25"/>
      <c r="P594">
        <f>VLOOKUP(Table2[[#This Row],[Home/Neutral]],pace_lookup,7,FALSE)</f>
        <v>96.7</v>
      </c>
      <c r="Q594" s="5">
        <f>VLOOKUP(Table2[[#This Row],[Visitor/Neutral]],pace_lookup,7,FALSE)</f>
        <v>92.5</v>
      </c>
      <c r="R594" s="9"/>
      <c r="V594" s="2">
        <f>-home-VLOOKUP(Table2[[#This Row],[Home/Neutral]],rtg_vlookup,4,FALSE)+VLOOKUP(Table2[[#This Row],[Visitor/Neutral]],rtg_vlookup,4,FALSE)</f>
        <v>-4.5651184834123306</v>
      </c>
      <c r="W594" s="25"/>
      <c r="X594" s="2"/>
      <c r="Y594" s="2">
        <f>Table2[[#This Row],[Away EV]]-Table2[[#This Row],[Home EV]]</f>
        <v>-5.5314502620687591</v>
      </c>
      <c r="Z594" s="33"/>
      <c r="AA594" s="34"/>
      <c r="AB594" s="5" t="b">
        <f>IF(VLOOKUP(Table2[[#This Row],[Home/Neutral]],division_lookup,9,FALSE)=VLOOKUP(Table2[[#This Row],[Visitor/Neutral]],division_lookup,9,FALSE),TRUE,FALSE)</f>
        <v>1</v>
      </c>
      <c r="AC594" s="19" t="str">
        <f>VLOOKUP(Table2[[#This Row],[Home/Neutral]],division_lookup,9,FALSE)</f>
        <v>SW</v>
      </c>
      <c r="AD594" s="19"/>
      <c r="AE594" s="19" t="str">
        <f>IF(Table2[[#This Row],[Total EV ®]]&lt;Table2[[#This Row],[Total (V)]],"UNDER","OVER")</f>
        <v>OVER</v>
      </c>
      <c r="AF594" s="30">
        <f>Table2[[#This Row],[(A) Spread]]-Table2[[#This Row],[Spread (V)]]</f>
        <v>0</v>
      </c>
      <c r="AG594" s="19"/>
      <c r="AH594" s="2">
        <f>Table2[[#This Row],[EV]]-Table2[[#This Row],[Spread (V)]]</f>
        <v>-5.5314502620687591</v>
      </c>
      <c r="AI594" s="22">
        <f>Table2[[#This Row],[(A)]]-Table2[[#This Row],[Spread]]</f>
        <v>-4.5651184834123306</v>
      </c>
      <c r="AJ594" s="1">
        <f>Table2[[#This Row],[(A) Err]]^2</f>
        <v>20.840306767592896</v>
      </c>
      <c r="AK594" s="6">
        <f>Table2[[#This Row],[EV]]-Table2[[#This Row],[Spread]]</f>
        <v>-5.5314502620687591</v>
      </c>
      <c r="AL594" s="1">
        <f>Table2[[#This Row],[EV Err]]^2</f>
        <v>30.596942001740544</v>
      </c>
    </row>
    <row r="595" spans="1:38" x14ac:dyDescent="0.25">
      <c r="A595" t="s">
        <v>121</v>
      </c>
      <c r="B595" t="s">
        <v>30</v>
      </c>
      <c r="C595" t="s">
        <v>21</v>
      </c>
      <c r="K595" s="25">
        <f>(Table2[[#This Row],[Home Pace]]/100)*(VLOOKUP(Table2[[#This Row],[Home/Neutral]],home_lookup,8,FALSE)+VLOOKUP(Table2[[#This Row],[Home/Neutral]],OFR_lookup,2,FALSE)+VLOOKUP(Table2[[#This Row],[Visitor/Neutral]],def_diff_lookup,6,FALSE))</f>
        <v>104.46296034993645</v>
      </c>
      <c r="L595" s="25"/>
      <c r="M595" s="25">
        <f>(Table2[[#This Row],[Away Pace]]/100)*(VLOOKUP(Table2[[#This Row],[Visitor/Neutral]],OFR_lookup,2,FALSE)+VLOOKUP(Table2[[#This Row],[Home/Neutral]],def_diff_lookup,6,FALSE))</f>
        <v>98.336008000000021</v>
      </c>
      <c r="N595" s="25"/>
      <c r="O595" s="25"/>
      <c r="P595">
        <f>VLOOKUP(Table2[[#This Row],[Home/Neutral]],pace_lookup,7,FALSE)</f>
        <v>96.8</v>
      </c>
      <c r="Q595" s="5">
        <f>VLOOKUP(Table2[[#This Row],[Visitor/Neutral]],pace_lookup,7,FALSE)</f>
        <v>94.2</v>
      </c>
      <c r="R595" s="9"/>
      <c r="V595" s="2">
        <f>-home-VLOOKUP(Table2[[#This Row],[Home/Neutral]],rtg_vlookup,4,FALSE)+VLOOKUP(Table2[[#This Row],[Visitor/Neutral]],rtg_vlookup,4,FALSE)</f>
        <v>-0.305118483412331</v>
      </c>
      <c r="W595" s="25"/>
      <c r="X595" s="2"/>
      <c r="Y595" s="2">
        <f>Table2[[#This Row],[Away EV]]-Table2[[#This Row],[Home EV]]</f>
        <v>-6.1269523499364311</v>
      </c>
      <c r="Z595" s="33"/>
      <c r="AA595" s="34"/>
      <c r="AB595" s="5" t="b">
        <f>IF(VLOOKUP(Table2[[#This Row],[Home/Neutral]],division_lookup,9,FALSE)=VLOOKUP(Table2[[#This Row],[Visitor/Neutral]],division_lookup,9,FALSE),TRUE,FALSE)</f>
        <v>0</v>
      </c>
      <c r="AC595" s="19" t="str">
        <f>VLOOKUP(Table2[[#This Row],[Home/Neutral]],division_lookup,9,FALSE)</f>
        <v>C</v>
      </c>
      <c r="AD595" s="19"/>
      <c r="AE595" s="19" t="str">
        <f>IF(Table2[[#This Row],[Total EV ®]]&lt;Table2[[#This Row],[Total (V)]],"UNDER","OVER")</f>
        <v>OVER</v>
      </c>
      <c r="AF595" s="30">
        <f>Table2[[#This Row],[(A) Spread]]-Table2[[#This Row],[Spread (V)]]</f>
        <v>0</v>
      </c>
      <c r="AG595" s="19"/>
      <c r="AH595" s="2">
        <f>Table2[[#This Row],[EV]]-Table2[[#This Row],[Spread (V)]]</f>
        <v>-6.1269523499364311</v>
      </c>
      <c r="AI595" s="22">
        <f>Table2[[#This Row],[(A)]]-Table2[[#This Row],[Spread]]</f>
        <v>-0.305118483412331</v>
      </c>
      <c r="AJ595" s="1">
        <f>Table2[[#This Row],[(A) Err]]^2</f>
        <v>9.3097288919840912E-2</v>
      </c>
      <c r="AK595" s="6">
        <f>Table2[[#This Row],[EV]]-Table2[[#This Row],[Spread]]</f>
        <v>-6.1269523499364311</v>
      </c>
      <c r="AL595" s="1">
        <f>Table2[[#This Row],[EV Err]]^2</f>
        <v>37.539545098391557</v>
      </c>
    </row>
    <row r="596" spans="1:38" x14ac:dyDescent="0.25">
      <c r="A596" t="s">
        <v>121</v>
      </c>
      <c r="B596" t="s">
        <v>22</v>
      </c>
      <c r="C596" t="s">
        <v>18</v>
      </c>
      <c r="K596" s="25">
        <f>(Table2[[#This Row],[Home Pace]]/100)*(VLOOKUP(Table2[[#This Row],[Home/Neutral]],home_lookup,8,FALSE)+VLOOKUP(Table2[[#This Row],[Home/Neutral]],OFR_lookup,2,FALSE)+VLOOKUP(Table2[[#This Row],[Visitor/Neutral]],def_diff_lookup,6,FALSE))</f>
        <v>106.96694922968976</v>
      </c>
      <c r="L596" s="25"/>
      <c r="M596" s="25">
        <f>(Table2[[#This Row],[Away Pace]]/100)*(VLOOKUP(Table2[[#This Row],[Visitor/Neutral]],OFR_lookup,2,FALSE)+VLOOKUP(Table2[[#This Row],[Home/Neutral]],def_diff_lookup,6,FALSE))</f>
        <v>107.94821333333336</v>
      </c>
      <c r="N596" s="25"/>
      <c r="O596" s="25"/>
      <c r="P596">
        <f>VLOOKUP(Table2[[#This Row],[Home/Neutral]],pace_lookup,7,FALSE)</f>
        <v>94.7</v>
      </c>
      <c r="Q596" s="5">
        <f>VLOOKUP(Table2[[#This Row],[Visitor/Neutral]],pace_lookup,7,FALSE)</f>
        <v>99.5</v>
      </c>
      <c r="R596" s="9"/>
      <c r="V596" s="2">
        <f>-home-VLOOKUP(Table2[[#This Row],[Home/Neutral]],rtg_vlookup,4,FALSE)+VLOOKUP(Table2[[#This Row],[Visitor/Neutral]],rtg_vlookup,4,FALSE)</f>
        <v>-1.3051184834123308</v>
      </c>
      <c r="W596" s="25"/>
      <c r="X596" s="2"/>
      <c r="Y596" s="2">
        <f>Table2[[#This Row],[Away EV]]-Table2[[#This Row],[Home EV]]</f>
        <v>0.98126410364359629</v>
      </c>
      <c r="Z596" s="33"/>
      <c r="AA596" s="34"/>
      <c r="AB596" s="5" t="b">
        <f>IF(VLOOKUP(Table2[[#This Row],[Home/Neutral]],division_lookup,9,FALSE)=VLOOKUP(Table2[[#This Row],[Visitor/Neutral]],division_lookup,9,FALSE),TRUE,FALSE)</f>
        <v>1</v>
      </c>
      <c r="AC596" s="19" t="str">
        <f>VLOOKUP(Table2[[#This Row],[Home/Neutral]],division_lookup,9,FALSE)</f>
        <v>NW</v>
      </c>
      <c r="AD596" s="19"/>
      <c r="AE596" s="19" t="str">
        <f>IF(Table2[[#This Row],[Total EV ®]]&lt;Table2[[#This Row],[Total (V)]],"UNDER","OVER")</f>
        <v>OVER</v>
      </c>
      <c r="AF596" s="30">
        <f>Table2[[#This Row],[(A) Spread]]-Table2[[#This Row],[Spread (V)]]</f>
        <v>0</v>
      </c>
      <c r="AG596" s="19"/>
      <c r="AH596" s="2">
        <f>Table2[[#This Row],[EV]]-Table2[[#This Row],[Spread (V)]]</f>
        <v>0.98126410364359629</v>
      </c>
      <c r="AI596" s="22">
        <f>Table2[[#This Row],[(A)]]-Table2[[#This Row],[Spread]]</f>
        <v>-1.3051184834123308</v>
      </c>
      <c r="AJ596" s="1">
        <f>Table2[[#This Row],[(A) Err]]^2</f>
        <v>1.7033342557445024</v>
      </c>
      <c r="AK596" s="6">
        <f>Table2[[#This Row],[EV]]-Table2[[#This Row],[Spread]]</f>
        <v>0.98126410364359629</v>
      </c>
      <c r="AL596" s="1">
        <f>Table2[[#This Row],[EV Err]]^2</f>
        <v>0.96287924109947043</v>
      </c>
    </row>
    <row r="597" spans="1:38" x14ac:dyDescent="0.25">
      <c r="A597" t="s">
        <v>121</v>
      </c>
      <c r="B597" t="s">
        <v>39</v>
      </c>
      <c r="C597" t="s">
        <v>16</v>
      </c>
      <c r="K597" s="25">
        <f>(Table2[[#This Row],[Home Pace]]/100)*(VLOOKUP(Table2[[#This Row],[Home/Neutral]],home_lookup,8,FALSE)+VLOOKUP(Table2[[#This Row],[Home/Neutral]],OFR_lookup,2,FALSE)+VLOOKUP(Table2[[#This Row],[Visitor/Neutral]],def_diff_lookup,6,FALSE))</f>
        <v>105.61202211468579</v>
      </c>
      <c r="L597" s="25"/>
      <c r="M597" s="25">
        <f>(Table2[[#This Row],[Away Pace]]/100)*(VLOOKUP(Table2[[#This Row],[Visitor/Neutral]],OFR_lookup,2,FALSE)+VLOOKUP(Table2[[#This Row],[Home/Neutral]],def_diff_lookup,6,FALSE))</f>
        <v>107.42614999999999</v>
      </c>
      <c r="N597" s="25"/>
      <c r="O597" s="25"/>
      <c r="P597">
        <f>VLOOKUP(Table2[[#This Row],[Home/Neutral]],pace_lookup,7,FALSE)</f>
        <v>97.5</v>
      </c>
      <c r="Q597" s="5">
        <f>VLOOKUP(Table2[[#This Row],[Visitor/Neutral]],pace_lookup,7,FALSE)</f>
        <v>97.5</v>
      </c>
      <c r="R597" s="9"/>
      <c r="V597" s="2">
        <f>-home-VLOOKUP(Table2[[#This Row],[Home/Neutral]],rtg_vlookup,4,FALSE)+VLOOKUP(Table2[[#This Row],[Visitor/Neutral]],rtg_vlookup,4,FALSE)</f>
        <v>9.1648815165876698</v>
      </c>
      <c r="W597" s="25"/>
      <c r="X597" s="2"/>
      <c r="Y597" s="2">
        <f>Table2[[#This Row],[Away EV]]-Table2[[#This Row],[Home EV]]</f>
        <v>1.8141278853142069</v>
      </c>
      <c r="Z597" s="33"/>
      <c r="AA597" s="34"/>
      <c r="AB597" s="5" t="b">
        <f>IF(VLOOKUP(Table2[[#This Row],[Home/Neutral]],division_lookup,9,FALSE)=VLOOKUP(Table2[[#This Row],[Visitor/Neutral]],division_lookup,9,FALSE),TRUE,FALSE)</f>
        <v>0</v>
      </c>
      <c r="AC597" s="19" t="str">
        <f>VLOOKUP(Table2[[#This Row],[Home/Neutral]],division_lookup,9,FALSE)</f>
        <v>A</v>
      </c>
      <c r="AD597" s="19"/>
      <c r="AE597" s="19" t="str">
        <f>IF(Table2[[#This Row],[Total EV ®]]&lt;Table2[[#This Row],[Total (V)]],"UNDER","OVER")</f>
        <v>OVER</v>
      </c>
      <c r="AF597" s="30">
        <f>Table2[[#This Row],[(A) Spread]]-Table2[[#This Row],[Spread (V)]]</f>
        <v>0</v>
      </c>
      <c r="AG597" s="19"/>
      <c r="AH597" s="2">
        <f>Table2[[#This Row],[EV]]-Table2[[#This Row],[Spread (V)]]</f>
        <v>1.8141278853142069</v>
      </c>
      <c r="AI597" s="22">
        <f>Table2[[#This Row],[(A)]]-Table2[[#This Row],[Spread]]</f>
        <v>9.1648815165876698</v>
      </c>
      <c r="AJ597" s="1">
        <f>Table2[[#This Row],[(A) Err]]^2</f>
        <v>83.995053213090301</v>
      </c>
      <c r="AK597" s="6">
        <f>Table2[[#This Row],[EV]]-Table2[[#This Row],[Spread]]</f>
        <v>1.8141278853142069</v>
      </c>
      <c r="AL597" s="1">
        <f>Table2[[#This Row],[EV Err]]^2</f>
        <v>3.2910599842745962</v>
      </c>
    </row>
    <row r="598" spans="1:38" x14ac:dyDescent="0.25">
      <c r="A598" t="s">
        <v>121</v>
      </c>
      <c r="B598" t="s">
        <v>32</v>
      </c>
      <c r="C598" t="s">
        <v>38</v>
      </c>
      <c r="K598" s="25">
        <f>(Table2[[#This Row],[Home Pace]]/100)*(VLOOKUP(Table2[[#This Row],[Home/Neutral]],home_lookup,8,FALSE)+VLOOKUP(Table2[[#This Row],[Home/Neutral]],OFR_lookup,2,FALSE)+VLOOKUP(Table2[[#This Row],[Visitor/Neutral]],def_diff_lookup,6,FALSE))</f>
        <v>110.31271112001839</v>
      </c>
      <c r="L598" s="25"/>
      <c r="M598" s="25">
        <f>(Table2[[#This Row],[Away Pace]]/100)*(VLOOKUP(Table2[[#This Row],[Visitor/Neutral]],OFR_lookup,2,FALSE)+VLOOKUP(Table2[[#This Row],[Home/Neutral]],def_diff_lookup,6,FALSE))</f>
        <v>97.780228000000022</v>
      </c>
      <c r="N598" s="25"/>
      <c r="O598" s="25"/>
      <c r="P598">
        <f>VLOOKUP(Table2[[#This Row],[Home/Neutral]],pace_lookup,7,FALSE)</f>
        <v>98.6</v>
      </c>
      <c r="Q598" s="5">
        <f>VLOOKUP(Table2[[#This Row],[Visitor/Neutral]],pace_lookup,7,FALSE)</f>
        <v>94.2</v>
      </c>
      <c r="R598" s="9"/>
      <c r="V598" s="2">
        <f>-home-VLOOKUP(Table2[[#This Row],[Home/Neutral]],rtg_vlookup,4,FALSE)+VLOOKUP(Table2[[#This Row],[Visitor/Neutral]],rtg_vlookup,4,FALSE)</f>
        <v>-8.5351184834123295</v>
      </c>
      <c r="W598" s="25"/>
      <c r="X598" s="2"/>
      <c r="Y598" s="2">
        <f>Table2[[#This Row],[Away EV]]-Table2[[#This Row],[Home EV]]</f>
        <v>-12.53248312001837</v>
      </c>
      <c r="Z598" s="33"/>
      <c r="AA598" s="34"/>
      <c r="AB598" s="5" t="b">
        <f>IF(VLOOKUP(Table2[[#This Row],[Home/Neutral]],division_lookup,9,FALSE)=VLOOKUP(Table2[[#This Row],[Visitor/Neutral]],division_lookup,9,FALSE),TRUE,FALSE)</f>
        <v>0</v>
      </c>
      <c r="AC598" s="19" t="str">
        <f>VLOOKUP(Table2[[#This Row],[Home/Neutral]],division_lookup,9,FALSE)</f>
        <v>NW</v>
      </c>
      <c r="AD598" s="19"/>
      <c r="AE598" s="19" t="str">
        <f>IF(Table2[[#This Row],[Total EV ®]]&lt;Table2[[#This Row],[Total (V)]],"UNDER","OVER")</f>
        <v>OVER</v>
      </c>
      <c r="AF598" s="30">
        <f>Table2[[#This Row],[(A) Spread]]-Table2[[#This Row],[Spread (V)]]</f>
        <v>0</v>
      </c>
      <c r="AG598" s="19"/>
      <c r="AH598" s="2">
        <f>Table2[[#This Row],[EV]]-Table2[[#This Row],[Spread (V)]]</f>
        <v>-12.53248312001837</v>
      </c>
      <c r="AI598" s="22">
        <f>Table2[[#This Row],[(A)]]-Table2[[#This Row],[Spread]]</f>
        <v>-8.5351184834123295</v>
      </c>
      <c r="AJ598" s="1">
        <f>Table2[[#This Row],[(A) Err]]^2</f>
        <v>72.848247525886777</v>
      </c>
      <c r="AK598" s="6">
        <f>Table2[[#This Row],[EV]]-Table2[[#This Row],[Spread]]</f>
        <v>-12.53248312001837</v>
      </c>
      <c r="AL598" s="1">
        <f>Table2[[#This Row],[EV Err]]^2</f>
        <v>157.06313315354538</v>
      </c>
    </row>
    <row r="599" spans="1:38" x14ac:dyDescent="0.25">
      <c r="A599" t="s">
        <v>121</v>
      </c>
      <c r="B599" t="s">
        <v>29</v>
      </c>
      <c r="C599" t="s">
        <v>8</v>
      </c>
      <c r="K599" s="25">
        <f>(Table2[[#This Row],[Home Pace]]/100)*(VLOOKUP(Table2[[#This Row],[Home/Neutral]],home_lookup,8,FALSE)+VLOOKUP(Table2[[#This Row],[Home/Neutral]],OFR_lookup,2,FALSE)+VLOOKUP(Table2[[#This Row],[Visitor/Neutral]],def_diff_lookup,6,FALSE))</f>
        <v>107.11322926898524</v>
      </c>
      <c r="L599" s="25"/>
      <c r="M599" s="25">
        <f>(Table2[[#This Row],[Away Pace]]/100)*(VLOOKUP(Table2[[#This Row],[Visitor/Neutral]],OFR_lookup,2,FALSE)+VLOOKUP(Table2[[#This Row],[Home/Neutral]],def_diff_lookup,6,FALSE))</f>
        <v>111.304368</v>
      </c>
      <c r="N599" s="25"/>
      <c r="O599" s="25"/>
      <c r="P599">
        <f>VLOOKUP(Table2[[#This Row],[Home/Neutral]],pace_lookup,7,FALSE)</f>
        <v>93.8</v>
      </c>
      <c r="Q599" s="5">
        <f>VLOOKUP(Table2[[#This Row],[Visitor/Neutral]],pace_lookup,7,FALSE)</f>
        <v>97.2</v>
      </c>
      <c r="R599" s="9"/>
      <c r="V599" s="2">
        <f>-home-VLOOKUP(Table2[[#This Row],[Home/Neutral]],rtg_vlookup,4,FALSE)+VLOOKUP(Table2[[#This Row],[Visitor/Neutral]],rtg_vlookup,4,FALSE)</f>
        <v>6.4248815165876696</v>
      </c>
      <c r="W599" s="25"/>
      <c r="X599" s="2"/>
      <c r="Y599" s="2">
        <f>Table2[[#This Row],[Away EV]]-Table2[[#This Row],[Home EV]]</f>
        <v>4.1911387310147603</v>
      </c>
      <c r="Z599" s="33"/>
      <c r="AA599" s="34"/>
      <c r="AB599" s="5" t="b">
        <f>IF(VLOOKUP(Table2[[#This Row],[Home/Neutral]],division_lookup,9,FALSE)=VLOOKUP(Table2[[#This Row],[Visitor/Neutral]],division_lookup,9,FALSE),TRUE,FALSE)</f>
        <v>0</v>
      </c>
      <c r="AC599" s="19" t="str">
        <f>VLOOKUP(Table2[[#This Row],[Home/Neutral]],division_lookup,9,FALSE)</f>
        <v>P</v>
      </c>
      <c r="AD599" s="19"/>
      <c r="AE599" s="19" t="str">
        <f>IF(Table2[[#This Row],[Total EV ®]]&lt;Table2[[#This Row],[Total (V)]],"UNDER","OVER")</f>
        <v>OVER</v>
      </c>
      <c r="AF599" s="30">
        <f>Table2[[#This Row],[(A) Spread]]-Table2[[#This Row],[Spread (V)]]</f>
        <v>0</v>
      </c>
      <c r="AG599" s="19"/>
      <c r="AH599" s="2">
        <f>Table2[[#This Row],[EV]]-Table2[[#This Row],[Spread (V)]]</f>
        <v>4.1911387310147603</v>
      </c>
      <c r="AI599" s="22">
        <f>Table2[[#This Row],[(A)]]-Table2[[#This Row],[Spread]]</f>
        <v>6.4248815165876696</v>
      </c>
      <c r="AJ599" s="1">
        <f>Table2[[#This Row],[(A) Err]]^2</f>
        <v>41.279102502189872</v>
      </c>
      <c r="AK599" s="6">
        <f>Table2[[#This Row],[EV]]-Table2[[#This Row],[Spread]]</f>
        <v>4.1911387310147603</v>
      </c>
      <c r="AL599" s="1">
        <f>Table2[[#This Row],[EV Err]]^2</f>
        <v>17.565643862612017</v>
      </c>
    </row>
    <row r="600" spans="1:38" x14ac:dyDescent="0.25">
      <c r="A600" t="s">
        <v>121</v>
      </c>
      <c r="B600" t="s">
        <v>14</v>
      </c>
      <c r="C600" t="s">
        <v>35</v>
      </c>
      <c r="K600" s="25">
        <f>(Table2[[#This Row],[Home Pace]]/100)*(VLOOKUP(Table2[[#This Row],[Home/Neutral]],home_lookup,8,FALSE)+VLOOKUP(Table2[[#This Row],[Home/Neutral]],OFR_lookup,2,FALSE)+VLOOKUP(Table2[[#This Row],[Visitor/Neutral]],def_diff_lookup,6,FALSE))</f>
        <v>110.59141414241451</v>
      </c>
      <c r="L600" s="25"/>
      <c r="M600" s="25">
        <f>(Table2[[#This Row],[Away Pace]]/100)*(VLOOKUP(Table2[[#This Row],[Visitor/Neutral]],OFR_lookup,2,FALSE)+VLOOKUP(Table2[[#This Row],[Home/Neutral]],def_diff_lookup,6,FALSE))</f>
        <v>107.78080133333336</v>
      </c>
      <c r="N600" s="25"/>
      <c r="O600" s="25"/>
      <c r="P600">
        <f>VLOOKUP(Table2[[#This Row],[Home/Neutral]],pace_lookup,7,FALSE)</f>
        <v>95.9</v>
      </c>
      <c r="Q600" s="5">
        <f>VLOOKUP(Table2[[#This Row],[Visitor/Neutral]],pace_lookup,7,FALSE)</f>
        <v>102.2</v>
      </c>
      <c r="R600" s="9"/>
      <c r="V600" s="2">
        <f>-home-VLOOKUP(Table2[[#This Row],[Home/Neutral]],rtg_vlookup,4,FALSE)+VLOOKUP(Table2[[#This Row],[Visitor/Neutral]],rtg_vlookup,4,FALSE)</f>
        <v>-14.00511848341233</v>
      </c>
      <c r="W600" s="25"/>
      <c r="X600" s="2"/>
      <c r="Y600" s="2">
        <f>Table2[[#This Row],[Away EV]]-Table2[[#This Row],[Home EV]]</f>
        <v>-2.8106128090811495</v>
      </c>
      <c r="Z600" s="33"/>
      <c r="AA600" s="34"/>
      <c r="AB600" s="5" t="b">
        <f>IF(VLOOKUP(Table2[[#This Row],[Home/Neutral]],division_lookup,9,FALSE)=VLOOKUP(Table2[[#This Row],[Visitor/Neutral]],division_lookup,9,FALSE),TRUE,FALSE)</f>
        <v>1</v>
      </c>
      <c r="AC600" s="19" t="str">
        <f>VLOOKUP(Table2[[#This Row],[Home/Neutral]],division_lookup,9,FALSE)</f>
        <v>A</v>
      </c>
      <c r="AD600" s="19"/>
      <c r="AE600" s="19" t="str">
        <f>IF(Table2[[#This Row],[Total EV ®]]&lt;Table2[[#This Row],[Total (V)]],"UNDER","OVER")</f>
        <v>OVER</v>
      </c>
      <c r="AF600" s="30">
        <f>Table2[[#This Row],[(A) Spread]]-Table2[[#This Row],[Spread (V)]]</f>
        <v>0</v>
      </c>
      <c r="AG600" s="19"/>
      <c r="AH600" s="2">
        <f>Table2[[#This Row],[EV]]-Table2[[#This Row],[Spread (V)]]</f>
        <v>-2.8106128090811495</v>
      </c>
      <c r="AI600" s="22">
        <f>Table2[[#This Row],[(A)]]-Table2[[#This Row],[Spread]]</f>
        <v>-14.00511848341233</v>
      </c>
      <c r="AJ600" s="1">
        <f>Table2[[#This Row],[(A) Err]]^2</f>
        <v>196.1433437344177</v>
      </c>
      <c r="AK600" s="6">
        <f>Table2[[#This Row],[EV]]-Table2[[#This Row],[Spread]]</f>
        <v>-2.8106128090811495</v>
      </c>
      <c r="AL600" s="1">
        <f>Table2[[#This Row],[EV Err]]^2</f>
        <v>7.8995443625710307</v>
      </c>
    </row>
    <row r="601" spans="1:38" x14ac:dyDescent="0.25">
      <c r="A601" t="s">
        <v>121</v>
      </c>
      <c r="B601" t="s">
        <v>20</v>
      </c>
      <c r="C601" t="s">
        <v>25</v>
      </c>
      <c r="K601" s="25">
        <f>(Table2[[#This Row],[Home Pace]]/100)*(VLOOKUP(Table2[[#This Row],[Home/Neutral]],home_lookup,8,FALSE)+VLOOKUP(Table2[[#This Row],[Home/Neutral]],OFR_lookup,2,FALSE)+VLOOKUP(Table2[[#This Row],[Visitor/Neutral]],def_diff_lookup,6,FALSE))</f>
        <v>100.55639528915178</v>
      </c>
      <c r="L601" s="25"/>
      <c r="M601" s="25">
        <f>(Table2[[#This Row],[Away Pace]]/100)*(VLOOKUP(Table2[[#This Row],[Visitor/Neutral]],OFR_lookup,2,FALSE)+VLOOKUP(Table2[[#This Row],[Home/Neutral]],def_diff_lookup,6,FALSE))</f>
        <v>95.486229333333355</v>
      </c>
      <c r="N601" s="25"/>
      <c r="O601" s="25"/>
      <c r="P601">
        <f>VLOOKUP(Table2[[#This Row],[Home/Neutral]],pace_lookup,7,FALSE)</f>
        <v>90.9</v>
      </c>
      <c r="Q601" s="5">
        <f>VLOOKUP(Table2[[#This Row],[Visitor/Neutral]],pace_lookup,7,FALSE)</f>
        <v>94.4</v>
      </c>
      <c r="R601" s="9"/>
      <c r="V601" s="2">
        <f>-home-VLOOKUP(Table2[[#This Row],[Home/Neutral]],rtg_vlookup,4,FALSE)+VLOOKUP(Table2[[#This Row],[Visitor/Neutral]],rtg_vlookup,4,FALSE)</f>
        <v>-4.4751184834123308</v>
      </c>
      <c r="W601" s="25"/>
      <c r="X601" s="2"/>
      <c r="Y601" s="2">
        <f>Table2[[#This Row],[Away EV]]-Table2[[#This Row],[Home EV]]</f>
        <v>-5.0701659558184247</v>
      </c>
      <c r="Z601" s="33"/>
      <c r="AA601" s="34"/>
      <c r="AB601" s="5" t="b">
        <f>IF(VLOOKUP(Table2[[#This Row],[Home/Neutral]],division_lookup,9,FALSE)=VLOOKUP(Table2[[#This Row],[Visitor/Neutral]],division_lookup,9,FALSE),TRUE,FALSE)</f>
        <v>0</v>
      </c>
      <c r="AC601" s="19" t="str">
        <f>VLOOKUP(Table2[[#This Row],[Home/Neutral]],division_lookup,9,FALSE)</f>
        <v>NW</v>
      </c>
      <c r="AD601" s="19"/>
      <c r="AE601" s="19" t="str">
        <f>IF(Table2[[#This Row],[Total EV ®]]&lt;Table2[[#This Row],[Total (V)]],"UNDER","OVER")</f>
        <v>OVER</v>
      </c>
      <c r="AF601" s="30">
        <f>Table2[[#This Row],[(A) Spread]]-Table2[[#This Row],[Spread (V)]]</f>
        <v>0</v>
      </c>
      <c r="AG601" s="19"/>
      <c r="AH601" s="2">
        <f>Table2[[#This Row],[EV]]-Table2[[#This Row],[Spread (V)]]</f>
        <v>-5.0701659558184247</v>
      </c>
      <c r="AI601" s="22">
        <f>Table2[[#This Row],[(A)]]-Table2[[#This Row],[Spread]]</f>
        <v>-4.4751184834123308</v>
      </c>
      <c r="AJ601" s="1">
        <f>Table2[[#This Row],[(A) Err]]^2</f>
        <v>20.026685440578678</v>
      </c>
      <c r="AK601" s="6">
        <f>Table2[[#This Row],[EV]]-Table2[[#This Row],[Spread]]</f>
        <v>-5.0701659558184247</v>
      </c>
      <c r="AL601" s="1">
        <f>Table2[[#This Row],[EV Err]]^2</f>
        <v>25.706582819540159</v>
      </c>
    </row>
    <row r="602" spans="1:38" x14ac:dyDescent="0.25">
      <c r="A602" t="s">
        <v>122</v>
      </c>
      <c r="B602" t="s">
        <v>13</v>
      </c>
      <c r="C602" t="s">
        <v>34</v>
      </c>
      <c r="K602" s="25">
        <f>(Table2[[#This Row],[Home Pace]]/100)*(VLOOKUP(Table2[[#This Row],[Home/Neutral]],home_lookup,8,FALSE)+VLOOKUP(Table2[[#This Row],[Home/Neutral]],OFR_lookup,2,FALSE)+VLOOKUP(Table2[[#This Row],[Visitor/Neutral]],def_diff_lookup,6,FALSE))</f>
        <v>105.146441084504</v>
      </c>
      <c r="L602" s="25"/>
      <c r="M602" s="25">
        <f>(Table2[[#This Row],[Away Pace]]/100)*(VLOOKUP(Table2[[#This Row],[Visitor/Neutral]],OFR_lookup,2,FALSE)+VLOOKUP(Table2[[#This Row],[Home/Neutral]],def_diff_lookup,6,FALSE))</f>
        <v>99.12669866666667</v>
      </c>
      <c r="N602" s="25"/>
      <c r="O602" s="25"/>
      <c r="P602">
        <f>VLOOKUP(Table2[[#This Row],[Home/Neutral]],pace_lookup,7,FALSE)</f>
        <v>94.5</v>
      </c>
      <c r="Q602" s="5">
        <f>VLOOKUP(Table2[[#This Row],[Visitor/Neutral]],pace_lookup,7,FALSE)</f>
        <v>98.8</v>
      </c>
      <c r="R602" s="9"/>
      <c r="V602" s="2">
        <f>-home-VLOOKUP(Table2[[#This Row],[Home/Neutral]],rtg_vlookup,4,FALSE)+VLOOKUP(Table2[[#This Row],[Visitor/Neutral]],rtg_vlookup,4,FALSE)</f>
        <v>-13.395118483412332</v>
      </c>
      <c r="W602" s="25"/>
      <c r="X602" s="2"/>
      <c r="Y602" s="2">
        <f>Table2[[#This Row],[Away EV]]-Table2[[#This Row],[Home EV]]</f>
        <v>-6.0197424178373353</v>
      </c>
      <c r="Z602" s="33"/>
      <c r="AA602" s="34"/>
      <c r="AB602" s="5" t="b">
        <f>IF(VLOOKUP(Table2[[#This Row],[Home/Neutral]],division_lookup,9,FALSE)=VLOOKUP(Table2[[#This Row],[Visitor/Neutral]],division_lookup,9,FALSE),TRUE,FALSE)</f>
        <v>0</v>
      </c>
      <c r="AC602" s="19" t="str">
        <f>VLOOKUP(Table2[[#This Row],[Home/Neutral]],division_lookup,9,FALSE)</f>
        <v>C</v>
      </c>
      <c r="AD602" s="19"/>
      <c r="AE602" s="19" t="str">
        <f>IF(Table2[[#This Row],[Total EV ®]]&lt;Table2[[#This Row],[Total (V)]],"UNDER","OVER")</f>
        <v>OVER</v>
      </c>
      <c r="AF602" s="30">
        <f>Table2[[#This Row],[(A) Spread]]-Table2[[#This Row],[Spread (V)]]</f>
        <v>0</v>
      </c>
      <c r="AG602" s="19"/>
      <c r="AH602" s="2">
        <f>Table2[[#This Row],[EV]]-Table2[[#This Row],[Spread (V)]]</f>
        <v>-6.0197424178373353</v>
      </c>
      <c r="AI602" s="22">
        <f>Table2[[#This Row],[(A)]]-Table2[[#This Row],[Spread]]</f>
        <v>-13.395118483412332</v>
      </c>
      <c r="AJ602" s="1">
        <f>Table2[[#This Row],[(A) Err]]^2</f>
        <v>179.42919918465469</v>
      </c>
      <c r="AK602" s="6">
        <f>Table2[[#This Row],[EV]]-Table2[[#This Row],[Spread]]</f>
        <v>-6.0197424178373353</v>
      </c>
      <c r="AL602" s="1">
        <f>Table2[[#This Row],[EV Err]]^2</f>
        <v>36.237298777110091</v>
      </c>
    </row>
    <row r="603" spans="1:38" x14ac:dyDescent="0.25">
      <c r="A603" t="s">
        <v>122</v>
      </c>
      <c r="B603" t="s">
        <v>4</v>
      </c>
      <c r="C603" t="s">
        <v>24</v>
      </c>
      <c r="K603" s="25">
        <f>(Table2[[#This Row],[Home Pace]]/100)*(VLOOKUP(Table2[[#This Row],[Home/Neutral]],home_lookup,8,FALSE)+VLOOKUP(Table2[[#This Row],[Home/Neutral]],OFR_lookup,2,FALSE)+VLOOKUP(Table2[[#This Row],[Visitor/Neutral]],def_diff_lookup,6,FALSE))</f>
        <v>106.13610781393444</v>
      </c>
      <c r="L603" s="25"/>
      <c r="M603" s="25">
        <f>(Table2[[#This Row],[Away Pace]]/100)*(VLOOKUP(Table2[[#This Row],[Visitor/Neutral]],OFR_lookup,2,FALSE)+VLOOKUP(Table2[[#This Row],[Home/Neutral]],def_diff_lookup,6,FALSE))</f>
        <v>104.33622600000001</v>
      </c>
      <c r="N603" s="25"/>
      <c r="O603" s="25"/>
      <c r="P603">
        <f>VLOOKUP(Table2[[#This Row],[Home/Neutral]],pace_lookup,7,FALSE)</f>
        <v>96.6</v>
      </c>
      <c r="Q603" s="5">
        <f>VLOOKUP(Table2[[#This Row],[Visitor/Neutral]],pace_lookup,7,FALSE)</f>
        <v>99.9</v>
      </c>
      <c r="R603" s="9"/>
      <c r="V603" s="2">
        <f>-home-VLOOKUP(Table2[[#This Row],[Home/Neutral]],rtg_vlookup,4,FALSE)+VLOOKUP(Table2[[#This Row],[Visitor/Neutral]],rtg_vlookup,4,FALSE)</f>
        <v>-17.10511848341233</v>
      </c>
      <c r="W603" s="25"/>
      <c r="X603" s="2"/>
      <c r="Y603" s="2">
        <f>Table2[[#This Row],[Away EV]]-Table2[[#This Row],[Home EV]]</f>
        <v>-1.7998818139344337</v>
      </c>
      <c r="Z603" s="33"/>
      <c r="AA603" s="34"/>
      <c r="AB603" s="5" t="b">
        <f>IF(VLOOKUP(Table2[[#This Row],[Home/Neutral]],division_lookup,9,FALSE)=VLOOKUP(Table2[[#This Row],[Visitor/Neutral]],division_lookup,9,FALSE),TRUE,FALSE)</f>
        <v>1</v>
      </c>
      <c r="AC603" s="19" t="str">
        <f>VLOOKUP(Table2[[#This Row],[Home/Neutral]],division_lookup,9,FALSE)</f>
        <v>P</v>
      </c>
      <c r="AD603" s="19"/>
      <c r="AE603" s="19" t="str">
        <f>IF(Table2[[#This Row],[Total EV ®]]&lt;Table2[[#This Row],[Total (V)]],"UNDER","OVER")</f>
        <v>OVER</v>
      </c>
      <c r="AF603" s="30">
        <f>Table2[[#This Row],[(A) Spread]]-Table2[[#This Row],[Spread (V)]]</f>
        <v>0</v>
      </c>
      <c r="AG603" s="19"/>
      <c r="AH603" s="2">
        <f>Table2[[#This Row],[EV]]-Table2[[#This Row],[Spread (V)]]</f>
        <v>-1.7998818139344337</v>
      </c>
      <c r="AI603" s="22">
        <f>Table2[[#This Row],[(A)]]-Table2[[#This Row],[Spread]]</f>
        <v>-17.10511848341233</v>
      </c>
      <c r="AJ603" s="1">
        <f>Table2[[#This Row],[(A) Err]]^2</f>
        <v>292.5850783315741</v>
      </c>
      <c r="AK603" s="6">
        <f>Table2[[#This Row],[EV]]-Table2[[#This Row],[Spread]]</f>
        <v>-1.7998818139344337</v>
      </c>
      <c r="AL603" s="1">
        <f>Table2[[#This Row],[EV Err]]^2</f>
        <v>3.2395745441319073</v>
      </c>
    </row>
    <row r="604" spans="1:38" x14ac:dyDescent="0.25">
      <c r="A604" t="s">
        <v>122</v>
      </c>
      <c r="B604" t="s">
        <v>36</v>
      </c>
      <c r="C604" t="s">
        <v>6</v>
      </c>
      <c r="K604" s="25">
        <f>(Table2[[#This Row],[Home Pace]]/100)*(VLOOKUP(Table2[[#This Row],[Home/Neutral]],home_lookup,8,FALSE)+VLOOKUP(Table2[[#This Row],[Home/Neutral]],OFR_lookup,2,FALSE)+VLOOKUP(Table2[[#This Row],[Visitor/Neutral]],def_diff_lookup,6,FALSE))</f>
        <v>105.13179156604043</v>
      </c>
      <c r="L604" s="25"/>
      <c r="M604" s="25">
        <f>(Table2[[#This Row],[Away Pace]]/100)*(VLOOKUP(Table2[[#This Row],[Visitor/Neutral]],OFR_lookup,2,FALSE)+VLOOKUP(Table2[[#This Row],[Home/Neutral]],def_diff_lookup,6,FALSE))</f>
        <v>106.00428066666667</v>
      </c>
      <c r="N604" s="25"/>
      <c r="O604" s="25"/>
      <c r="P604">
        <f>VLOOKUP(Table2[[#This Row],[Home/Neutral]],pace_lookup,7,FALSE)</f>
        <v>102.2</v>
      </c>
      <c r="Q604" s="5">
        <f>VLOOKUP(Table2[[#This Row],[Visitor/Neutral]],pace_lookup,7,FALSE)</f>
        <v>93.1</v>
      </c>
      <c r="R604" s="9"/>
      <c r="V604" s="2">
        <f>-home-VLOOKUP(Table2[[#This Row],[Home/Neutral]],rtg_vlookup,4,FALSE)+VLOOKUP(Table2[[#This Row],[Visitor/Neutral]],rtg_vlookup,4,FALSE)</f>
        <v>10.474881516587669</v>
      </c>
      <c r="W604" s="25"/>
      <c r="X604" s="2"/>
      <c r="Y604" s="2">
        <f>Table2[[#This Row],[Away EV]]-Table2[[#This Row],[Home EV]]</f>
        <v>0.87248910062623963</v>
      </c>
      <c r="Z604" s="33"/>
      <c r="AA604" s="34"/>
      <c r="AB604" s="5" t="b">
        <f>IF(VLOOKUP(Table2[[#This Row],[Home/Neutral]],division_lookup,9,FALSE)=VLOOKUP(Table2[[#This Row],[Visitor/Neutral]],division_lookup,9,FALSE),TRUE,FALSE)</f>
        <v>0</v>
      </c>
      <c r="AC604" s="19" t="str">
        <f>VLOOKUP(Table2[[#This Row],[Home/Neutral]],division_lookup,9,FALSE)</f>
        <v>P</v>
      </c>
      <c r="AD604" s="19"/>
      <c r="AE604" s="19" t="str">
        <f>IF(Table2[[#This Row],[Total EV ®]]&lt;Table2[[#This Row],[Total (V)]],"UNDER","OVER")</f>
        <v>OVER</v>
      </c>
      <c r="AF604" s="30">
        <f>Table2[[#This Row],[(A) Spread]]-Table2[[#This Row],[Spread (V)]]</f>
        <v>0</v>
      </c>
      <c r="AG604" s="19"/>
      <c r="AH604" s="2">
        <f>Table2[[#This Row],[EV]]-Table2[[#This Row],[Spread (V)]]</f>
        <v>0.87248910062623963</v>
      </c>
      <c r="AI604" s="22">
        <f>Table2[[#This Row],[(A)]]-Table2[[#This Row],[Spread]]</f>
        <v>10.474881516587669</v>
      </c>
      <c r="AJ604" s="1">
        <f>Table2[[#This Row],[(A) Err]]^2</f>
        <v>109.72314278654997</v>
      </c>
      <c r="AK604" s="6">
        <f>Table2[[#This Row],[EV]]-Table2[[#This Row],[Spread]]</f>
        <v>0.87248910062623963</v>
      </c>
      <c r="AL604" s="1">
        <f>Table2[[#This Row],[EV Err]]^2</f>
        <v>0.76123723071158456</v>
      </c>
    </row>
    <row r="605" spans="1:38" x14ac:dyDescent="0.25">
      <c r="A605" t="s">
        <v>122</v>
      </c>
      <c r="B605" t="s">
        <v>20</v>
      </c>
      <c r="C605" t="s">
        <v>38</v>
      </c>
      <c r="K605" s="25">
        <f>(Table2[[#This Row],[Home Pace]]/100)*(VLOOKUP(Table2[[#This Row],[Home/Neutral]],home_lookup,8,FALSE)+VLOOKUP(Table2[[#This Row],[Home/Neutral]],OFR_lookup,2,FALSE)+VLOOKUP(Table2[[#This Row],[Visitor/Neutral]],def_diff_lookup,6,FALSE))</f>
        <v>104.91959528915177</v>
      </c>
      <c r="L605" s="25"/>
      <c r="M605" s="25">
        <f>(Table2[[#This Row],[Away Pace]]/100)*(VLOOKUP(Table2[[#This Row],[Visitor/Neutral]],OFR_lookup,2,FALSE)+VLOOKUP(Table2[[#This Row],[Home/Neutral]],def_diff_lookup,6,FALSE))</f>
        <v>91.638388000000035</v>
      </c>
      <c r="N605" s="25"/>
      <c r="O605" s="25"/>
      <c r="P605">
        <f>VLOOKUP(Table2[[#This Row],[Home/Neutral]],pace_lookup,7,FALSE)</f>
        <v>90.9</v>
      </c>
      <c r="Q605" s="5">
        <f>VLOOKUP(Table2[[#This Row],[Visitor/Neutral]],pace_lookup,7,FALSE)</f>
        <v>94.2</v>
      </c>
      <c r="R605" s="9"/>
      <c r="V605" s="2">
        <f>-home-VLOOKUP(Table2[[#This Row],[Home/Neutral]],rtg_vlookup,4,FALSE)+VLOOKUP(Table2[[#This Row],[Visitor/Neutral]],rtg_vlookup,4,FALSE)</f>
        <v>-13.15511848341233</v>
      </c>
      <c r="W605" s="25"/>
      <c r="X605" s="2"/>
      <c r="Y605" s="2">
        <f>Table2[[#This Row],[Away EV]]-Table2[[#This Row],[Home EV]]</f>
        <v>-13.281207289151737</v>
      </c>
      <c r="Z605" s="33"/>
      <c r="AA605" s="34"/>
      <c r="AB605" s="5" t="b">
        <f>IF(VLOOKUP(Table2[[#This Row],[Home/Neutral]],division_lookup,9,FALSE)=VLOOKUP(Table2[[#This Row],[Visitor/Neutral]],division_lookup,9,FALSE),TRUE,FALSE)</f>
        <v>0</v>
      </c>
      <c r="AC605" s="19" t="str">
        <f>VLOOKUP(Table2[[#This Row],[Home/Neutral]],division_lookup,9,FALSE)</f>
        <v>NW</v>
      </c>
      <c r="AD605" s="19"/>
      <c r="AE605" s="19" t="str">
        <f>IF(Table2[[#This Row],[Total EV ®]]&lt;Table2[[#This Row],[Total (V)]],"UNDER","OVER")</f>
        <v>OVER</v>
      </c>
      <c r="AF605" s="30">
        <f>Table2[[#This Row],[(A) Spread]]-Table2[[#This Row],[Spread (V)]]</f>
        <v>0</v>
      </c>
      <c r="AG605" s="19"/>
      <c r="AH605" s="2">
        <f>Table2[[#This Row],[EV]]-Table2[[#This Row],[Spread (V)]]</f>
        <v>-13.281207289151737</v>
      </c>
      <c r="AI605" s="22">
        <f>Table2[[#This Row],[(A)]]-Table2[[#This Row],[Spread]]</f>
        <v>-13.15511848341233</v>
      </c>
      <c r="AJ605" s="1">
        <f>Table2[[#This Row],[(A) Err]]^2</f>
        <v>173.05714231261675</v>
      </c>
      <c r="AK605" s="6">
        <f>Table2[[#This Row],[EV]]-Table2[[#This Row],[Spread]]</f>
        <v>-13.281207289151737</v>
      </c>
      <c r="AL605" s="1">
        <f>Table2[[#This Row],[EV Err]]^2</f>
        <v>176.39046705741725</v>
      </c>
    </row>
    <row r="606" spans="1:38" x14ac:dyDescent="0.25">
      <c r="A606" t="s">
        <v>122</v>
      </c>
      <c r="B606" t="s">
        <v>28</v>
      </c>
      <c r="C606" t="s">
        <v>39</v>
      </c>
      <c r="K606" s="25">
        <f>(Table2[[#This Row],[Home Pace]]/100)*(VLOOKUP(Table2[[#This Row],[Home/Neutral]],home_lookup,8,FALSE)+VLOOKUP(Table2[[#This Row],[Home/Neutral]],OFR_lookup,2,FALSE)+VLOOKUP(Table2[[#This Row],[Visitor/Neutral]],def_diff_lookup,6,FALSE))</f>
        <v>111.23330553204273</v>
      </c>
      <c r="L606" s="25"/>
      <c r="M606" s="25">
        <f>(Table2[[#This Row],[Away Pace]]/100)*(VLOOKUP(Table2[[#This Row],[Visitor/Neutral]],OFR_lookup,2,FALSE)+VLOOKUP(Table2[[#This Row],[Home/Neutral]],def_diff_lookup,6,FALSE))</f>
        <v>100.46465000000001</v>
      </c>
      <c r="N606" s="25"/>
      <c r="O606" s="25"/>
      <c r="P606">
        <f>VLOOKUP(Table2[[#This Row],[Home/Neutral]],pace_lookup,7,FALSE)</f>
        <v>96.3</v>
      </c>
      <c r="Q606" s="5">
        <f>VLOOKUP(Table2[[#This Row],[Visitor/Neutral]],pace_lookup,7,FALSE)</f>
        <v>97.5</v>
      </c>
      <c r="R606" s="9"/>
      <c r="V606" s="2">
        <f>-home-VLOOKUP(Table2[[#This Row],[Home/Neutral]],rtg_vlookup,4,FALSE)+VLOOKUP(Table2[[#This Row],[Visitor/Neutral]],rtg_vlookup,4,FALSE)</f>
        <v>-10.08511848341233</v>
      </c>
      <c r="W606" s="25"/>
      <c r="X606" s="2"/>
      <c r="Y606" s="2">
        <f>Table2[[#This Row],[Away EV]]-Table2[[#This Row],[Home EV]]</f>
        <v>-10.768655532042729</v>
      </c>
      <c r="Z606" s="33"/>
      <c r="AA606" s="34"/>
      <c r="AB606" s="5" t="b">
        <f>IF(VLOOKUP(Table2[[#This Row],[Home/Neutral]],division_lookup,9,FALSE)=VLOOKUP(Table2[[#This Row],[Visitor/Neutral]],division_lookup,9,FALSE),TRUE,FALSE)</f>
        <v>0</v>
      </c>
      <c r="AC606" s="19" t="str">
        <f>VLOOKUP(Table2[[#This Row],[Home/Neutral]],division_lookup,9,FALSE)</f>
        <v>SE</v>
      </c>
      <c r="AD606" s="19"/>
      <c r="AE606" s="19" t="str">
        <f>IF(Table2[[#This Row],[Total EV ®]]&lt;Table2[[#This Row],[Total (V)]],"UNDER","OVER")</f>
        <v>OVER</v>
      </c>
      <c r="AF606" s="30">
        <f>Table2[[#This Row],[(A) Spread]]-Table2[[#This Row],[Spread (V)]]</f>
        <v>0</v>
      </c>
      <c r="AG606" s="19"/>
      <c r="AH606" s="2">
        <f>Table2[[#This Row],[EV]]-Table2[[#This Row],[Spread (V)]]</f>
        <v>-10.768655532042729</v>
      </c>
      <c r="AI606" s="22">
        <f>Table2[[#This Row],[(A)]]-Table2[[#This Row],[Spread]]</f>
        <v>-10.08511848341233</v>
      </c>
      <c r="AJ606" s="1">
        <f>Table2[[#This Row],[(A) Err]]^2</f>
        <v>101.70961482446502</v>
      </c>
      <c r="AK606" s="6">
        <f>Table2[[#This Row],[EV]]-Table2[[#This Row],[Spread]]</f>
        <v>-10.768655532042729</v>
      </c>
      <c r="AL606" s="1">
        <f>Table2[[#This Row],[EV Err]]^2</f>
        <v>115.96394196779447</v>
      </c>
    </row>
    <row r="607" spans="1:38" x14ac:dyDescent="0.25">
      <c r="A607" t="s">
        <v>123</v>
      </c>
      <c r="B607" t="s">
        <v>11</v>
      </c>
      <c r="C607" t="s">
        <v>30</v>
      </c>
      <c r="K607" s="25">
        <f>(Table2[[#This Row],[Home Pace]]/100)*(VLOOKUP(Table2[[#This Row],[Home/Neutral]],home_lookup,8,FALSE)+VLOOKUP(Table2[[#This Row],[Home/Neutral]],OFR_lookup,2,FALSE)+VLOOKUP(Table2[[#This Row],[Visitor/Neutral]],def_diff_lookup,6,FALSE))</f>
        <v>100.43458904407282</v>
      </c>
      <c r="L607" s="25"/>
      <c r="M607" s="25">
        <f>(Table2[[#This Row],[Away Pace]]/100)*(VLOOKUP(Table2[[#This Row],[Visitor/Neutral]],OFR_lookup,2,FALSE)+VLOOKUP(Table2[[#This Row],[Home/Neutral]],def_diff_lookup,6,FALSE))</f>
        <v>94.79688533333335</v>
      </c>
      <c r="N607" s="25"/>
      <c r="O607" s="25"/>
      <c r="P607">
        <f>VLOOKUP(Table2[[#This Row],[Home/Neutral]],pace_lookup,7,FALSE)</f>
        <v>99.7</v>
      </c>
      <c r="Q607" s="5">
        <f>VLOOKUP(Table2[[#This Row],[Visitor/Neutral]],pace_lookup,7,FALSE)</f>
        <v>96.8</v>
      </c>
      <c r="R607" s="9"/>
      <c r="V607" s="2">
        <f>-home-VLOOKUP(Table2[[#This Row],[Home/Neutral]],rtg_vlookup,4,FALSE)+VLOOKUP(Table2[[#This Row],[Visitor/Neutral]],rtg_vlookup,4,FALSE)</f>
        <v>-11.555118483412331</v>
      </c>
      <c r="W607" s="25"/>
      <c r="X607" s="2"/>
      <c r="Y607" s="2">
        <f>Table2[[#This Row],[Away EV]]-Table2[[#This Row],[Home EV]]</f>
        <v>-5.6377037107394727</v>
      </c>
      <c r="Z607" s="33"/>
      <c r="AA607" s="34"/>
      <c r="AB607" s="5" t="b">
        <f>IF(VLOOKUP(Table2[[#This Row],[Home/Neutral]],division_lookup,9,FALSE)=VLOOKUP(Table2[[#This Row],[Visitor/Neutral]],division_lookup,9,FALSE),TRUE,FALSE)</f>
        <v>0</v>
      </c>
      <c r="AC607" s="19" t="str">
        <f>VLOOKUP(Table2[[#This Row],[Home/Neutral]],division_lookup,9,FALSE)</f>
        <v>SE</v>
      </c>
      <c r="AD607" s="19"/>
      <c r="AE607" s="19" t="str">
        <f>IF(Table2[[#This Row],[Total EV ®]]&lt;Table2[[#This Row],[Total (V)]],"UNDER","OVER")</f>
        <v>OVER</v>
      </c>
      <c r="AF607" s="30">
        <f>Table2[[#This Row],[(A) Spread]]-Table2[[#This Row],[Spread (V)]]</f>
        <v>0</v>
      </c>
      <c r="AG607" s="19"/>
      <c r="AH607" s="2">
        <f>Table2[[#This Row],[EV]]-Table2[[#This Row],[Spread (V)]]</f>
        <v>-5.6377037107394727</v>
      </c>
      <c r="AI607" s="22">
        <f>Table2[[#This Row],[(A)]]-Table2[[#This Row],[Spread]]</f>
        <v>-11.555118483412331</v>
      </c>
      <c r="AJ607" s="1">
        <f>Table2[[#This Row],[(A) Err]]^2</f>
        <v>133.52076316569728</v>
      </c>
      <c r="AK607" s="6">
        <f>Table2[[#This Row],[EV]]-Table2[[#This Row],[Spread]]</f>
        <v>-5.6377037107394727</v>
      </c>
      <c r="AL607" s="1">
        <f>Table2[[#This Row],[EV Err]]^2</f>
        <v>31.78370313008562</v>
      </c>
    </row>
    <row r="608" spans="1:38" x14ac:dyDescent="0.25">
      <c r="A608" t="s">
        <v>123</v>
      </c>
      <c r="B608" t="s">
        <v>35</v>
      </c>
      <c r="C608" t="s">
        <v>17</v>
      </c>
      <c r="K608" s="25">
        <f>(Table2[[#This Row],[Home Pace]]/100)*(VLOOKUP(Table2[[#This Row],[Home/Neutral]],home_lookup,8,FALSE)+VLOOKUP(Table2[[#This Row],[Home/Neutral]],OFR_lookup,2,FALSE)+VLOOKUP(Table2[[#This Row],[Visitor/Neutral]],def_diff_lookup,6,FALSE))</f>
        <v>110.97221121209625</v>
      </c>
      <c r="L608" s="25"/>
      <c r="M608" s="25">
        <f>(Table2[[#This Row],[Away Pace]]/100)*(VLOOKUP(Table2[[#This Row],[Visitor/Neutral]],OFR_lookup,2,FALSE)+VLOOKUP(Table2[[#This Row],[Home/Neutral]],def_diff_lookup,6,FALSE))</f>
        <v>113.52644466666668</v>
      </c>
      <c r="N608" s="25"/>
      <c r="O608" s="25"/>
      <c r="P608">
        <f>VLOOKUP(Table2[[#This Row],[Home/Neutral]],pace_lookup,7,FALSE)</f>
        <v>102.2</v>
      </c>
      <c r="Q608" s="5">
        <f>VLOOKUP(Table2[[#This Row],[Visitor/Neutral]],pace_lookup,7,FALSE)</f>
        <v>96.7</v>
      </c>
      <c r="R608" s="9"/>
      <c r="V608" s="2">
        <f>-home-VLOOKUP(Table2[[#This Row],[Home/Neutral]],rtg_vlookup,4,FALSE)+VLOOKUP(Table2[[#This Row],[Visitor/Neutral]],rtg_vlookup,4,FALSE)</f>
        <v>7.8248815165876691</v>
      </c>
      <c r="W608" s="25"/>
      <c r="X608" s="2"/>
      <c r="Y608" s="2">
        <f>Table2[[#This Row],[Away EV]]-Table2[[#This Row],[Home EV]]</f>
        <v>2.5542334545704222</v>
      </c>
      <c r="Z608" s="33"/>
      <c r="AA608" s="34"/>
      <c r="AB608" s="5" t="b">
        <f>IF(VLOOKUP(Table2[[#This Row],[Home/Neutral]],division_lookup,9,FALSE)=VLOOKUP(Table2[[#This Row],[Visitor/Neutral]],division_lookup,9,FALSE),TRUE,FALSE)</f>
        <v>0</v>
      </c>
      <c r="AC608" s="19" t="str">
        <f>VLOOKUP(Table2[[#This Row],[Home/Neutral]],division_lookup,9,FALSE)</f>
        <v>A</v>
      </c>
      <c r="AD608" s="19"/>
      <c r="AE608" s="19" t="str">
        <f>IF(Table2[[#This Row],[Total EV ®]]&lt;Table2[[#This Row],[Total (V)]],"UNDER","OVER")</f>
        <v>OVER</v>
      </c>
      <c r="AF608" s="30">
        <f>Table2[[#This Row],[(A) Spread]]-Table2[[#This Row],[Spread (V)]]</f>
        <v>0</v>
      </c>
      <c r="AG608" s="19"/>
      <c r="AH608" s="2">
        <f>Table2[[#This Row],[EV]]-Table2[[#This Row],[Spread (V)]]</f>
        <v>2.5542334545704222</v>
      </c>
      <c r="AI608" s="22">
        <f>Table2[[#This Row],[(A)]]-Table2[[#This Row],[Spread]]</f>
        <v>7.8248815165876691</v>
      </c>
      <c r="AJ608" s="1">
        <f>Table2[[#This Row],[(A) Err]]^2</f>
        <v>61.228770748635341</v>
      </c>
      <c r="AK608" s="6">
        <f>Table2[[#This Row],[EV]]-Table2[[#This Row],[Spread]]</f>
        <v>2.5542334545704222</v>
      </c>
      <c r="AL608" s="1">
        <f>Table2[[#This Row],[EV Err]]^2</f>
        <v>6.5241085404467531</v>
      </c>
    </row>
    <row r="609" spans="1:38" x14ac:dyDescent="0.25">
      <c r="A609" t="s">
        <v>123</v>
      </c>
      <c r="B609" t="s">
        <v>37</v>
      </c>
      <c r="C609" t="s">
        <v>22</v>
      </c>
      <c r="K609" s="25">
        <f>(Table2[[#This Row],[Home Pace]]/100)*(VLOOKUP(Table2[[#This Row],[Home/Neutral]],home_lookup,8,FALSE)+VLOOKUP(Table2[[#This Row],[Home/Neutral]],OFR_lookup,2,FALSE)+VLOOKUP(Table2[[#This Row],[Visitor/Neutral]],def_diff_lookup,6,FALSE))</f>
        <v>106.08824809362122</v>
      </c>
      <c r="L609" s="25"/>
      <c r="M609" s="25">
        <f>(Table2[[#This Row],[Away Pace]]/100)*(VLOOKUP(Table2[[#This Row],[Visitor/Neutral]],OFR_lookup,2,FALSE)+VLOOKUP(Table2[[#This Row],[Home/Neutral]],def_diff_lookup,6,FALSE))</f>
        <v>102.44709133333336</v>
      </c>
      <c r="N609" s="25"/>
      <c r="O609" s="25"/>
      <c r="P609">
        <f>VLOOKUP(Table2[[#This Row],[Home/Neutral]],pace_lookup,7,FALSE)</f>
        <v>92.1</v>
      </c>
      <c r="Q609" s="5">
        <f>VLOOKUP(Table2[[#This Row],[Visitor/Neutral]],pace_lookup,7,FALSE)</f>
        <v>94.7</v>
      </c>
      <c r="R609" s="9"/>
      <c r="V609" s="2">
        <f>-home-VLOOKUP(Table2[[#This Row],[Home/Neutral]],rtg_vlookup,4,FALSE)+VLOOKUP(Table2[[#This Row],[Visitor/Neutral]],rtg_vlookup,4,FALSE)</f>
        <v>5.6648815165876698</v>
      </c>
      <c r="W609" s="25"/>
      <c r="X609" s="2"/>
      <c r="Y609" s="2">
        <f>Table2[[#This Row],[Away EV]]-Table2[[#This Row],[Home EV]]</f>
        <v>-3.6411567602878563</v>
      </c>
      <c r="Z609" s="33"/>
      <c r="AA609" s="34"/>
      <c r="AB609" s="5" t="b">
        <f>IF(VLOOKUP(Table2[[#This Row],[Home/Neutral]],division_lookup,9,FALSE)=VLOOKUP(Table2[[#This Row],[Visitor/Neutral]],division_lookup,9,FALSE),TRUE,FALSE)</f>
        <v>0</v>
      </c>
      <c r="AC609" s="19" t="str">
        <f>VLOOKUP(Table2[[#This Row],[Home/Neutral]],division_lookup,9,FALSE)</f>
        <v>SW</v>
      </c>
      <c r="AD609" s="19"/>
      <c r="AE609" s="19" t="str">
        <f>IF(Table2[[#This Row],[Total EV ®]]&lt;Table2[[#This Row],[Total (V)]],"UNDER","OVER")</f>
        <v>OVER</v>
      </c>
      <c r="AF609" s="30">
        <f>Table2[[#This Row],[(A) Spread]]-Table2[[#This Row],[Spread (V)]]</f>
        <v>0</v>
      </c>
      <c r="AG609" s="19"/>
      <c r="AH609" s="2">
        <f>Table2[[#This Row],[EV]]-Table2[[#This Row],[Spread (V)]]</f>
        <v>-3.6411567602878563</v>
      </c>
      <c r="AI609" s="22">
        <f>Table2[[#This Row],[(A)]]-Table2[[#This Row],[Spread]]</f>
        <v>5.6648815165876698</v>
      </c>
      <c r="AJ609" s="1">
        <f>Table2[[#This Row],[(A) Err]]^2</f>
        <v>32.09088259697662</v>
      </c>
      <c r="AK609" s="6">
        <f>Table2[[#This Row],[EV]]-Table2[[#This Row],[Spread]]</f>
        <v>-3.6411567602878563</v>
      </c>
      <c r="AL609" s="1">
        <f>Table2[[#This Row],[EV Err]]^2</f>
        <v>13.258022552989956</v>
      </c>
    </row>
    <row r="610" spans="1:38" x14ac:dyDescent="0.25">
      <c r="A610" t="s">
        <v>123</v>
      </c>
      <c r="B610" t="s">
        <v>24</v>
      </c>
      <c r="C610" t="s">
        <v>25</v>
      </c>
      <c r="K610" s="25">
        <f>(Table2[[#This Row],[Home Pace]]/100)*(VLOOKUP(Table2[[#This Row],[Home/Neutral]],home_lookup,8,FALSE)+VLOOKUP(Table2[[#This Row],[Home/Neutral]],OFR_lookup,2,FALSE)+VLOOKUP(Table2[[#This Row],[Visitor/Neutral]],def_diff_lookup,6,FALSE))</f>
        <v>105.50019432830941</v>
      </c>
      <c r="L610" s="25"/>
      <c r="M610" s="25">
        <f>(Table2[[#This Row],[Away Pace]]/100)*(VLOOKUP(Table2[[#This Row],[Visitor/Neutral]],OFR_lookup,2,FALSE)+VLOOKUP(Table2[[#This Row],[Home/Neutral]],def_diff_lookup,6,FALSE))</f>
        <v>100.60270933333334</v>
      </c>
      <c r="N610" s="25"/>
      <c r="O610" s="25"/>
      <c r="P610">
        <f>VLOOKUP(Table2[[#This Row],[Home/Neutral]],pace_lookup,7,FALSE)</f>
        <v>99.9</v>
      </c>
      <c r="Q610" s="5">
        <f>VLOOKUP(Table2[[#This Row],[Visitor/Neutral]],pace_lookup,7,FALSE)</f>
        <v>94.4</v>
      </c>
      <c r="R610" s="9"/>
      <c r="V610" s="2">
        <f>-home-VLOOKUP(Table2[[#This Row],[Home/Neutral]],rtg_vlookup,4,FALSE)+VLOOKUP(Table2[[#This Row],[Visitor/Neutral]],rtg_vlookup,4,FALSE)</f>
        <v>-2.9951184834123303</v>
      </c>
      <c r="W610" s="25"/>
      <c r="X610" s="2"/>
      <c r="Y610" s="2">
        <f>Table2[[#This Row],[Away EV]]-Table2[[#This Row],[Home EV]]</f>
        <v>-4.8974849949760682</v>
      </c>
      <c r="Z610" s="33"/>
      <c r="AA610" s="34"/>
      <c r="AB610" s="5" t="b">
        <f>IF(VLOOKUP(Table2[[#This Row],[Home/Neutral]],division_lookup,9,FALSE)=VLOOKUP(Table2[[#This Row],[Visitor/Neutral]],division_lookup,9,FALSE),TRUE,FALSE)</f>
        <v>0</v>
      </c>
      <c r="AC610" s="19" t="str">
        <f>VLOOKUP(Table2[[#This Row],[Home/Neutral]],division_lookup,9,FALSE)</f>
        <v>P</v>
      </c>
      <c r="AD610" s="19"/>
      <c r="AE610" s="19" t="str">
        <f>IF(Table2[[#This Row],[Total EV ®]]&lt;Table2[[#This Row],[Total (V)]],"UNDER","OVER")</f>
        <v>OVER</v>
      </c>
      <c r="AF610" s="30">
        <f>Table2[[#This Row],[(A) Spread]]-Table2[[#This Row],[Spread (V)]]</f>
        <v>0</v>
      </c>
      <c r="AG610" s="19"/>
      <c r="AH610" s="2">
        <f>Table2[[#This Row],[EV]]-Table2[[#This Row],[Spread (V)]]</f>
        <v>-4.8974849949760682</v>
      </c>
      <c r="AI610" s="22">
        <f>Table2[[#This Row],[(A)]]-Table2[[#This Row],[Spread]]</f>
        <v>-2.9951184834123303</v>
      </c>
      <c r="AJ610" s="1">
        <f>Table2[[#This Row],[(A) Err]]^2</f>
        <v>8.9707347296781776</v>
      </c>
      <c r="AK610" s="6">
        <f>Table2[[#This Row],[EV]]-Table2[[#This Row],[Spread]]</f>
        <v>-4.8974849949760682</v>
      </c>
      <c r="AL610" s="1">
        <f>Table2[[#This Row],[EV Err]]^2</f>
        <v>23.985359276015739</v>
      </c>
    </row>
    <row r="611" spans="1:38" x14ac:dyDescent="0.25">
      <c r="A611" t="s">
        <v>123</v>
      </c>
      <c r="B611" t="s">
        <v>23</v>
      </c>
      <c r="C611" t="s">
        <v>13</v>
      </c>
      <c r="K611" s="25">
        <f>(Table2[[#This Row],[Home Pace]]/100)*(VLOOKUP(Table2[[#This Row],[Home/Neutral]],home_lookup,8,FALSE)+VLOOKUP(Table2[[#This Row],[Home/Neutral]],OFR_lookup,2,FALSE)+VLOOKUP(Table2[[#This Row],[Visitor/Neutral]],def_diff_lookup,6,FALSE))</f>
        <v>101.29613735871359</v>
      </c>
      <c r="L611" s="25"/>
      <c r="M611" s="25">
        <f>(Table2[[#This Row],[Away Pace]]/100)*(VLOOKUP(Table2[[#This Row],[Visitor/Neutral]],OFR_lookup,2,FALSE)+VLOOKUP(Table2[[#This Row],[Home/Neutral]],def_diff_lookup,6,FALSE))</f>
        <v>101.00223000000001</v>
      </c>
      <c r="N611" s="25"/>
      <c r="O611" s="25"/>
      <c r="P611">
        <f>VLOOKUP(Table2[[#This Row],[Home/Neutral]],pace_lookup,7,FALSE)</f>
        <v>92.5</v>
      </c>
      <c r="Q611" s="5">
        <f>VLOOKUP(Table2[[#This Row],[Visitor/Neutral]],pace_lookup,7,FALSE)</f>
        <v>94.5</v>
      </c>
      <c r="R611" s="9"/>
      <c r="V611" s="2">
        <f>-home-VLOOKUP(Table2[[#This Row],[Home/Neutral]],rtg_vlookup,4,FALSE)+VLOOKUP(Table2[[#This Row],[Visitor/Neutral]],rtg_vlookup,4,FALSE)</f>
        <v>0.51488151658766856</v>
      </c>
      <c r="W611" s="25"/>
      <c r="X611" s="2"/>
      <c r="Y611" s="2">
        <f>Table2[[#This Row],[Away EV]]-Table2[[#This Row],[Home EV]]</f>
        <v>-0.29390735871358231</v>
      </c>
      <c r="Z611" s="33"/>
      <c r="AA611" s="34"/>
      <c r="AB611" s="5" t="b">
        <f>IF(VLOOKUP(Table2[[#This Row],[Home/Neutral]],division_lookup,9,FALSE)=VLOOKUP(Table2[[#This Row],[Visitor/Neutral]],division_lookup,9,FALSE),TRUE,FALSE)</f>
        <v>0</v>
      </c>
      <c r="AC611" s="19" t="str">
        <f>VLOOKUP(Table2[[#This Row],[Home/Neutral]],division_lookup,9,FALSE)</f>
        <v>SW</v>
      </c>
      <c r="AD611" s="19"/>
      <c r="AE611" s="19" t="str">
        <f>IF(Table2[[#This Row],[Total EV ®]]&lt;Table2[[#This Row],[Total (V)]],"UNDER","OVER")</f>
        <v>OVER</v>
      </c>
      <c r="AF611" s="30">
        <f>Table2[[#This Row],[(A) Spread]]-Table2[[#This Row],[Spread (V)]]</f>
        <v>0</v>
      </c>
      <c r="AG611" s="19"/>
      <c r="AH611" s="2">
        <f>Table2[[#This Row],[EV]]-Table2[[#This Row],[Spread (V)]]</f>
        <v>-0.29390735871358231</v>
      </c>
      <c r="AI611" s="22">
        <f>Table2[[#This Row],[(A)]]-Table2[[#This Row],[Spread]]</f>
        <v>0.51488151658766856</v>
      </c>
      <c r="AJ611" s="1">
        <f>Table2[[#This Row],[(A) Err]]^2</f>
        <v>0.26510297612361761</v>
      </c>
      <c r="AK611" s="6">
        <f>Table2[[#This Row],[EV]]-Table2[[#This Row],[Spread]]</f>
        <v>-0.29390735871358231</v>
      </c>
      <c r="AL611" s="1">
        <f>Table2[[#This Row],[EV Err]]^2</f>
        <v>8.6381535505994353E-2</v>
      </c>
    </row>
    <row r="612" spans="1:38" x14ac:dyDescent="0.25">
      <c r="A612" t="s">
        <v>123</v>
      </c>
      <c r="B612" t="s">
        <v>29</v>
      </c>
      <c r="C612" t="s">
        <v>18</v>
      </c>
      <c r="K612" s="25">
        <f>(Table2[[#This Row],[Home Pace]]/100)*(VLOOKUP(Table2[[#This Row],[Home/Neutral]],home_lookup,8,FALSE)+VLOOKUP(Table2[[#This Row],[Home/Neutral]],OFR_lookup,2,FALSE)+VLOOKUP(Table2[[#This Row],[Visitor/Neutral]],def_diff_lookup,6,FALSE))</f>
        <v>105.04024926898522</v>
      </c>
      <c r="L612" s="25"/>
      <c r="M612" s="25">
        <f>(Table2[[#This Row],[Away Pace]]/100)*(VLOOKUP(Table2[[#This Row],[Visitor/Neutral]],OFR_lookup,2,FALSE)+VLOOKUP(Table2[[#This Row],[Home/Neutral]],def_diff_lookup,6,FALSE))</f>
        <v>107.24176333333334</v>
      </c>
      <c r="N612" s="25"/>
      <c r="O612" s="25"/>
      <c r="P612">
        <f>VLOOKUP(Table2[[#This Row],[Home/Neutral]],pace_lookup,7,FALSE)</f>
        <v>93.8</v>
      </c>
      <c r="Q612" s="5">
        <f>VLOOKUP(Table2[[#This Row],[Visitor/Neutral]],pace_lookup,7,FALSE)</f>
        <v>99.5</v>
      </c>
      <c r="R612" s="9"/>
      <c r="V612" s="2">
        <f>-home-VLOOKUP(Table2[[#This Row],[Home/Neutral]],rtg_vlookup,4,FALSE)+VLOOKUP(Table2[[#This Row],[Visitor/Neutral]],rtg_vlookup,4,FALSE)</f>
        <v>1.8948815165876693</v>
      </c>
      <c r="W612" s="25"/>
      <c r="X612" s="2"/>
      <c r="Y612" s="2">
        <f>Table2[[#This Row],[Away EV]]-Table2[[#This Row],[Home EV]]</f>
        <v>2.2015140643481175</v>
      </c>
      <c r="Z612" s="33"/>
      <c r="AA612" s="34"/>
      <c r="AB612" s="5" t="b">
        <f>IF(VLOOKUP(Table2[[#This Row],[Home/Neutral]],division_lookup,9,FALSE)=VLOOKUP(Table2[[#This Row],[Visitor/Neutral]],division_lookup,9,FALSE),TRUE,FALSE)</f>
        <v>0</v>
      </c>
      <c r="AC612" s="19" t="str">
        <f>VLOOKUP(Table2[[#This Row],[Home/Neutral]],division_lookup,9,FALSE)</f>
        <v>P</v>
      </c>
      <c r="AD612" s="19"/>
      <c r="AE612" s="19" t="str">
        <f>IF(Table2[[#This Row],[Total EV ®]]&lt;Table2[[#This Row],[Total (V)]],"UNDER","OVER")</f>
        <v>OVER</v>
      </c>
      <c r="AF612" s="30">
        <f>Table2[[#This Row],[(A) Spread]]-Table2[[#This Row],[Spread (V)]]</f>
        <v>0</v>
      </c>
      <c r="AG612" s="19"/>
      <c r="AH612" s="2">
        <f>Table2[[#This Row],[EV]]-Table2[[#This Row],[Spread (V)]]</f>
        <v>2.2015140643481175</v>
      </c>
      <c r="AI612" s="22">
        <f>Table2[[#This Row],[(A)]]-Table2[[#This Row],[Spread]]</f>
        <v>1.8948815165876693</v>
      </c>
      <c r="AJ612" s="1">
        <f>Table2[[#This Row],[(A) Err]]^2</f>
        <v>3.5905759619055857</v>
      </c>
      <c r="AK612" s="6">
        <f>Table2[[#This Row],[EV]]-Table2[[#This Row],[Spread]]</f>
        <v>2.2015140643481175</v>
      </c>
      <c r="AL612" s="1">
        <f>Table2[[#This Row],[EV Err]]^2</f>
        <v>4.8466641755225668</v>
      </c>
    </row>
    <row r="613" spans="1:38" x14ac:dyDescent="0.25">
      <c r="A613" t="s">
        <v>123</v>
      </c>
      <c r="B613" t="s">
        <v>14</v>
      </c>
      <c r="C613" t="s">
        <v>31</v>
      </c>
      <c r="K613" s="25">
        <f>(Table2[[#This Row],[Home Pace]]/100)*(VLOOKUP(Table2[[#This Row],[Home/Neutral]],home_lookup,8,FALSE)+VLOOKUP(Table2[[#This Row],[Home/Neutral]],OFR_lookup,2,FALSE)+VLOOKUP(Table2[[#This Row],[Visitor/Neutral]],def_diff_lookup,6,FALSE))</f>
        <v>111.69426414241451</v>
      </c>
      <c r="L613" s="25"/>
      <c r="M613" s="25">
        <f>(Table2[[#This Row],[Away Pace]]/100)*(VLOOKUP(Table2[[#This Row],[Visitor/Neutral]],OFR_lookup,2,FALSE)+VLOOKUP(Table2[[#This Row],[Home/Neutral]],def_diff_lookup,6,FALSE))</f>
        <v>106.24384000000001</v>
      </c>
      <c r="N613" s="25"/>
      <c r="O613" s="25"/>
      <c r="P613">
        <f>VLOOKUP(Table2[[#This Row],[Home/Neutral]],pace_lookup,7,FALSE)</f>
        <v>95.9</v>
      </c>
      <c r="Q613" s="5">
        <f>VLOOKUP(Table2[[#This Row],[Visitor/Neutral]],pace_lookup,7,FALSE)</f>
        <v>96</v>
      </c>
      <c r="R613" s="9"/>
      <c r="V613" s="2">
        <f>-home-VLOOKUP(Table2[[#This Row],[Home/Neutral]],rtg_vlookup,4,FALSE)+VLOOKUP(Table2[[#This Row],[Visitor/Neutral]],rtg_vlookup,4,FALSE)</f>
        <v>-9.9351184834123316</v>
      </c>
      <c r="W613" s="25"/>
      <c r="X613" s="2"/>
      <c r="Y613" s="2">
        <f>Table2[[#This Row],[Away EV]]-Table2[[#This Row],[Home EV]]</f>
        <v>-5.450424142414505</v>
      </c>
      <c r="Z613" s="33"/>
      <c r="AA613" s="34"/>
      <c r="AB613" s="5" t="b">
        <f>IF(VLOOKUP(Table2[[#This Row],[Home/Neutral]],division_lookup,9,FALSE)=VLOOKUP(Table2[[#This Row],[Visitor/Neutral]],division_lookup,9,FALSE),TRUE,FALSE)</f>
        <v>1</v>
      </c>
      <c r="AC613" s="19" t="str">
        <f>VLOOKUP(Table2[[#This Row],[Home/Neutral]],division_lookup,9,FALSE)</f>
        <v>A</v>
      </c>
      <c r="AD613" s="19"/>
      <c r="AE613" s="19" t="str">
        <f>IF(Table2[[#This Row],[Total EV ®]]&lt;Table2[[#This Row],[Total (V)]],"UNDER","OVER")</f>
        <v>OVER</v>
      </c>
      <c r="AF613" s="30">
        <f>Table2[[#This Row],[(A) Spread]]-Table2[[#This Row],[Spread (V)]]</f>
        <v>0</v>
      </c>
      <c r="AG613" s="19"/>
      <c r="AH613" s="2">
        <f>Table2[[#This Row],[EV]]-Table2[[#This Row],[Spread (V)]]</f>
        <v>-5.450424142414505</v>
      </c>
      <c r="AI613" s="22">
        <f>Table2[[#This Row],[(A)]]-Table2[[#This Row],[Spread]]</f>
        <v>-9.9351184834123316</v>
      </c>
      <c r="AJ613" s="1">
        <f>Table2[[#This Row],[(A) Err]]^2</f>
        <v>98.706579279441343</v>
      </c>
      <c r="AK613" s="6">
        <f>Table2[[#This Row],[EV]]-Table2[[#This Row],[Spread]]</f>
        <v>-5.450424142414505</v>
      </c>
      <c r="AL613" s="1">
        <f>Table2[[#This Row],[EV Err]]^2</f>
        <v>29.707123332214891</v>
      </c>
    </row>
    <row r="614" spans="1:38" x14ac:dyDescent="0.25">
      <c r="A614" t="s">
        <v>124</v>
      </c>
      <c r="B614" t="s">
        <v>26</v>
      </c>
      <c r="C614" t="s">
        <v>16</v>
      </c>
      <c r="K614" s="25">
        <f>(Table2[[#This Row],[Home Pace]]/100)*(VLOOKUP(Table2[[#This Row],[Home/Neutral]],home_lookup,8,FALSE)+VLOOKUP(Table2[[#This Row],[Home/Neutral]],OFR_lookup,2,FALSE)+VLOOKUP(Table2[[#This Row],[Visitor/Neutral]],def_diff_lookup,6,FALSE))</f>
        <v>105.1521635891816</v>
      </c>
      <c r="L614" s="25"/>
      <c r="M614" s="25">
        <f>(Table2[[#This Row],[Away Pace]]/100)*(VLOOKUP(Table2[[#This Row],[Visitor/Neutral]],OFR_lookup,2,FALSE)+VLOOKUP(Table2[[#This Row],[Home/Neutral]],def_diff_lookup,6,FALSE))</f>
        <v>106.1879</v>
      </c>
      <c r="N614" s="25"/>
      <c r="O614" s="25"/>
      <c r="P614">
        <f>VLOOKUP(Table2[[#This Row],[Home/Neutral]],pace_lookup,7,FALSE)</f>
        <v>96</v>
      </c>
      <c r="Q614" s="5">
        <f>VLOOKUP(Table2[[#This Row],[Visitor/Neutral]],pace_lookup,7,FALSE)</f>
        <v>97.5</v>
      </c>
      <c r="R614" s="9"/>
      <c r="V614" s="2">
        <f>-home-VLOOKUP(Table2[[#This Row],[Home/Neutral]],rtg_vlookup,4,FALSE)+VLOOKUP(Table2[[#This Row],[Visitor/Neutral]],rtg_vlookup,4,FALSE)</f>
        <v>0.1148815165876691</v>
      </c>
      <c r="W614" s="25"/>
      <c r="X614" s="2"/>
      <c r="Y614" s="2">
        <f>Table2[[#This Row],[Away EV]]-Table2[[#This Row],[Home EV]]</f>
        <v>1.0357364108184015</v>
      </c>
      <c r="Z614" s="33"/>
      <c r="AA614" s="34"/>
      <c r="AB614" s="5" t="b">
        <f>IF(VLOOKUP(Table2[[#This Row],[Home/Neutral]],division_lookup,9,FALSE)=VLOOKUP(Table2[[#This Row],[Visitor/Neutral]],division_lookup,9,FALSE),TRUE,FALSE)</f>
        <v>0</v>
      </c>
      <c r="AC614" s="19" t="str">
        <f>VLOOKUP(Table2[[#This Row],[Home/Neutral]],division_lookup,9,FALSE)</f>
        <v>A</v>
      </c>
      <c r="AD614" s="19"/>
      <c r="AE614" s="19" t="str">
        <f>IF(Table2[[#This Row],[Total EV ®]]&lt;Table2[[#This Row],[Total (V)]],"UNDER","OVER")</f>
        <v>OVER</v>
      </c>
      <c r="AF614" s="30">
        <f>Table2[[#This Row],[(A) Spread]]-Table2[[#This Row],[Spread (V)]]</f>
        <v>0</v>
      </c>
      <c r="AG614" s="19"/>
      <c r="AH614" s="2">
        <f>Table2[[#This Row],[EV]]-Table2[[#This Row],[Spread (V)]]</f>
        <v>1.0357364108184015</v>
      </c>
      <c r="AI614" s="22">
        <f>Table2[[#This Row],[(A)]]-Table2[[#This Row],[Spread]]</f>
        <v>0.1148815165876691</v>
      </c>
      <c r="AJ614" s="1">
        <f>Table2[[#This Row],[(A) Err]]^2</f>
        <v>1.319776285348289E-2</v>
      </c>
      <c r="AK614" s="6">
        <f>Table2[[#This Row],[EV]]-Table2[[#This Row],[Spread]]</f>
        <v>1.0357364108184015</v>
      </c>
      <c r="AL614" s="1">
        <f>Table2[[#This Row],[EV Err]]^2</f>
        <v>1.0727499126949847</v>
      </c>
    </row>
    <row r="615" spans="1:38" x14ac:dyDescent="0.25">
      <c r="A615" t="s">
        <v>124</v>
      </c>
      <c r="B615" t="s">
        <v>27</v>
      </c>
      <c r="C615" t="s">
        <v>38</v>
      </c>
      <c r="K615" s="25">
        <f>(Table2[[#This Row],[Home Pace]]/100)*(VLOOKUP(Table2[[#This Row],[Home/Neutral]],home_lookup,8,FALSE)+VLOOKUP(Table2[[#This Row],[Home/Neutral]],OFR_lookup,2,FALSE)+VLOOKUP(Table2[[#This Row],[Visitor/Neutral]],def_diff_lookup,6,FALSE))</f>
        <v>105.65415642647258</v>
      </c>
      <c r="L615" s="25"/>
      <c r="M615" s="25">
        <f>(Table2[[#This Row],[Away Pace]]/100)*(VLOOKUP(Table2[[#This Row],[Visitor/Neutral]],OFR_lookup,2,FALSE)+VLOOKUP(Table2[[#This Row],[Home/Neutral]],def_diff_lookup,6,FALSE))</f>
        <v>92.618068000000022</v>
      </c>
      <c r="N615" s="25"/>
      <c r="O615" s="25"/>
      <c r="P615">
        <f>VLOOKUP(Table2[[#This Row],[Home/Neutral]],pace_lookup,7,FALSE)</f>
        <v>99</v>
      </c>
      <c r="Q615" s="5">
        <f>VLOOKUP(Table2[[#This Row],[Visitor/Neutral]],pace_lookup,7,FALSE)</f>
        <v>94.2</v>
      </c>
      <c r="R615" s="9"/>
      <c r="V615" s="2">
        <f>-home-VLOOKUP(Table2[[#This Row],[Home/Neutral]],rtg_vlookup,4,FALSE)+VLOOKUP(Table2[[#This Row],[Visitor/Neutral]],rtg_vlookup,4,FALSE)</f>
        <v>-10.82511848341233</v>
      </c>
      <c r="W615" s="25"/>
      <c r="X615" s="2"/>
      <c r="Y615" s="2">
        <f>Table2[[#This Row],[Away EV]]-Table2[[#This Row],[Home EV]]</f>
        <v>-13.03608842647256</v>
      </c>
      <c r="Z615" s="33"/>
      <c r="AA615" s="34"/>
      <c r="AB615" s="5" t="b">
        <f>IF(VLOOKUP(Table2[[#This Row],[Home/Neutral]],division_lookup,9,FALSE)=VLOOKUP(Table2[[#This Row],[Visitor/Neutral]],division_lookup,9,FALSE),TRUE,FALSE)</f>
        <v>0</v>
      </c>
      <c r="AC615" s="19" t="str">
        <f>VLOOKUP(Table2[[#This Row],[Home/Neutral]],division_lookup,9,FALSE)</f>
        <v>NW</v>
      </c>
      <c r="AD615" s="19"/>
      <c r="AE615" s="19" t="str">
        <f>IF(Table2[[#This Row],[Total EV ®]]&lt;Table2[[#This Row],[Total (V)]],"UNDER","OVER")</f>
        <v>OVER</v>
      </c>
      <c r="AF615" s="30">
        <f>Table2[[#This Row],[(A) Spread]]-Table2[[#This Row],[Spread (V)]]</f>
        <v>0</v>
      </c>
      <c r="AG615" s="19"/>
      <c r="AH615" s="2">
        <f>Table2[[#This Row],[EV]]-Table2[[#This Row],[Spread (V)]]</f>
        <v>-13.03608842647256</v>
      </c>
      <c r="AI615" s="22">
        <f>Table2[[#This Row],[(A)]]-Table2[[#This Row],[Spread]]</f>
        <v>-10.82511848341233</v>
      </c>
      <c r="AJ615" s="1">
        <f>Table2[[#This Row],[(A) Err]]^2</f>
        <v>117.18319017991527</v>
      </c>
      <c r="AK615" s="6">
        <f>Table2[[#This Row],[EV]]-Table2[[#This Row],[Spread]]</f>
        <v>-13.03608842647256</v>
      </c>
      <c r="AL615" s="1">
        <f>Table2[[#This Row],[EV Err]]^2</f>
        <v>169.93960146281182</v>
      </c>
    </row>
    <row r="616" spans="1:38" x14ac:dyDescent="0.25">
      <c r="A616" t="s">
        <v>124</v>
      </c>
      <c r="B616" t="s">
        <v>10</v>
      </c>
      <c r="C616" t="s">
        <v>8</v>
      </c>
      <c r="K616" s="25">
        <f>(Table2[[#This Row],[Home Pace]]/100)*(VLOOKUP(Table2[[#This Row],[Home/Neutral]],home_lookup,8,FALSE)+VLOOKUP(Table2[[#This Row],[Home/Neutral]],OFR_lookup,2,FALSE)+VLOOKUP(Table2[[#This Row],[Visitor/Neutral]],def_diff_lookup,6,FALSE))</f>
        <v>105.2204285379056</v>
      </c>
      <c r="L616" s="25"/>
      <c r="M616" s="25">
        <f>(Table2[[#This Row],[Away Pace]]/100)*(VLOOKUP(Table2[[#This Row],[Visitor/Neutral]],OFR_lookup,2,FALSE)+VLOOKUP(Table2[[#This Row],[Home/Neutral]],def_diff_lookup,6,FALSE))</f>
        <v>109.60336799999999</v>
      </c>
      <c r="N616" s="25"/>
      <c r="O616" s="25"/>
      <c r="P616">
        <f>VLOOKUP(Table2[[#This Row],[Home/Neutral]],pace_lookup,7,FALSE)</f>
        <v>100.3</v>
      </c>
      <c r="Q616" s="5">
        <f>VLOOKUP(Table2[[#This Row],[Visitor/Neutral]],pace_lookup,7,FALSE)</f>
        <v>97.2</v>
      </c>
      <c r="R616" s="9"/>
      <c r="V616" s="2">
        <f>-home-VLOOKUP(Table2[[#This Row],[Home/Neutral]],rtg_vlookup,4,FALSE)+VLOOKUP(Table2[[#This Row],[Visitor/Neutral]],rtg_vlookup,4,FALSE)</f>
        <v>-4.3451184834123309</v>
      </c>
      <c r="W616" s="25"/>
      <c r="X616" s="2"/>
      <c r="Y616" s="2">
        <f>Table2[[#This Row],[Away EV]]-Table2[[#This Row],[Home EV]]</f>
        <v>4.3829394620943845</v>
      </c>
      <c r="Z616" s="33"/>
      <c r="AA616" s="34"/>
      <c r="AB616" s="5" t="b">
        <f>IF(VLOOKUP(Table2[[#This Row],[Home/Neutral]],division_lookup,9,FALSE)=VLOOKUP(Table2[[#This Row],[Visitor/Neutral]],division_lookup,9,FALSE),TRUE,FALSE)</f>
        <v>0</v>
      </c>
      <c r="AC616" s="19" t="str">
        <f>VLOOKUP(Table2[[#This Row],[Home/Neutral]],division_lookup,9,FALSE)</f>
        <v>P</v>
      </c>
      <c r="AD616" s="19"/>
      <c r="AE616" s="19" t="str">
        <f>IF(Table2[[#This Row],[Total EV ®]]&lt;Table2[[#This Row],[Total (V)]],"UNDER","OVER")</f>
        <v>OVER</v>
      </c>
      <c r="AF616" s="30">
        <f>Table2[[#This Row],[(A) Spread]]-Table2[[#This Row],[Spread (V)]]</f>
        <v>0</v>
      </c>
      <c r="AG616" s="19"/>
      <c r="AH616" s="2">
        <f>Table2[[#This Row],[EV]]-Table2[[#This Row],[Spread (V)]]</f>
        <v>4.3829394620943845</v>
      </c>
      <c r="AI616" s="22">
        <f>Table2[[#This Row],[(A)]]-Table2[[#This Row],[Spread]]</f>
        <v>-4.3451184834123309</v>
      </c>
      <c r="AJ616" s="1">
        <f>Table2[[#This Row],[(A) Err]]^2</f>
        <v>18.880054634891476</v>
      </c>
      <c r="AK616" s="6">
        <f>Table2[[#This Row],[EV]]-Table2[[#This Row],[Spread]]</f>
        <v>4.3829394620943845</v>
      </c>
      <c r="AL616" s="1">
        <f>Table2[[#This Row],[EV Err]]^2</f>
        <v>19.210158328384214</v>
      </c>
    </row>
    <row r="617" spans="1:38" x14ac:dyDescent="0.25">
      <c r="A617" t="s">
        <v>124</v>
      </c>
      <c r="B617" t="s">
        <v>33</v>
      </c>
      <c r="C617" t="s">
        <v>34</v>
      </c>
      <c r="K617" s="25">
        <f>(Table2[[#This Row],[Home Pace]]/100)*(VLOOKUP(Table2[[#This Row],[Home/Neutral]],home_lookup,8,FALSE)+VLOOKUP(Table2[[#This Row],[Home/Neutral]],OFR_lookup,2,FALSE)+VLOOKUP(Table2[[#This Row],[Visitor/Neutral]],def_diff_lookup,6,FALSE))</f>
        <v>107.26367852057507</v>
      </c>
      <c r="L617" s="25"/>
      <c r="M617" s="25">
        <f>(Table2[[#This Row],[Away Pace]]/100)*(VLOOKUP(Table2[[#This Row],[Visitor/Neutral]],OFR_lookup,2,FALSE)+VLOOKUP(Table2[[#This Row],[Home/Neutral]],def_diff_lookup,6,FALSE))</f>
        <v>102.25865866666668</v>
      </c>
      <c r="N617" s="25"/>
      <c r="O617" s="25"/>
      <c r="P617">
        <f>VLOOKUP(Table2[[#This Row],[Home/Neutral]],pace_lookup,7,FALSE)</f>
        <v>98.2</v>
      </c>
      <c r="Q617" s="5">
        <f>VLOOKUP(Table2[[#This Row],[Visitor/Neutral]],pace_lookup,7,FALSE)</f>
        <v>98.8</v>
      </c>
      <c r="R617" s="9"/>
      <c r="V617" s="2">
        <f>-home-VLOOKUP(Table2[[#This Row],[Home/Neutral]],rtg_vlookup,4,FALSE)+VLOOKUP(Table2[[#This Row],[Visitor/Neutral]],rtg_vlookup,4,FALSE)</f>
        <v>-2.5151184834123308</v>
      </c>
      <c r="W617" s="25"/>
      <c r="X617" s="2"/>
      <c r="Y617" s="2">
        <f>Table2[[#This Row],[Away EV]]-Table2[[#This Row],[Home EV]]</f>
        <v>-5.0050198539083937</v>
      </c>
      <c r="Z617" s="33"/>
      <c r="AA617" s="34"/>
      <c r="AB617" s="5" t="b">
        <f>IF(VLOOKUP(Table2[[#This Row],[Home/Neutral]],division_lookup,9,FALSE)=VLOOKUP(Table2[[#This Row],[Visitor/Neutral]],division_lookup,9,FALSE),TRUE,FALSE)</f>
        <v>0</v>
      </c>
      <c r="AC617" s="19" t="str">
        <f>VLOOKUP(Table2[[#This Row],[Home/Neutral]],division_lookup,9,FALSE)</f>
        <v>C</v>
      </c>
      <c r="AD617" s="19"/>
      <c r="AE617" s="19" t="str">
        <f>IF(Table2[[#This Row],[Total EV ®]]&lt;Table2[[#This Row],[Total (V)]],"UNDER","OVER")</f>
        <v>OVER</v>
      </c>
      <c r="AF617" s="30">
        <f>Table2[[#This Row],[(A) Spread]]-Table2[[#This Row],[Spread (V)]]</f>
        <v>0</v>
      </c>
      <c r="AG617" s="19"/>
      <c r="AH617" s="2">
        <f>Table2[[#This Row],[EV]]-Table2[[#This Row],[Spread (V)]]</f>
        <v>-5.0050198539083937</v>
      </c>
      <c r="AI617" s="22">
        <f>Table2[[#This Row],[(A)]]-Table2[[#This Row],[Spread]]</f>
        <v>-2.5151184834123308</v>
      </c>
      <c r="AJ617" s="1">
        <f>Table2[[#This Row],[(A) Err]]^2</f>
        <v>6.3258209856023431</v>
      </c>
      <c r="AK617" s="6">
        <f>Table2[[#This Row],[EV]]-Table2[[#This Row],[Spread]]</f>
        <v>-5.0050198539083937</v>
      </c>
      <c r="AL617" s="1">
        <f>Table2[[#This Row],[EV Err]]^2</f>
        <v>25.050223738017198</v>
      </c>
    </row>
    <row r="618" spans="1:38" x14ac:dyDescent="0.25">
      <c r="A618" t="s">
        <v>124</v>
      </c>
      <c r="B618" t="s">
        <v>4</v>
      </c>
      <c r="C618" t="s">
        <v>18</v>
      </c>
      <c r="K618" s="25">
        <f>(Table2[[#This Row],[Home Pace]]/100)*(VLOOKUP(Table2[[#This Row],[Home/Neutral]],home_lookup,8,FALSE)+VLOOKUP(Table2[[#This Row],[Home/Neutral]],OFR_lookup,2,FALSE)+VLOOKUP(Table2[[#This Row],[Visitor/Neutral]],def_diff_lookup,6,FALSE))</f>
        <v>98.27286781393444</v>
      </c>
      <c r="L618" s="25"/>
      <c r="M618" s="25">
        <f>(Table2[[#This Row],[Away Pace]]/100)*(VLOOKUP(Table2[[#This Row],[Visitor/Neutral]],OFR_lookup,2,FALSE)+VLOOKUP(Table2[[#This Row],[Home/Neutral]],def_diff_lookup,6,FALSE))</f>
        <v>97.878813333333341</v>
      </c>
      <c r="N618" s="25"/>
      <c r="O618" s="25"/>
      <c r="P618">
        <f>VLOOKUP(Table2[[#This Row],[Home/Neutral]],pace_lookup,7,FALSE)</f>
        <v>96.6</v>
      </c>
      <c r="Q618" s="5">
        <f>VLOOKUP(Table2[[#This Row],[Visitor/Neutral]],pace_lookup,7,FALSE)</f>
        <v>99.5</v>
      </c>
      <c r="R618" s="9"/>
      <c r="V618" s="2">
        <f>-home-VLOOKUP(Table2[[#This Row],[Home/Neutral]],rtg_vlookup,4,FALSE)+VLOOKUP(Table2[[#This Row],[Visitor/Neutral]],rtg_vlookup,4,FALSE)</f>
        <v>-15.035118483412331</v>
      </c>
      <c r="W618" s="25"/>
      <c r="X618" s="2"/>
      <c r="Y618" s="2">
        <f>Table2[[#This Row],[Away EV]]-Table2[[#This Row],[Home EV]]</f>
        <v>-0.39405448060109904</v>
      </c>
      <c r="Z618" s="33"/>
      <c r="AA618" s="34"/>
      <c r="AB618" s="5" t="b">
        <f>IF(VLOOKUP(Table2[[#This Row],[Home/Neutral]],division_lookup,9,FALSE)=VLOOKUP(Table2[[#This Row],[Visitor/Neutral]],division_lookup,9,FALSE),TRUE,FALSE)</f>
        <v>0</v>
      </c>
      <c r="AC618" s="19" t="str">
        <f>VLOOKUP(Table2[[#This Row],[Home/Neutral]],division_lookup,9,FALSE)</f>
        <v>P</v>
      </c>
      <c r="AD618" s="19"/>
      <c r="AE618" s="19" t="str">
        <f>IF(Table2[[#This Row],[Total EV ®]]&lt;Table2[[#This Row],[Total (V)]],"UNDER","OVER")</f>
        <v>OVER</v>
      </c>
      <c r="AF618" s="30">
        <f>Table2[[#This Row],[(A) Spread]]-Table2[[#This Row],[Spread (V)]]</f>
        <v>0</v>
      </c>
      <c r="AG618" s="19"/>
      <c r="AH618" s="2">
        <f>Table2[[#This Row],[EV]]-Table2[[#This Row],[Spread (V)]]</f>
        <v>-0.39405448060109904</v>
      </c>
      <c r="AI618" s="22">
        <f>Table2[[#This Row],[(A)]]-Table2[[#This Row],[Spread]]</f>
        <v>-15.035118483412331</v>
      </c>
      <c r="AJ618" s="1">
        <f>Table2[[#This Row],[(A) Err]]^2</f>
        <v>226.05478781024712</v>
      </c>
      <c r="AK618" s="6">
        <f>Table2[[#This Row],[EV]]-Table2[[#This Row],[Spread]]</f>
        <v>-0.39405448060109904</v>
      </c>
      <c r="AL618" s="1">
        <f>Table2[[#This Row],[EV Err]]^2</f>
        <v>0.15527893368180196</v>
      </c>
    </row>
    <row r="619" spans="1:38" x14ac:dyDescent="0.25">
      <c r="A619" t="s">
        <v>124</v>
      </c>
      <c r="B619" t="s">
        <v>30</v>
      </c>
      <c r="C619" t="s">
        <v>39</v>
      </c>
      <c r="K619" s="25">
        <f>(Table2[[#This Row],[Home Pace]]/100)*(VLOOKUP(Table2[[#This Row],[Home/Neutral]],home_lookup,8,FALSE)+VLOOKUP(Table2[[#This Row],[Home/Neutral]],OFR_lookup,2,FALSE)+VLOOKUP(Table2[[#This Row],[Visitor/Neutral]],def_diff_lookup,6,FALSE))</f>
        <v>111.03568034993644</v>
      </c>
      <c r="L619" s="25"/>
      <c r="M619" s="25">
        <f>(Table2[[#This Row],[Away Pace]]/100)*(VLOOKUP(Table2[[#This Row],[Visitor/Neutral]],OFR_lookup,2,FALSE)+VLOOKUP(Table2[[#This Row],[Home/Neutral]],def_diff_lookup,6,FALSE))</f>
        <v>99.440900000000013</v>
      </c>
      <c r="N619" s="25"/>
      <c r="O619" s="25"/>
      <c r="P619">
        <f>VLOOKUP(Table2[[#This Row],[Home/Neutral]],pace_lookup,7,FALSE)</f>
        <v>96.8</v>
      </c>
      <c r="Q619" s="5">
        <f>VLOOKUP(Table2[[#This Row],[Visitor/Neutral]],pace_lookup,7,FALSE)</f>
        <v>97.5</v>
      </c>
      <c r="R619" s="9"/>
      <c r="V619" s="2">
        <f>-home-VLOOKUP(Table2[[#This Row],[Home/Neutral]],rtg_vlookup,4,FALSE)+VLOOKUP(Table2[[#This Row],[Visitor/Neutral]],rtg_vlookup,4,FALSE)</f>
        <v>-9.4851184834123305</v>
      </c>
      <c r="W619" s="25"/>
      <c r="X619" s="2"/>
      <c r="Y619" s="2">
        <f>Table2[[#This Row],[Away EV]]-Table2[[#This Row],[Home EV]]</f>
        <v>-11.594780349936428</v>
      </c>
      <c r="Z619" s="33"/>
      <c r="AA619" s="34"/>
      <c r="AB619" s="5" t="b">
        <f>IF(VLOOKUP(Table2[[#This Row],[Home/Neutral]],division_lookup,9,FALSE)=VLOOKUP(Table2[[#This Row],[Visitor/Neutral]],division_lookup,9,FALSE),TRUE,FALSE)</f>
        <v>0</v>
      </c>
      <c r="AC619" s="19" t="str">
        <f>VLOOKUP(Table2[[#This Row],[Home/Neutral]],division_lookup,9,FALSE)</f>
        <v>C</v>
      </c>
      <c r="AD619" s="19"/>
      <c r="AE619" s="19" t="str">
        <f>IF(Table2[[#This Row],[Total EV ®]]&lt;Table2[[#This Row],[Total (V)]],"UNDER","OVER")</f>
        <v>OVER</v>
      </c>
      <c r="AF619" s="30">
        <f>Table2[[#This Row],[(A) Spread]]-Table2[[#This Row],[Spread (V)]]</f>
        <v>0</v>
      </c>
      <c r="AG619" s="19"/>
      <c r="AH619" s="2">
        <f>Table2[[#This Row],[EV]]-Table2[[#This Row],[Spread (V)]]</f>
        <v>-11.594780349936428</v>
      </c>
      <c r="AI619" s="22">
        <f>Table2[[#This Row],[(A)]]-Table2[[#This Row],[Spread]]</f>
        <v>-9.4851184834123305</v>
      </c>
      <c r="AJ619" s="1">
        <f>Table2[[#This Row],[(A) Err]]^2</f>
        <v>89.967472644370233</v>
      </c>
      <c r="AK619" s="6">
        <f>Table2[[#This Row],[EV]]-Table2[[#This Row],[Spread]]</f>
        <v>-11.594780349936428</v>
      </c>
      <c r="AL619" s="1">
        <f>Table2[[#This Row],[EV Err]]^2</f>
        <v>134.43893136327193</v>
      </c>
    </row>
    <row r="620" spans="1:38" x14ac:dyDescent="0.25">
      <c r="A620" t="s">
        <v>124</v>
      </c>
      <c r="B620" t="s">
        <v>31</v>
      </c>
      <c r="C620" t="s">
        <v>11</v>
      </c>
      <c r="K620" s="25">
        <f>(Table2[[#This Row],[Home Pace]]/100)*(VLOOKUP(Table2[[#This Row],[Home/Neutral]],home_lookup,8,FALSE)+VLOOKUP(Table2[[#This Row],[Home/Neutral]],OFR_lookup,2,FALSE)+VLOOKUP(Table2[[#This Row],[Visitor/Neutral]],def_diff_lookup,6,FALSE))</f>
        <v>102.86377430217891</v>
      </c>
      <c r="L620" s="25"/>
      <c r="M620" s="25">
        <f>(Table2[[#This Row],[Away Pace]]/100)*(VLOOKUP(Table2[[#This Row],[Visitor/Neutral]],OFR_lookup,2,FALSE)+VLOOKUP(Table2[[#This Row],[Home/Neutral]],def_diff_lookup,6,FALSE))</f>
        <v>109.22201466666667</v>
      </c>
      <c r="N620" s="25"/>
      <c r="O620" s="25"/>
      <c r="P620">
        <f>VLOOKUP(Table2[[#This Row],[Home/Neutral]],pace_lookup,7,FALSE)</f>
        <v>96</v>
      </c>
      <c r="Q620" s="5">
        <f>VLOOKUP(Table2[[#This Row],[Visitor/Neutral]],pace_lookup,7,FALSE)</f>
        <v>99.7</v>
      </c>
      <c r="R620" s="9"/>
      <c r="V620" s="2">
        <f>-home-VLOOKUP(Table2[[#This Row],[Home/Neutral]],rtg_vlookup,4,FALSE)+VLOOKUP(Table2[[#This Row],[Visitor/Neutral]],rtg_vlookup,4,FALSE)</f>
        <v>5.8348815165876697</v>
      </c>
      <c r="W620" s="25"/>
      <c r="X620" s="2"/>
      <c r="Y620" s="2">
        <f>Table2[[#This Row],[Away EV]]-Table2[[#This Row],[Home EV]]</f>
        <v>6.3582403644877559</v>
      </c>
      <c r="Z620" s="33"/>
      <c r="AA620" s="34"/>
      <c r="AB620" s="5" t="b">
        <f>IF(VLOOKUP(Table2[[#This Row],[Home/Neutral]],division_lookup,9,FALSE)=VLOOKUP(Table2[[#This Row],[Visitor/Neutral]],division_lookup,9,FALSE),TRUE,FALSE)</f>
        <v>0</v>
      </c>
      <c r="AC620" s="19" t="str">
        <f>VLOOKUP(Table2[[#This Row],[Home/Neutral]],division_lookup,9,FALSE)</f>
        <v>A</v>
      </c>
      <c r="AD620" s="19"/>
      <c r="AE620" s="19" t="str">
        <f>IF(Table2[[#This Row],[Total EV ®]]&lt;Table2[[#This Row],[Total (V)]],"UNDER","OVER")</f>
        <v>OVER</v>
      </c>
      <c r="AF620" s="30">
        <f>Table2[[#This Row],[(A) Spread]]-Table2[[#This Row],[Spread (V)]]</f>
        <v>0</v>
      </c>
      <c r="AG620" s="19"/>
      <c r="AH620" s="2">
        <f>Table2[[#This Row],[EV]]-Table2[[#This Row],[Spread (V)]]</f>
        <v>6.3582403644877559</v>
      </c>
      <c r="AI620" s="22">
        <f>Table2[[#This Row],[(A)]]-Table2[[#This Row],[Spread]]</f>
        <v>5.8348815165876697</v>
      </c>
      <c r="AJ620" s="1">
        <f>Table2[[#This Row],[(A) Err]]^2</f>
        <v>34.045842312616422</v>
      </c>
      <c r="AK620" s="6">
        <f>Table2[[#This Row],[EV]]-Table2[[#This Row],[Spread]]</f>
        <v>6.3582403644877559</v>
      </c>
      <c r="AL620" s="1">
        <f>Table2[[#This Row],[EV Err]]^2</f>
        <v>40.427220532601389</v>
      </c>
    </row>
    <row r="621" spans="1:38" x14ac:dyDescent="0.25">
      <c r="A621" t="s">
        <v>124</v>
      </c>
      <c r="B621" t="s">
        <v>36</v>
      </c>
      <c r="C621" t="s">
        <v>20</v>
      </c>
      <c r="K621" s="25">
        <f>(Table2[[#This Row],[Home Pace]]/100)*(VLOOKUP(Table2[[#This Row],[Home/Neutral]],home_lookup,8,FALSE)+VLOOKUP(Table2[[#This Row],[Home/Neutral]],OFR_lookup,2,FALSE)+VLOOKUP(Table2[[#This Row],[Visitor/Neutral]],def_diff_lookup,6,FALSE))</f>
        <v>105.99027156604043</v>
      </c>
      <c r="L621" s="25"/>
      <c r="M621" s="25">
        <f>(Table2[[#This Row],[Away Pace]]/100)*(VLOOKUP(Table2[[#This Row],[Visitor/Neutral]],OFR_lookup,2,FALSE)+VLOOKUP(Table2[[#This Row],[Home/Neutral]],def_diff_lookup,6,FALSE))</f>
        <v>99.490656000000016</v>
      </c>
      <c r="N621" s="25"/>
      <c r="O621" s="25"/>
      <c r="P621">
        <f>VLOOKUP(Table2[[#This Row],[Home/Neutral]],pace_lookup,7,FALSE)</f>
        <v>102.2</v>
      </c>
      <c r="Q621" s="5">
        <f>VLOOKUP(Table2[[#This Row],[Visitor/Neutral]],pace_lookup,7,FALSE)</f>
        <v>90.9</v>
      </c>
      <c r="R621" s="9"/>
      <c r="V621" s="2">
        <f>-home-VLOOKUP(Table2[[#This Row],[Home/Neutral]],rtg_vlookup,4,FALSE)+VLOOKUP(Table2[[#This Row],[Visitor/Neutral]],rtg_vlookup,4,FALSE)</f>
        <v>5.2148815165876696</v>
      </c>
      <c r="W621" s="25"/>
      <c r="X621" s="2"/>
      <c r="Y621" s="2">
        <f>Table2[[#This Row],[Away EV]]-Table2[[#This Row],[Home EV]]</f>
        <v>-6.4996155660404185</v>
      </c>
      <c r="Z621" s="33"/>
      <c r="AA621" s="34"/>
      <c r="AB621" s="5" t="b">
        <f>IF(VLOOKUP(Table2[[#This Row],[Home/Neutral]],division_lookup,9,FALSE)=VLOOKUP(Table2[[#This Row],[Visitor/Neutral]],division_lookup,9,FALSE),TRUE,FALSE)</f>
        <v>0</v>
      </c>
      <c r="AC621" s="19" t="str">
        <f>VLOOKUP(Table2[[#This Row],[Home/Neutral]],division_lookup,9,FALSE)</f>
        <v>P</v>
      </c>
      <c r="AD621" s="19"/>
      <c r="AE621" s="19" t="str">
        <f>IF(Table2[[#This Row],[Total EV ®]]&lt;Table2[[#This Row],[Total (V)]],"UNDER","OVER")</f>
        <v>OVER</v>
      </c>
      <c r="AF621" s="30">
        <f>Table2[[#This Row],[(A) Spread]]-Table2[[#This Row],[Spread (V)]]</f>
        <v>0</v>
      </c>
      <c r="AG621" s="19"/>
      <c r="AH621" s="2">
        <f>Table2[[#This Row],[EV]]-Table2[[#This Row],[Spread (V)]]</f>
        <v>-6.4996155660404185</v>
      </c>
      <c r="AI621" s="22">
        <f>Table2[[#This Row],[(A)]]-Table2[[#This Row],[Spread]]</f>
        <v>5.2148815165876696</v>
      </c>
      <c r="AJ621" s="1">
        <f>Table2[[#This Row],[(A) Err]]^2</f>
        <v>27.194989232047714</v>
      </c>
      <c r="AK621" s="6">
        <f>Table2[[#This Row],[EV]]-Table2[[#This Row],[Spread]]</f>
        <v>-6.4996155660404185</v>
      </c>
      <c r="AL621" s="1">
        <f>Table2[[#This Row],[EV Err]]^2</f>
        <v>42.245002506314911</v>
      </c>
    </row>
    <row r="622" spans="1:38" x14ac:dyDescent="0.25">
      <c r="A622" t="s">
        <v>124</v>
      </c>
      <c r="B622" t="s">
        <v>28</v>
      </c>
      <c r="C622" t="s">
        <v>32</v>
      </c>
      <c r="K622" s="25">
        <f>(Table2[[#This Row],[Home Pace]]/100)*(VLOOKUP(Table2[[#This Row],[Home/Neutral]],home_lookup,8,FALSE)+VLOOKUP(Table2[[#This Row],[Home/Neutral]],OFR_lookup,2,FALSE)+VLOOKUP(Table2[[#This Row],[Visitor/Neutral]],def_diff_lookup,6,FALSE))</f>
        <v>113.19782553204274</v>
      </c>
      <c r="L622" s="25"/>
      <c r="M622" s="25">
        <f>(Table2[[#This Row],[Away Pace]]/100)*(VLOOKUP(Table2[[#This Row],[Visitor/Neutral]],OFR_lookup,2,FALSE)+VLOOKUP(Table2[[#This Row],[Home/Neutral]],def_diff_lookup,6,FALSE))</f>
        <v>109.90021733333334</v>
      </c>
      <c r="N622" s="25"/>
      <c r="O622" s="25"/>
      <c r="P622">
        <f>VLOOKUP(Table2[[#This Row],[Home/Neutral]],pace_lookup,7,FALSE)</f>
        <v>96.3</v>
      </c>
      <c r="Q622" s="5">
        <f>VLOOKUP(Table2[[#This Row],[Visitor/Neutral]],pace_lookup,7,FALSE)</f>
        <v>98.6</v>
      </c>
      <c r="R622" s="9"/>
      <c r="V622" s="2">
        <f>-home-VLOOKUP(Table2[[#This Row],[Home/Neutral]],rtg_vlookup,4,FALSE)+VLOOKUP(Table2[[#This Row],[Visitor/Neutral]],rtg_vlookup,4,FALSE)</f>
        <v>-3.6951184834123305</v>
      </c>
      <c r="W622" s="25"/>
      <c r="X622" s="2"/>
      <c r="Y622" s="2">
        <f>Table2[[#This Row],[Away EV]]-Table2[[#This Row],[Home EV]]</f>
        <v>-3.2976081987093977</v>
      </c>
      <c r="Z622" s="33"/>
      <c r="AA622" s="34"/>
      <c r="AB622" s="5" t="b">
        <f>IF(VLOOKUP(Table2[[#This Row],[Home/Neutral]],division_lookup,9,FALSE)=VLOOKUP(Table2[[#This Row],[Visitor/Neutral]],division_lookup,9,FALSE),TRUE,FALSE)</f>
        <v>0</v>
      </c>
      <c r="AC622" s="19" t="str">
        <f>VLOOKUP(Table2[[#This Row],[Home/Neutral]],division_lookup,9,FALSE)</f>
        <v>SE</v>
      </c>
      <c r="AD622" s="19"/>
      <c r="AE622" s="19" t="str">
        <f>IF(Table2[[#This Row],[Total EV ®]]&lt;Table2[[#This Row],[Total (V)]],"UNDER","OVER")</f>
        <v>OVER</v>
      </c>
      <c r="AF622" s="30">
        <f>Table2[[#This Row],[(A) Spread]]-Table2[[#This Row],[Spread (V)]]</f>
        <v>0</v>
      </c>
      <c r="AG622" s="19"/>
      <c r="AH622" s="2">
        <f>Table2[[#This Row],[EV]]-Table2[[#This Row],[Spread (V)]]</f>
        <v>-3.2976081987093977</v>
      </c>
      <c r="AI622" s="22">
        <f>Table2[[#This Row],[(A)]]-Table2[[#This Row],[Spread]]</f>
        <v>-3.6951184834123305</v>
      </c>
      <c r="AJ622" s="1">
        <f>Table2[[#This Row],[(A) Err]]^2</f>
        <v>13.653900606455441</v>
      </c>
      <c r="AK622" s="6">
        <f>Table2[[#This Row],[EV]]-Table2[[#This Row],[Spread]]</f>
        <v>-3.2976081987093977</v>
      </c>
      <c r="AL622" s="1">
        <f>Table2[[#This Row],[EV Err]]^2</f>
        <v>10.874219832195438</v>
      </c>
    </row>
    <row r="623" spans="1:38" x14ac:dyDescent="0.25">
      <c r="A623" t="s">
        <v>125</v>
      </c>
      <c r="B623" t="s">
        <v>35</v>
      </c>
      <c r="C623" t="s">
        <v>14</v>
      </c>
      <c r="K623" s="25">
        <f>(Table2[[#This Row],[Home Pace]]/100)*(VLOOKUP(Table2[[#This Row],[Home/Neutral]],home_lookup,8,FALSE)+VLOOKUP(Table2[[#This Row],[Home/Neutral]],OFR_lookup,2,FALSE)+VLOOKUP(Table2[[#This Row],[Visitor/Neutral]],def_diff_lookup,6,FALSE))</f>
        <v>109.55163121209625</v>
      </c>
      <c r="L623" s="25"/>
      <c r="M623" s="25">
        <f>(Table2[[#This Row],[Away Pace]]/100)*(VLOOKUP(Table2[[#This Row],[Visitor/Neutral]],OFR_lookup,2,FALSE)+VLOOKUP(Table2[[#This Row],[Home/Neutral]],def_diff_lookup,6,FALSE))</f>
        <v>111.96388933333336</v>
      </c>
      <c r="N623" s="25"/>
      <c r="O623" s="25"/>
      <c r="P623">
        <f>VLOOKUP(Table2[[#This Row],[Home/Neutral]],pace_lookup,7,FALSE)</f>
        <v>102.2</v>
      </c>
      <c r="Q623" s="5">
        <f>VLOOKUP(Table2[[#This Row],[Visitor/Neutral]],pace_lookup,7,FALSE)</f>
        <v>95.9</v>
      </c>
      <c r="R623" s="9"/>
      <c r="V623" s="2">
        <f>-home-VLOOKUP(Table2[[#This Row],[Home/Neutral]],rtg_vlookup,4,FALSE)+VLOOKUP(Table2[[#This Row],[Visitor/Neutral]],rtg_vlookup,4,FALSE)</f>
        <v>8.5548815165876686</v>
      </c>
      <c r="W623" s="25"/>
      <c r="X623" s="2"/>
      <c r="Y623" s="2">
        <f>Table2[[#This Row],[Away EV]]-Table2[[#This Row],[Home EV]]</f>
        <v>2.4122581212371017</v>
      </c>
      <c r="Z623" s="33"/>
      <c r="AA623" s="34"/>
      <c r="AB623" s="5" t="b">
        <f>IF(VLOOKUP(Table2[[#This Row],[Home/Neutral]],division_lookup,9,FALSE)=VLOOKUP(Table2[[#This Row],[Visitor/Neutral]],division_lookup,9,FALSE),TRUE,FALSE)</f>
        <v>1</v>
      </c>
      <c r="AC623" s="19" t="str">
        <f>VLOOKUP(Table2[[#This Row],[Home/Neutral]],division_lookup,9,FALSE)</f>
        <v>A</v>
      </c>
      <c r="AD623" s="19"/>
      <c r="AE623" s="19" t="str">
        <f>IF(Table2[[#This Row],[Total EV ®]]&lt;Table2[[#This Row],[Total (V)]],"UNDER","OVER")</f>
        <v>OVER</v>
      </c>
      <c r="AF623" s="30">
        <f>Table2[[#This Row],[(A) Spread]]-Table2[[#This Row],[Spread (V)]]</f>
        <v>0</v>
      </c>
      <c r="AG623" s="19"/>
      <c r="AH623" s="2">
        <f>Table2[[#This Row],[EV]]-Table2[[#This Row],[Spread (V)]]</f>
        <v>2.4122581212371017</v>
      </c>
      <c r="AI623" s="22">
        <f>Table2[[#This Row],[(A)]]-Table2[[#This Row],[Spread]]</f>
        <v>8.5548815165876686</v>
      </c>
      <c r="AJ623" s="1">
        <f>Table2[[#This Row],[(A) Err]]^2</f>
        <v>73.185997762853333</v>
      </c>
      <c r="AK623" s="6">
        <f>Table2[[#This Row],[EV]]-Table2[[#This Row],[Spread]]</f>
        <v>2.4122581212371017</v>
      </c>
      <c r="AL623" s="1">
        <f>Table2[[#This Row],[EV Err]]^2</f>
        <v>5.818989243474352</v>
      </c>
    </row>
    <row r="624" spans="1:38" x14ac:dyDescent="0.25">
      <c r="A624" t="s">
        <v>125</v>
      </c>
      <c r="B624" t="s">
        <v>13</v>
      </c>
      <c r="C624" t="s">
        <v>37</v>
      </c>
      <c r="K624" s="25">
        <f>(Table2[[#This Row],[Home Pace]]/100)*(VLOOKUP(Table2[[#This Row],[Home/Neutral]],home_lookup,8,FALSE)+VLOOKUP(Table2[[#This Row],[Home/Neutral]],OFR_lookup,2,FALSE)+VLOOKUP(Table2[[#This Row],[Visitor/Neutral]],def_diff_lookup,6,FALSE))</f>
        <v>102.500441084504</v>
      </c>
      <c r="L624" s="25"/>
      <c r="M624" s="25">
        <f>(Table2[[#This Row],[Away Pace]]/100)*(VLOOKUP(Table2[[#This Row],[Visitor/Neutral]],OFR_lookup,2,FALSE)+VLOOKUP(Table2[[#This Row],[Home/Neutral]],def_diff_lookup,6,FALSE))</f>
        <v>87.560084000000003</v>
      </c>
      <c r="N624" s="25"/>
      <c r="O624" s="25"/>
      <c r="P624">
        <f>VLOOKUP(Table2[[#This Row],[Home/Neutral]],pace_lookup,7,FALSE)</f>
        <v>94.5</v>
      </c>
      <c r="Q624" s="5">
        <f>VLOOKUP(Table2[[#This Row],[Visitor/Neutral]],pace_lookup,7,FALSE)</f>
        <v>92.1</v>
      </c>
      <c r="R624" s="9"/>
      <c r="V624" s="2">
        <f>-home-VLOOKUP(Table2[[#This Row],[Home/Neutral]],rtg_vlookup,4,FALSE)+VLOOKUP(Table2[[#This Row],[Visitor/Neutral]],rtg_vlookup,4,FALSE)</f>
        <v>-15.845118483412332</v>
      </c>
      <c r="W624" s="25"/>
      <c r="X624" s="2"/>
      <c r="Y624" s="2">
        <f>Table2[[#This Row],[Away EV]]-Table2[[#This Row],[Home EV]]</f>
        <v>-14.940357084504001</v>
      </c>
      <c r="Z624" s="33"/>
      <c r="AA624" s="34"/>
      <c r="AB624" s="5" t="b">
        <f>IF(VLOOKUP(Table2[[#This Row],[Home/Neutral]],division_lookup,9,FALSE)=VLOOKUP(Table2[[#This Row],[Visitor/Neutral]],division_lookup,9,FALSE),TRUE,FALSE)</f>
        <v>0</v>
      </c>
      <c r="AC624" s="19" t="str">
        <f>VLOOKUP(Table2[[#This Row],[Home/Neutral]],division_lookup,9,FALSE)</f>
        <v>C</v>
      </c>
      <c r="AD624" s="19"/>
      <c r="AE624" s="19" t="str">
        <f>IF(Table2[[#This Row],[Total EV ®]]&lt;Table2[[#This Row],[Total (V)]],"UNDER","OVER")</f>
        <v>OVER</v>
      </c>
      <c r="AF624" s="30">
        <f>Table2[[#This Row],[(A) Spread]]-Table2[[#This Row],[Spread (V)]]</f>
        <v>0</v>
      </c>
      <c r="AG624" s="19"/>
      <c r="AH624" s="2">
        <f>Table2[[#This Row],[EV]]-Table2[[#This Row],[Spread (V)]]</f>
        <v>-14.940357084504001</v>
      </c>
      <c r="AI624" s="22">
        <f>Table2[[#This Row],[(A)]]-Table2[[#This Row],[Spread]]</f>
        <v>-15.845118483412332</v>
      </c>
      <c r="AJ624" s="1">
        <f>Table2[[#This Row],[(A) Err]]^2</f>
        <v>251.06777975337511</v>
      </c>
      <c r="AK624" s="6">
        <f>Table2[[#This Row],[EV]]-Table2[[#This Row],[Spread]]</f>
        <v>-14.940357084504001</v>
      </c>
      <c r="AL624" s="1">
        <f>Table2[[#This Row],[EV Err]]^2</f>
        <v>223.21426981248888</v>
      </c>
    </row>
    <row r="625" spans="1:38" x14ac:dyDescent="0.25">
      <c r="A625" t="s">
        <v>125</v>
      </c>
      <c r="B625" t="s">
        <v>24</v>
      </c>
      <c r="C625" t="s">
        <v>27</v>
      </c>
      <c r="K625" s="25">
        <f>(Table2[[#This Row],[Home Pace]]/100)*(VLOOKUP(Table2[[#This Row],[Home/Neutral]],home_lookup,8,FALSE)+VLOOKUP(Table2[[#This Row],[Home/Neutral]],OFR_lookup,2,FALSE)+VLOOKUP(Table2[[#This Row],[Visitor/Neutral]],def_diff_lookup,6,FALSE))</f>
        <v>108.7669243283094</v>
      </c>
      <c r="L625" s="25"/>
      <c r="M625" s="25">
        <f>(Table2[[#This Row],[Away Pace]]/100)*(VLOOKUP(Table2[[#This Row],[Visitor/Neutral]],OFR_lookup,2,FALSE)+VLOOKUP(Table2[[#This Row],[Home/Neutral]],def_diff_lookup,6,FALSE))</f>
        <v>108.16806</v>
      </c>
      <c r="N625" s="25"/>
      <c r="O625" s="25"/>
      <c r="P625">
        <f>VLOOKUP(Table2[[#This Row],[Home/Neutral]],pace_lookup,7,FALSE)</f>
        <v>99.9</v>
      </c>
      <c r="Q625" s="5">
        <f>VLOOKUP(Table2[[#This Row],[Visitor/Neutral]],pace_lookup,7,FALSE)</f>
        <v>99</v>
      </c>
      <c r="R625" s="9"/>
      <c r="V625" s="2">
        <f>-home-VLOOKUP(Table2[[#This Row],[Home/Neutral]],rtg_vlookup,4,FALSE)+VLOOKUP(Table2[[#This Row],[Visitor/Neutral]],rtg_vlookup,4,FALSE)</f>
        <v>-3.5751184834123304</v>
      </c>
      <c r="W625" s="25"/>
      <c r="X625" s="2"/>
      <c r="Y625" s="2">
        <f>Table2[[#This Row],[Away EV]]-Table2[[#This Row],[Home EV]]</f>
        <v>-0.5988643283094035</v>
      </c>
      <c r="Z625" s="33"/>
      <c r="AA625" s="34"/>
      <c r="AB625" s="5" t="b">
        <f>IF(VLOOKUP(Table2[[#This Row],[Home/Neutral]],division_lookup,9,FALSE)=VLOOKUP(Table2[[#This Row],[Visitor/Neutral]],division_lookup,9,FALSE),TRUE,FALSE)</f>
        <v>0</v>
      </c>
      <c r="AC625" s="19" t="str">
        <f>VLOOKUP(Table2[[#This Row],[Home/Neutral]],division_lookup,9,FALSE)</f>
        <v>P</v>
      </c>
      <c r="AD625" s="19"/>
      <c r="AE625" s="19" t="str">
        <f>IF(Table2[[#This Row],[Total EV ®]]&lt;Table2[[#This Row],[Total (V)]],"UNDER","OVER")</f>
        <v>OVER</v>
      </c>
      <c r="AF625" s="30">
        <f>Table2[[#This Row],[(A) Spread]]-Table2[[#This Row],[Spread (V)]]</f>
        <v>0</v>
      </c>
      <c r="AG625" s="19"/>
      <c r="AH625" s="2">
        <f>Table2[[#This Row],[EV]]-Table2[[#This Row],[Spread (V)]]</f>
        <v>-0.5988643283094035</v>
      </c>
      <c r="AI625" s="22">
        <f>Table2[[#This Row],[(A)]]-Table2[[#This Row],[Spread]]</f>
        <v>-3.5751184834123304</v>
      </c>
      <c r="AJ625" s="1">
        <f>Table2[[#This Row],[(A) Err]]^2</f>
        <v>12.781472170436482</v>
      </c>
      <c r="AK625" s="6">
        <f>Table2[[#This Row],[EV]]-Table2[[#This Row],[Spread]]</f>
        <v>-0.5988643283094035</v>
      </c>
      <c r="AL625" s="1">
        <f>Table2[[#This Row],[EV Err]]^2</f>
        <v>0.358638483721473</v>
      </c>
    </row>
    <row r="626" spans="1:38" x14ac:dyDescent="0.25">
      <c r="A626" t="s">
        <v>125</v>
      </c>
      <c r="B626" t="s">
        <v>21</v>
      </c>
      <c r="C626" t="s">
        <v>17</v>
      </c>
      <c r="K626" s="25">
        <f>(Table2[[#This Row],[Home Pace]]/100)*(VLOOKUP(Table2[[#This Row],[Home/Neutral]],home_lookup,8,FALSE)+VLOOKUP(Table2[[#This Row],[Home/Neutral]],OFR_lookup,2,FALSE)+VLOOKUP(Table2[[#This Row],[Visitor/Neutral]],def_diff_lookup,6,FALSE))</f>
        <v>104.5683711752439</v>
      </c>
      <c r="L626" s="25"/>
      <c r="M626" s="25">
        <f>(Table2[[#This Row],[Away Pace]]/100)*(VLOOKUP(Table2[[#This Row],[Visitor/Neutral]],OFR_lookup,2,FALSE)+VLOOKUP(Table2[[#This Row],[Home/Neutral]],def_diff_lookup,6,FALSE))</f>
        <v>106.42866466666669</v>
      </c>
      <c r="N626" s="25"/>
      <c r="O626" s="25"/>
      <c r="P626">
        <f>VLOOKUP(Table2[[#This Row],[Home/Neutral]],pace_lookup,7,FALSE)</f>
        <v>94.2</v>
      </c>
      <c r="Q626" s="5">
        <f>VLOOKUP(Table2[[#This Row],[Visitor/Neutral]],pace_lookup,7,FALSE)</f>
        <v>96.7</v>
      </c>
      <c r="R626" s="9"/>
      <c r="V626" s="2">
        <f>-home-VLOOKUP(Table2[[#This Row],[Home/Neutral]],rtg_vlookup,4,FALSE)+VLOOKUP(Table2[[#This Row],[Visitor/Neutral]],rtg_vlookup,4,FALSE)</f>
        <v>1.6048815165876693</v>
      </c>
      <c r="W626" s="25"/>
      <c r="X626" s="2"/>
      <c r="Y626" s="2">
        <f>Table2[[#This Row],[Away EV]]-Table2[[#This Row],[Home EV]]</f>
        <v>1.8602934914227944</v>
      </c>
      <c r="Z626" s="33"/>
      <c r="AA626" s="34"/>
      <c r="AB626" s="5" t="b">
        <f>IF(VLOOKUP(Table2[[#This Row],[Home/Neutral]],division_lookup,9,FALSE)=VLOOKUP(Table2[[#This Row],[Visitor/Neutral]],division_lookup,9,FALSE),TRUE,FALSE)</f>
        <v>0</v>
      </c>
      <c r="AC626" s="19" t="str">
        <f>VLOOKUP(Table2[[#This Row],[Home/Neutral]],division_lookup,9,FALSE)</f>
        <v>SE</v>
      </c>
      <c r="AD626" s="19"/>
      <c r="AE626" s="19" t="str">
        <f>IF(Table2[[#This Row],[Total EV ®]]&lt;Table2[[#This Row],[Total (V)]],"UNDER","OVER")</f>
        <v>OVER</v>
      </c>
      <c r="AF626" s="30">
        <f>Table2[[#This Row],[(A) Spread]]-Table2[[#This Row],[Spread (V)]]</f>
        <v>0</v>
      </c>
      <c r="AG626" s="19"/>
      <c r="AH626" s="2">
        <f>Table2[[#This Row],[EV]]-Table2[[#This Row],[Spread (V)]]</f>
        <v>1.8602934914227944</v>
      </c>
      <c r="AI626" s="22">
        <f>Table2[[#This Row],[(A)]]-Table2[[#This Row],[Spread]]</f>
        <v>1.6048815165876693</v>
      </c>
      <c r="AJ626" s="1">
        <f>Table2[[#This Row],[(A) Err]]^2</f>
        <v>2.5756446822847376</v>
      </c>
      <c r="AK626" s="6">
        <f>Table2[[#This Row],[EV]]-Table2[[#This Row],[Spread]]</f>
        <v>1.8602934914227944</v>
      </c>
      <c r="AL626" s="1">
        <f>Table2[[#This Row],[EV Err]]^2</f>
        <v>3.4606918742300103</v>
      </c>
    </row>
    <row r="627" spans="1:38" x14ac:dyDescent="0.25">
      <c r="A627" t="s">
        <v>125</v>
      </c>
      <c r="B627" t="s">
        <v>6</v>
      </c>
      <c r="C627" t="s">
        <v>22</v>
      </c>
      <c r="K627" s="25">
        <f>(Table2[[#This Row],[Home Pace]]/100)*(VLOOKUP(Table2[[#This Row],[Home/Neutral]],home_lookup,8,FALSE)+VLOOKUP(Table2[[#This Row],[Home/Neutral]],OFR_lookup,2,FALSE)+VLOOKUP(Table2[[#This Row],[Visitor/Neutral]],def_diff_lookup,6,FALSE))</f>
        <v>106.78349787062244</v>
      </c>
      <c r="L627" s="25"/>
      <c r="M627" s="25">
        <f>(Table2[[#This Row],[Away Pace]]/100)*(VLOOKUP(Table2[[#This Row],[Visitor/Neutral]],OFR_lookup,2,FALSE)+VLOOKUP(Table2[[#This Row],[Home/Neutral]],def_diff_lookup,6,FALSE))</f>
        <v>103.16681133333336</v>
      </c>
      <c r="N627" s="25"/>
      <c r="O627" s="25"/>
      <c r="P627">
        <f>VLOOKUP(Table2[[#This Row],[Home/Neutral]],pace_lookup,7,FALSE)</f>
        <v>93.1</v>
      </c>
      <c r="Q627" s="5">
        <f>VLOOKUP(Table2[[#This Row],[Visitor/Neutral]],pace_lookup,7,FALSE)</f>
        <v>94.7</v>
      </c>
      <c r="R627" s="9"/>
      <c r="V627" s="2">
        <f>-home-VLOOKUP(Table2[[#This Row],[Home/Neutral]],rtg_vlookup,4,FALSE)+VLOOKUP(Table2[[#This Row],[Visitor/Neutral]],rtg_vlookup,4,FALSE)</f>
        <v>-8.8151184834123306</v>
      </c>
      <c r="W627" s="25"/>
      <c r="X627" s="2"/>
      <c r="Y627" s="2">
        <f>Table2[[#This Row],[Away EV]]-Table2[[#This Row],[Home EV]]</f>
        <v>-3.616686537289084</v>
      </c>
      <c r="Z627" s="33"/>
      <c r="AA627" s="34"/>
      <c r="AB627" s="5" t="b">
        <f>IF(VLOOKUP(Table2[[#This Row],[Home/Neutral]],division_lookup,9,FALSE)=VLOOKUP(Table2[[#This Row],[Visitor/Neutral]],division_lookup,9,FALSE),TRUE,FALSE)</f>
        <v>0</v>
      </c>
      <c r="AC627" s="19" t="str">
        <f>VLOOKUP(Table2[[#This Row],[Home/Neutral]],division_lookup,9,FALSE)</f>
        <v>SW</v>
      </c>
      <c r="AD627" s="19"/>
      <c r="AE627" s="19" t="str">
        <f>IF(Table2[[#This Row],[Total EV ®]]&lt;Table2[[#This Row],[Total (V)]],"UNDER","OVER")</f>
        <v>OVER</v>
      </c>
      <c r="AF627" s="30">
        <f>Table2[[#This Row],[(A) Spread]]-Table2[[#This Row],[Spread (V)]]</f>
        <v>0</v>
      </c>
      <c r="AG627" s="19"/>
      <c r="AH627" s="2">
        <f>Table2[[#This Row],[EV]]-Table2[[#This Row],[Spread (V)]]</f>
        <v>-3.616686537289084</v>
      </c>
      <c r="AI627" s="22">
        <f>Table2[[#This Row],[(A)]]-Table2[[#This Row],[Spread]]</f>
        <v>-8.8151184834123306</v>
      </c>
      <c r="AJ627" s="1">
        <f>Table2[[#This Row],[(A) Err]]^2</f>
        <v>77.706313876597704</v>
      </c>
      <c r="AK627" s="6">
        <f>Table2[[#This Row],[EV]]-Table2[[#This Row],[Spread]]</f>
        <v>-3.616686537289084</v>
      </c>
      <c r="AL627" s="1">
        <f>Table2[[#This Row],[EV Err]]^2</f>
        <v>13.080421509008104</v>
      </c>
    </row>
    <row r="628" spans="1:38" x14ac:dyDescent="0.25">
      <c r="A628" t="s">
        <v>126</v>
      </c>
      <c r="B628" t="s">
        <v>26</v>
      </c>
      <c r="C628" t="s">
        <v>31</v>
      </c>
      <c r="K628" s="25">
        <f>(Table2[[#This Row],[Home Pace]]/100)*(VLOOKUP(Table2[[#This Row],[Home/Neutral]],home_lookup,8,FALSE)+VLOOKUP(Table2[[#This Row],[Home/Neutral]],OFR_lookup,2,FALSE)+VLOOKUP(Table2[[#This Row],[Visitor/Neutral]],def_diff_lookup,6,FALSE))</f>
        <v>111.38256358918159</v>
      </c>
      <c r="L628" s="25"/>
      <c r="M628" s="25">
        <f>(Table2[[#This Row],[Away Pace]]/100)*(VLOOKUP(Table2[[#This Row],[Visitor/Neutral]],OFR_lookup,2,FALSE)+VLOOKUP(Table2[[#This Row],[Home/Neutral]],def_diff_lookup,6,FALSE))</f>
        <v>106.10944000000001</v>
      </c>
      <c r="N628" s="25"/>
      <c r="O628" s="25"/>
      <c r="P628">
        <f>VLOOKUP(Table2[[#This Row],[Home/Neutral]],pace_lookup,7,FALSE)</f>
        <v>96</v>
      </c>
      <c r="Q628" s="5">
        <f>VLOOKUP(Table2[[#This Row],[Visitor/Neutral]],pace_lookup,7,FALSE)</f>
        <v>96</v>
      </c>
      <c r="R628" s="9"/>
      <c r="V628" s="2">
        <f>-home-VLOOKUP(Table2[[#This Row],[Home/Neutral]],rtg_vlookup,4,FALSE)+VLOOKUP(Table2[[#This Row],[Visitor/Neutral]],rtg_vlookup,4,FALSE)</f>
        <v>-4.7451184834123312</v>
      </c>
      <c r="W628" s="25"/>
      <c r="X628" s="2"/>
      <c r="Y628" s="2">
        <f>Table2[[#This Row],[Away EV]]-Table2[[#This Row],[Home EV]]</f>
        <v>-5.27312358918158</v>
      </c>
      <c r="Z628" s="33"/>
      <c r="AA628" s="34"/>
      <c r="AB628" s="5" t="b">
        <f>IF(VLOOKUP(Table2[[#This Row],[Home/Neutral]],division_lookup,9,FALSE)=VLOOKUP(Table2[[#This Row],[Visitor/Neutral]],division_lookup,9,FALSE),TRUE,FALSE)</f>
        <v>1</v>
      </c>
      <c r="AC628" s="19" t="str">
        <f>VLOOKUP(Table2[[#This Row],[Home/Neutral]],division_lookup,9,FALSE)</f>
        <v>A</v>
      </c>
      <c r="AD628" s="19"/>
      <c r="AE628" s="19" t="str">
        <f>IF(Table2[[#This Row],[Total EV ®]]&lt;Table2[[#This Row],[Total (V)]],"UNDER","OVER")</f>
        <v>OVER</v>
      </c>
      <c r="AF628" s="30">
        <f>Table2[[#This Row],[(A) Spread]]-Table2[[#This Row],[Spread (V)]]</f>
        <v>0</v>
      </c>
      <c r="AG628" s="19"/>
      <c r="AH628" s="2">
        <f>Table2[[#This Row],[EV]]-Table2[[#This Row],[Spread (V)]]</f>
        <v>-5.27312358918158</v>
      </c>
      <c r="AI628" s="22">
        <f>Table2[[#This Row],[(A)]]-Table2[[#This Row],[Spread]]</f>
        <v>-4.7451184834123312</v>
      </c>
      <c r="AJ628" s="1">
        <f>Table2[[#This Row],[(A) Err]]^2</f>
        <v>22.516149421621343</v>
      </c>
      <c r="AK628" s="6">
        <f>Table2[[#This Row],[EV]]-Table2[[#This Row],[Spread]]</f>
        <v>-5.27312358918158</v>
      </c>
      <c r="AL628" s="1">
        <f>Table2[[#This Row],[EV Err]]^2</f>
        <v>27.805832386783226</v>
      </c>
    </row>
    <row r="629" spans="1:38" x14ac:dyDescent="0.25">
      <c r="A629" t="s">
        <v>126</v>
      </c>
      <c r="B629" t="s">
        <v>16</v>
      </c>
      <c r="C629" t="s">
        <v>32</v>
      </c>
      <c r="K629" s="25">
        <f>(Table2[[#This Row],[Home Pace]]/100)*(VLOOKUP(Table2[[#This Row],[Home/Neutral]],home_lookup,8,FALSE)+VLOOKUP(Table2[[#This Row],[Home/Neutral]],OFR_lookup,2,FALSE)+VLOOKUP(Table2[[#This Row],[Visitor/Neutral]],def_diff_lookup,6,FALSE))</f>
        <v>108.64760601115951</v>
      </c>
      <c r="L629" s="25"/>
      <c r="M629" s="25">
        <f>(Table2[[#This Row],[Away Pace]]/100)*(VLOOKUP(Table2[[#This Row],[Visitor/Neutral]],OFR_lookup,2,FALSE)+VLOOKUP(Table2[[#This Row],[Home/Neutral]],def_diff_lookup,6,FALSE))</f>
        <v>105.21671733333335</v>
      </c>
      <c r="N629" s="25"/>
      <c r="O629" s="25"/>
      <c r="P629">
        <f>VLOOKUP(Table2[[#This Row],[Home/Neutral]],pace_lookup,7,FALSE)</f>
        <v>97.5</v>
      </c>
      <c r="Q629" s="5">
        <f>VLOOKUP(Table2[[#This Row],[Visitor/Neutral]],pace_lookup,7,FALSE)</f>
        <v>98.6</v>
      </c>
      <c r="R629" s="9"/>
      <c r="V629" s="2">
        <f>-home-VLOOKUP(Table2[[#This Row],[Home/Neutral]],rtg_vlookup,4,FALSE)+VLOOKUP(Table2[[#This Row],[Visitor/Neutral]],rtg_vlookup,4,FALSE)</f>
        <v>-8.2251184834123308</v>
      </c>
      <c r="W629" s="25"/>
      <c r="X629" s="2"/>
      <c r="Y629" s="2">
        <f>Table2[[#This Row],[Away EV]]-Table2[[#This Row],[Home EV]]</f>
        <v>-3.4308886778261609</v>
      </c>
      <c r="Z629" s="33"/>
      <c r="AA629" s="34"/>
      <c r="AB629" s="5" t="b">
        <f>IF(VLOOKUP(Table2[[#This Row],[Home/Neutral]],division_lookup,9,FALSE)=VLOOKUP(Table2[[#This Row],[Visitor/Neutral]],division_lookup,9,FALSE),TRUE,FALSE)</f>
        <v>0</v>
      </c>
      <c r="AC629" s="19" t="str">
        <f>VLOOKUP(Table2[[#This Row],[Home/Neutral]],division_lookup,9,FALSE)</f>
        <v>SE</v>
      </c>
      <c r="AD629" s="19"/>
      <c r="AE629" s="19" t="str">
        <f>IF(Table2[[#This Row],[Total EV ®]]&lt;Table2[[#This Row],[Total (V)]],"UNDER","OVER")</f>
        <v>OVER</v>
      </c>
      <c r="AF629" s="30">
        <f>Table2[[#This Row],[(A) Spread]]-Table2[[#This Row],[Spread (V)]]</f>
        <v>0</v>
      </c>
      <c r="AG629" s="19"/>
      <c r="AH629" s="2">
        <f>Table2[[#This Row],[EV]]-Table2[[#This Row],[Spread (V)]]</f>
        <v>-3.4308886778261609</v>
      </c>
      <c r="AI629" s="22">
        <f>Table2[[#This Row],[(A)]]-Table2[[#This Row],[Spread]]</f>
        <v>-8.2251184834123308</v>
      </c>
      <c r="AJ629" s="1">
        <f>Table2[[#This Row],[(A) Err]]^2</f>
        <v>67.652574066171155</v>
      </c>
      <c r="AK629" s="6">
        <f>Table2[[#This Row],[EV]]-Table2[[#This Row],[Spread]]</f>
        <v>-3.4308886778261609</v>
      </c>
      <c r="AL629" s="1">
        <f>Table2[[#This Row],[EV Err]]^2</f>
        <v>11.770997119635743</v>
      </c>
    </row>
    <row r="630" spans="1:38" x14ac:dyDescent="0.25">
      <c r="A630" t="s">
        <v>126</v>
      </c>
      <c r="B630" t="s">
        <v>25</v>
      </c>
      <c r="C630" t="s">
        <v>11</v>
      </c>
      <c r="K630" s="25">
        <f>(Table2[[#This Row],[Home Pace]]/100)*(VLOOKUP(Table2[[#This Row],[Home/Neutral]],home_lookup,8,FALSE)+VLOOKUP(Table2[[#This Row],[Home/Neutral]],OFR_lookup,2,FALSE)+VLOOKUP(Table2[[#This Row],[Visitor/Neutral]],def_diff_lookup,6,FALSE))</f>
        <v>95.908944444272564</v>
      </c>
      <c r="L630" s="25"/>
      <c r="M630" s="25">
        <f>(Table2[[#This Row],[Away Pace]]/100)*(VLOOKUP(Table2[[#This Row],[Visitor/Neutral]],OFR_lookup,2,FALSE)+VLOOKUP(Table2[[#This Row],[Home/Neutral]],def_diff_lookup,6,FALSE))</f>
        <v>100.83724466666668</v>
      </c>
      <c r="N630" s="25"/>
      <c r="O630" s="25"/>
      <c r="P630">
        <f>VLOOKUP(Table2[[#This Row],[Home/Neutral]],pace_lookup,7,FALSE)</f>
        <v>94.4</v>
      </c>
      <c r="Q630" s="5">
        <f>VLOOKUP(Table2[[#This Row],[Visitor/Neutral]],pace_lookup,7,FALSE)</f>
        <v>99.7</v>
      </c>
      <c r="R630" s="9"/>
      <c r="V630" s="2">
        <f>-home-VLOOKUP(Table2[[#This Row],[Home/Neutral]],rtg_vlookup,4,FALSE)+VLOOKUP(Table2[[#This Row],[Visitor/Neutral]],rtg_vlookup,4,FALSE)</f>
        <v>3.6048815165876693</v>
      </c>
      <c r="W630" s="25"/>
      <c r="X630" s="2"/>
      <c r="Y630" s="2">
        <f>Table2[[#This Row],[Away EV]]-Table2[[#This Row],[Home EV]]</f>
        <v>4.9283002223941139</v>
      </c>
      <c r="Z630" s="33"/>
      <c r="AA630" s="34"/>
      <c r="AB630" s="5" t="b">
        <f>IF(VLOOKUP(Table2[[#This Row],[Home/Neutral]],division_lookup,9,FALSE)=VLOOKUP(Table2[[#This Row],[Visitor/Neutral]],division_lookup,9,FALSE),TRUE,FALSE)</f>
        <v>0</v>
      </c>
      <c r="AC630" s="19" t="str">
        <f>VLOOKUP(Table2[[#This Row],[Home/Neutral]],division_lookup,9,FALSE)</f>
        <v>C</v>
      </c>
      <c r="AD630" s="19"/>
      <c r="AE630" s="19" t="str">
        <f>IF(Table2[[#This Row],[Total EV ®]]&lt;Table2[[#This Row],[Total (V)]],"UNDER","OVER")</f>
        <v>OVER</v>
      </c>
      <c r="AF630" s="30">
        <f>Table2[[#This Row],[(A) Spread]]-Table2[[#This Row],[Spread (V)]]</f>
        <v>0</v>
      </c>
      <c r="AG630" s="19"/>
      <c r="AH630" s="2">
        <f>Table2[[#This Row],[EV]]-Table2[[#This Row],[Spread (V)]]</f>
        <v>4.9283002223941139</v>
      </c>
      <c r="AI630" s="22">
        <f>Table2[[#This Row],[(A)]]-Table2[[#This Row],[Spread]]</f>
        <v>3.6048815165876693</v>
      </c>
      <c r="AJ630" s="1">
        <f>Table2[[#This Row],[(A) Err]]^2</f>
        <v>12.995170748635415</v>
      </c>
      <c r="AK630" s="6">
        <f>Table2[[#This Row],[EV]]-Table2[[#This Row],[Spread]]</f>
        <v>4.9283002223941139</v>
      </c>
      <c r="AL630" s="1">
        <f>Table2[[#This Row],[EV Err]]^2</f>
        <v>24.288143082049874</v>
      </c>
    </row>
    <row r="631" spans="1:38" x14ac:dyDescent="0.25">
      <c r="A631" t="s">
        <v>126</v>
      </c>
      <c r="B631" t="s">
        <v>10</v>
      </c>
      <c r="C631" t="s">
        <v>18</v>
      </c>
      <c r="K631" s="25">
        <f>(Table2[[#This Row],[Home Pace]]/100)*(VLOOKUP(Table2[[#This Row],[Home/Neutral]],home_lookup,8,FALSE)+VLOOKUP(Table2[[#This Row],[Home/Neutral]],OFR_lookup,2,FALSE)+VLOOKUP(Table2[[#This Row],[Visitor/Neutral]],def_diff_lookup,6,FALSE))</f>
        <v>103.00379853790561</v>
      </c>
      <c r="L631" s="25"/>
      <c r="M631" s="25">
        <f>(Table2[[#This Row],[Away Pace]]/100)*(VLOOKUP(Table2[[#This Row],[Visitor/Neutral]],OFR_lookup,2,FALSE)+VLOOKUP(Table2[[#This Row],[Home/Neutral]],def_diff_lookup,6,FALSE))</f>
        <v>105.50051333333334</v>
      </c>
      <c r="N631" s="25"/>
      <c r="O631" s="25"/>
      <c r="P631">
        <f>VLOOKUP(Table2[[#This Row],[Home/Neutral]],pace_lookup,7,FALSE)</f>
        <v>100.3</v>
      </c>
      <c r="Q631" s="5">
        <f>VLOOKUP(Table2[[#This Row],[Visitor/Neutral]],pace_lookup,7,FALSE)</f>
        <v>99.5</v>
      </c>
      <c r="R631" s="9"/>
      <c r="V631" s="2">
        <f>-home-VLOOKUP(Table2[[#This Row],[Home/Neutral]],rtg_vlookup,4,FALSE)+VLOOKUP(Table2[[#This Row],[Visitor/Neutral]],rtg_vlookup,4,FALSE)</f>
        <v>-8.8751184834123311</v>
      </c>
      <c r="W631" s="25"/>
      <c r="X631" s="2"/>
      <c r="Y631" s="2">
        <f>Table2[[#This Row],[Away EV]]-Table2[[#This Row],[Home EV]]</f>
        <v>2.4967147954277351</v>
      </c>
      <c r="Z631" s="33"/>
      <c r="AA631" s="34"/>
      <c r="AB631" s="5" t="b">
        <f>IF(VLOOKUP(Table2[[#This Row],[Home/Neutral]],division_lookup,9,FALSE)=VLOOKUP(Table2[[#This Row],[Visitor/Neutral]],division_lookup,9,FALSE),TRUE,FALSE)</f>
        <v>0</v>
      </c>
      <c r="AC631" s="19" t="str">
        <f>VLOOKUP(Table2[[#This Row],[Home/Neutral]],division_lookup,9,FALSE)</f>
        <v>P</v>
      </c>
      <c r="AD631" s="19"/>
      <c r="AE631" s="19" t="str">
        <f>IF(Table2[[#This Row],[Total EV ®]]&lt;Table2[[#This Row],[Total (V)]],"UNDER","OVER")</f>
        <v>OVER</v>
      </c>
      <c r="AF631" s="30">
        <f>Table2[[#This Row],[(A) Spread]]-Table2[[#This Row],[Spread (V)]]</f>
        <v>0</v>
      </c>
      <c r="AG631" s="19"/>
      <c r="AH631" s="2">
        <f>Table2[[#This Row],[EV]]-Table2[[#This Row],[Spread (V)]]</f>
        <v>2.4967147954277351</v>
      </c>
      <c r="AI631" s="22">
        <f>Table2[[#This Row],[(A)]]-Table2[[#This Row],[Spread]]</f>
        <v>-8.8751184834123311</v>
      </c>
      <c r="AJ631" s="1">
        <f>Table2[[#This Row],[(A) Err]]^2</f>
        <v>78.767728094607193</v>
      </c>
      <c r="AK631" s="6">
        <f>Table2[[#This Row],[EV]]-Table2[[#This Row],[Spread]]</f>
        <v>2.4967147954277351</v>
      </c>
      <c r="AL631" s="1">
        <f>Table2[[#This Row],[EV Err]]^2</f>
        <v>6.2335847697077575</v>
      </c>
    </row>
    <row r="632" spans="1:38" x14ac:dyDescent="0.25">
      <c r="A632" t="s">
        <v>126</v>
      </c>
      <c r="B632" t="s">
        <v>17</v>
      </c>
      <c r="C632" t="s">
        <v>30</v>
      </c>
      <c r="K632" s="25">
        <f>(Table2[[#This Row],[Home Pace]]/100)*(VLOOKUP(Table2[[#This Row],[Home/Neutral]],home_lookup,8,FALSE)+VLOOKUP(Table2[[#This Row],[Home/Neutral]],OFR_lookup,2,FALSE)+VLOOKUP(Table2[[#This Row],[Visitor/Neutral]],def_diff_lookup,6,FALSE))</f>
        <v>111.16383692873545</v>
      </c>
      <c r="L632" s="25"/>
      <c r="M632" s="25">
        <f>(Table2[[#This Row],[Away Pace]]/100)*(VLOOKUP(Table2[[#This Row],[Visitor/Neutral]],OFR_lookup,2,FALSE)+VLOOKUP(Table2[[#This Row],[Home/Neutral]],def_diff_lookup,6,FALSE))</f>
        <v>105.52232533333334</v>
      </c>
      <c r="N632" s="25"/>
      <c r="O632" s="25"/>
      <c r="P632">
        <f>VLOOKUP(Table2[[#This Row],[Home/Neutral]],pace_lookup,7,FALSE)</f>
        <v>96.7</v>
      </c>
      <c r="Q632" s="5">
        <f>VLOOKUP(Table2[[#This Row],[Visitor/Neutral]],pace_lookup,7,FALSE)</f>
        <v>96.8</v>
      </c>
      <c r="R632" s="9"/>
      <c r="V632" s="2">
        <f>-home-VLOOKUP(Table2[[#This Row],[Home/Neutral]],rtg_vlookup,4,FALSE)+VLOOKUP(Table2[[#This Row],[Visitor/Neutral]],rtg_vlookup,4,FALSE)</f>
        <v>-9.4751184834123308</v>
      </c>
      <c r="W632" s="25"/>
      <c r="X632" s="2"/>
      <c r="Y632" s="2">
        <f>Table2[[#This Row],[Away EV]]-Table2[[#This Row],[Home EV]]</f>
        <v>-5.6415115954021076</v>
      </c>
      <c r="Z632" s="33"/>
      <c r="AA632" s="34"/>
      <c r="AB632" s="5" t="b">
        <f>IF(VLOOKUP(Table2[[#This Row],[Home/Neutral]],division_lookup,9,FALSE)=VLOOKUP(Table2[[#This Row],[Visitor/Neutral]],division_lookup,9,FALSE),TRUE,FALSE)</f>
        <v>0</v>
      </c>
      <c r="AC632" s="19" t="str">
        <f>VLOOKUP(Table2[[#This Row],[Home/Neutral]],division_lookup,9,FALSE)</f>
        <v>SW</v>
      </c>
      <c r="AD632" s="19"/>
      <c r="AE632" s="19" t="str">
        <f>IF(Table2[[#This Row],[Total EV ®]]&lt;Table2[[#This Row],[Total (V)]],"UNDER","OVER")</f>
        <v>OVER</v>
      </c>
      <c r="AF632" s="30">
        <f>Table2[[#This Row],[(A) Spread]]-Table2[[#This Row],[Spread (V)]]</f>
        <v>0</v>
      </c>
      <c r="AG632" s="19"/>
      <c r="AH632" s="2">
        <f>Table2[[#This Row],[EV]]-Table2[[#This Row],[Spread (V)]]</f>
        <v>-5.6415115954021076</v>
      </c>
      <c r="AI632" s="22">
        <f>Table2[[#This Row],[(A)]]-Table2[[#This Row],[Spread]]</f>
        <v>-9.4751184834123308</v>
      </c>
      <c r="AJ632" s="1">
        <f>Table2[[#This Row],[(A) Err]]^2</f>
        <v>89.777870274701982</v>
      </c>
      <c r="AK632" s="6">
        <f>Table2[[#This Row],[EV]]-Table2[[#This Row],[Spread]]</f>
        <v>-5.6415115954021076</v>
      </c>
      <c r="AL632" s="1">
        <f>Table2[[#This Row],[EV Err]]^2</f>
        <v>31.826653081056431</v>
      </c>
    </row>
    <row r="633" spans="1:38" x14ac:dyDescent="0.25">
      <c r="A633" t="s">
        <v>126</v>
      </c>
      <c r="B633" t="s">
        <v>34</v>
      </c>
      <c r="C633" t="s">
        <v>38</v>
      </c>
      <c r="K633" s="25">
        <f>(Table2[[#This Row],[Home Pace]]/100)*(VLOOKUP(Table2[[#This Row],[Home/Neutral]],home_lookup,8,FALSE)+VLOOKUP(Table2[[#This Row],[Home/Neutral]],OFR_lookup,2,FALSE)+VLOOKUP(Table2[[#This Row],[Visitor/Neutral]],def_diff_lookup,6,FALSE))</f>
        <v>105.99435864565555</v>
      </c>
      <c r="L633" s="25"/>
      <c r="M633" s="25">
        <f>(Table2[[#This Row],[Away Pace]]/100)*(VLOOKUP(Table2[[#This Row],[Visitor/Neutral]],OFR_lookup,2,FALSE)+VLOOKUP(Table2[[#This Row],[Home/Neutral]],def_diff_lookup,6,FALSE))</f>
        <v>92.768788000000015</v>
      </c>
      <c r="N633" s="25"/>
      <c r="O633" s="25"/>
      <c r="P633">
        <f>VLOOKUP(Table2[[#This Row],[Home/Neutral]],pace_lookup,7,FALSE)</f>
        <v>98.8</v>
      </c>
      <c r="Q633" s="5">
        <f>VLOOKUP(Table2[[#This Row],[Visitor/Neutral]],pace_lookup,7,FALSE)</f>
        <v>94.2</v>
      </c>
      <c r="R633" s="9"/>
      <c r="V633" s="2">
        <f>-home-VLOOKUP(Table2[[#This Row],[Home/Neutral]],rtg_vlookup,4,FALSE)+VLOOKUP(Table2[[#This Row],[Visitor/Neutral]],rtg_vlookup,4,FALSE)</f>
        <v>-6.38511848341233</v>
      </c>
      <c r="W633" s="25"/>
      <c r="X633" s="2"/>
      <c r="Y633" s="2">
        <f>Table2[[#This Row],[Away EV]]-Table2[[#This Row],[Home EV]]</f>
        <v>-13.225570645655537</v>
      </c>
      <c r="Z633" s="33"/>
      <c r="AA633" s="34"/>
      <c r="AB633" s="5" t="b">
        <f>IF(VLOOKUP(Table2[[#This Row],[Home/Neutral]],division_lookup,9,FALSE)=VLOOKUP(Table2[[#This Row],[Visitor/Neutral]],division_lookup,9,FALSE),TRUE,FALSE)</f>
        <v>0</v>
      </c>
      <c r="AC633" s="19" t="str">
        <f>VLOOKUP(Table2[[#This Row],[Home/Neutral]],division_lookup,9,FALSE)</f>
        <v>SW</v>
      </c>
      <c r="AD633" s="19"/>
      <c r="AE633" s="19" t="str">
        <f>IF(Table2[[#This Row],[Total EV ®]]&lt;Table2[[#This Row],[Total (V)]],"UNDER","OVER")</f>
        <v>OVER</v>
      </c>
      <c r="AF633" s="30">
        <f>Table2[[#This Row],[(A) Spread]]-Table2[[#This Row],[Spread (V)]]</f>
        <v>0</v>
      </c>
      <c r="AG633" s="19"/>
      <c r="AH633" s="2">
        <f>Table2[[#This Row],[EV]]-Table2[[#This Row],[Spread (V)]]</f>
        <v>-13.225570645655537</v>
      </c>
      <c r="AI633" s="22">
        <f>Table2[[#This Row],[(A)]]-Table2[[#This Row],[Spread]]</f>
        <v>-6.38511848341233</v>
      </c>
      <c r="AJ633" s="1">
        <f>Table2[[#This Row],[(A) Err]]^2</f>
        <v>40.769738047213771</v>
      </c>
      <c r="AK633" s="6">
        <f>Table2[[#This Row],[EV]]-Table2[[#This Row],[Spread]]</f>
        <v>-13.225570645655537</v>
      </c>
      <c r="AL633" s="1">
        <f>Table2[[#This Row],[EV Err]]^2</f>
        <v>174.91571890322544</v>
      </c>
    </row>
    <row r="634" spans="1:38" x14ac:dyDescent="0.25">
      <c r="A634" t="s">
        <v>126</v>
      </c>
      <c r="B634" t="s">
        <v>39</v>
      </c>
      <c r="C634" t="s">
        <v>14</v>
      </c>
      <c r="K634" s="25">
        <f>(Table2[[#This Row],[Home Pace]]/100)*(VLOOKUP(Table2[[#This Row],[Home/Neutral]],home_lookup,8,FALSE)+VLOOKUP(Table2[[#This Row],[Home/Neutral]],OFR_lookup,2,FALSE)+VLOOKUP(Table2[[#This Row],[Visitor/Neutral]],def_diff_lookup,6,FALSE))</f>
        <v>109.18052211468579</v>
      </c>
      <c r="L634" s="25"/>
      <c r="M634" s="25">
        <f>(Table2[[#This Row],[Away Pace]]/100)*(VLOOKUP(Table2[[#This Row],[Visitor/Neutral]],OFR_lookup,2,FALSE)+VLOOKUP(Table2[[#This Row],[Home/Neutral]],def_diff_lookup,6,FALSE))</f>
        <v>111.43643933333335</v>
      </c>
      <c r="N634" s="25"/>
      <c r="O634" s="25"/>
      <c r="P634">
        <f>VLOOKUP(Table2[[#This Row],[Home/Neutral]],pace_lookup,7,FALSE)</f>
        <v>97.5</v>
      </c>
      <c r="Q634" s="5">
        <f>VLOOKUP(Table2[[#This Row],[Visitor/Neutral]],pace_lookup,7,FALSE)</f>
        <v>95.9</v>
      </c>
      <c r="R634" s="9"/>
      <c r="V634" s="2">
        <f>-home-VLOOKUP(Table2[[#This Row],[Home/Neutral]],rtg_vlookup,4,FALSE)+VLOOKUP(Table2[[#This Row],[Visitor/Neutral]],rtg_vlookup,4,FALSE)</f>
        <v>11.514881516587668</v>
      </c>
      <c r="W634" s="25"/>
      <c r="X634" s="2"/>
      <c r="Y634" s="2">
        <f>Table2[[#This Row],[Away EV]]-Table2[[#This Row],[Home EV]]</f>
        <v>2.2559172186475678</v>
      </c>
      <c r="Z634" s="33"/>
      <c r="AA634" s="34"/>
      <c r="AB634" s="5" t="b">
        <f>IF(VLOOKUP(Table2[[#This Row],[Home/Neutral]],division_lookup,9,FALSE)=VLOOKUP(Table2[[#This Row],[Visitor/Neutral]],division_lookup,9,FALSE),TRUE,FALSE)</f>
        <v>1</v>
      </c>
      <c r="AC634" s="19" t="str">
        <f>VLOOKUP(Table2[[#This Row],[Home/Neutral]],division_lookup,9,FALSE)</f>
        <v>A</v>
      </c>
      <c r="AD634" s="19"/>
      <c r="AE634" s="19" t="str">
        <f>IF(Table2[[#This Row],[Total EV ®]]&lt;Table2[[#This Row],[Total (V)]],"UNDER","OVER")</f>
        <v>OVER</v>
      </c>
      <c r="AF634" s="30">
        <f>Table2[[#This Row],[(A) Spread]]-Table2[[#This Row],[Spread (V)]]</f>
        <v>0</v>
      </c>
      <c r="AG634" s="19"/>
      <c r="AH634" s="2">
        <f>Table2[[#This Row],[EV]]-Table2[[#This Row],[Spread (V)]]</f>
        <v>2.2559172186475678</v>
      </c>
      <c r="AI634" s="22">
        <f>Table2[[#This Row],[(A)]]-Table2[[#This Row],[Spread]]</f>
        <v>11.514881516587668</v>
      </c>
      <c r="AJ634" s="1">
        <f>Table2[[#This Row],[(A) Err]]^2</f>
        <v>132.59249634105231</v>
      </c>
      <c r="AK634" s="6">
        <f>Table2[[#This Row],[EV]]-Table2[[#This Row],[Spread]]</f>
        <v>2.2559172186475678</v>
      </c>
      <c r="AL634" s="1">
        <f>Table2[[#This Row],[EV Err]]^2</f>
        <v>5.0891624973905785</v>
      </c>
    </row>
    <row r="635" spans="1:38" x14ac:dyDescent="0.25">
      <c r="A635" t="s">
        <v>126</v>
      </c>
      <c r="B635" t="s">
        <v>29</v>
      </c>
      <c r="C635" t="s">
        <v>33</v>
      </c>
      <c r="K635" s="25">
        <f>(Table2[[#This Row],[Home Pace]]/100)*(VLOOKUP(Table2[[#This Row],[Home/Neutral]],home_lookup,8,FALSE)+VLOOKUP(Table2[[#This Row],[Home/Neutral]],OFR_lookup,2,FALSE)+VLOOKUP(Table2[[#This Row],[Visitor/Neutral]],def_diff_lookup,6,FALSE))</f>
        <v>111.28732926898523</v>
      </c>
      <c r="L635" s="25"/>
      <c r="M635" s="25">
        <f>(Table2[[#This Row],[Away Pace]]/100)*(VLOOKUP(Table2[[#This Row],[Visitor/Neutral]],OFR_lookup,2,FALSE)+VLOOKUP(Table2[[#This Row],[Home/Neutral]],def_diff_lookup,6,FALSE))</f>
        <v>104.94699466666667</v>
      </c>
      <c r="N635" s="25"/>
      <c r="O635" s="25"/>
      <c r="P635">
        <f>VLOOKUP(Table2[[#This Row],[Home/Neutral]],pace_lookup,7,FALSE)</f>
        <v>93.8</v>
      </c>
      <c r="Q635" s="5">
        <f>VLOOKUP(Table2[[#This Row],[Visitor/Neutral]],pace_lookup,7,FALSE)</f>
        <v>98.2</v>
      </c>
      <c r="R635" s="9"/>
      <c r="V635" s="2">
        <f>-home-VLOOKUP(Table2[[#This Row],[Home/Neutral]],rtg_vlookup,4,FALSE)+VLOOKUP(Table2[[#This Row],[Visitor/Neutral]],rtg_vlookup,4,FALSE)</f>
        <v>-5.6751184834123309</v>
      </c>
      <c r="W635" s="25"/>
      <c r="X635" s="2"/>
      <c r="Y635" s="2">
        <f>Table2[[#This Row],[Away EV]]-Table2[[#This Row],[Home EV]]</f>
        <v>-6.3403346023185634</v>
      </c>
      <c r="Z635" s="33"/>
      <c r="AA635" s="34"/>
      <c r="AB635" s="5" t="b">
        <f>IF(VLOOKUP(Table2[[#This Row],[Home/Neutral]],division_lookup,9,FALSE)=VLOOKUP(Table2[[#This Row],[Visitor/Neutral]],division_lookup,9,FALSE),TRUE,FALSE)</f>
        <v>0</v>
      </c>
      <c r="AC635" s="19" t="str">
        <f>VLOOKUP(Table2[[#This Row],[Home/Neutral]],division_lookup,9,FALSE)</f>
        <v>P</v>
      </c>
      <c r="AD635" s="19"/>
      <c r="AE635" s="19" t="str">
        <f>IF(Table2[[#This Row],[Total EV ®]]&lt;Table2[[#This Row],[Total (V)]],"UNDER","OVER")</f>
        <v>OVER</v>
      </c>
      <c r="AF635" s="30">
        <f>Table2[[#This Row],[(A) Spread]]-Table2[[#This Row],[Spread (V)]]</f>
        <v>0</v>
      </c>
      <c r="AG635" s="19"/>
      <c r="AH635" s="2">
        <f>Table2[[#This Row],[EV]]-Table2[[#This Row],[Spread (V)]]</f>
        <v>-6.3403346023185634</v>
      </c>
      <c r="AI635" s="22">
        <f>Table2[[#This Row],[(A)]]-Table2[[#This Row],[Spread]]</f>
        <v>-5.6751184834123309</v>
      </c>
      <c r="AJ635" s="1">
        <f>Table2[[#This Row],[(A) Err]]^2</f>
        <v>32.206969800768277</v>
      </c>
      <c r="AK635" s="6">
        <f>Table2[[#This Row],[EV]]-Table2[[#This Row],[Spread]]</f>
        <v>-6.3403346023185634</v>
      </c>
      <c r="AL635" s="1">
        <f>Table2[[#This Row],[EV Err]]^2</f>
        <v>40.199842869358093</v>
      </c>
    </row>
    <row r="636" spans="1:38" x14ac:dyDescent="0.25">
      <c r="A636" t="s">
        <v>126</v>
      </c>
      <c r="B636" t="s">
        <v>28</v>
      </c>
      <c r="C636" t="s">
        <v>23</v>
      </c>
      <c r="K636" s="25">
        <f>(Table2[[#This Row],[Home Pace]]/100)*(VLOOKUP(Table2[[#This Row],[Home/Neutral]],home_lookup,8,FALSE)+VLOOKUP(Table2[[#This Row],[Home/Neutral]],OFR_lookup,2,FALSE)+VLOOKUP(Table2[[#This Row],[Visitor/Neutral]],def_diff_lookup,6,FALSE))</f>
        <v>104.10710553204274</v>
      </c>
      <c r="L636" s="25"/>
      <c r="M636" s="25">
        <f>(Table2[[#This Row],[Away Pace]]/100)*(VLOOKUP(Table2[[#This Row],[Visitor/Neutral]],OFR_lookup,2,FALSE)+VLOOKUP(Table2[[#This Row],[Home/Neutral]],def_diff_lookup,6,FALSE))</f>
        <v>99.253116666666685</v>
      </c>
      <c r="N636" s="25"/>
      <c r="O636" s="25"/>
      <c r="P636">
        <f>VLOOKUP(Table2[[#This Row],[Home/Neutral]],pace_lookup,7,FALSE)</f>
        <v>96.3</v>
      </c>
      <c r="Q636" s="5">
        <f>VLOOKUP(Table2[[#This Row],[Visitor/Neutral]],pace_lookup,7,FALSE)</f>
        <v>92.5</v>
      </c>
      <c r="R636" s="9"/>
      <c r="V636" s="2">
        <f>-home-VLOOKUP(Table2[[#This Row],[Home/Neutral]],rtg_vlookup,4,FALSE)+VLOOKUP(Table2[[#This Row],[Visitor/Neutral]],rtg_vlookup,4,FALSE)</f>
        <v>1.5848815165876693</v>
      </c>
      <c r="W636" s="25"/>
      <c r="X636" s="2"/>
      <c r="Y636" s="2">
        <f>Table2[[#This Row],[Away EV]]-Table2[[#This Row],[Home EV]]</f>
        <v>-4.8539888653760528</v>
      </c>
      <c r="Z636" s="33"/>
      <c r="AA636" s="34"/>
      <c r="AB636" s="5" t="b">
        <f>IF(VLOOKUP(Table2[[#This Row],[Home/Neutral]],division_lookup,9,FALSE)=VLOOKUP(Table2[[#This Row],[Visitor/Neutral]],division_lookup,9,FALSE),TRUE,FALSE)</f>
        <v>0</v>
      </c>
      <c r="AC636" s="19" t="str">
        <f>VLOOKUP(Table2[[#This Row],[Home/Neutral]],division_lookup,9,FALSE)</f>
        <v>SE</v>
      </c>
      <c r="AD636" s="19"/>
      <c r="AE636" s="19" t="str">
        <f>IF(Table2[[#This Row],[Total EV ®]]&lt;Table2[[#This Row],[Total (V)]],"UNDER","OVER")</f>
        <v>OVER</v>
      </c>
      <c r="AF636" s="30">
        <f>Table2[[#This Row],[(A) Spread]]-Table2[[#This Row],[Spread (V)]]</f>
        <v>0</v>
      </c>
      <c r="AG636" s="19"/>
      <c r="AH636" s="2">
        <f>Table2[[#This Row],[EV]]-Table2[[#This Row],[Spread (V)]]</f>
        <v>-4.8539888653760528</v>
      </c>
      <c r="AI636" s="22">
        <f>Table2[[#This Row],[(A)]]-Table2[[#This Row],[Spread]]</f>
        <v>1.5848815165876693</v>
      </c>
      <c r="AJ636" s="1">
        <f>Table2[[#This Row],[(A) Err]]^2</f>
        <v>2.5118494216212306</v>
      </c>
      <c r="AK636" s="6">
        <f>Table2[[#This Row],[EV]]-Table2[[#This Row],[Spread]]</f>
        <v>-4.8539888653760528</v>
      </c>
      <c r="AL636" s="1">
        <f>Table2[[#This Row],[EV Err]]^2</f>
        <v>23.561207905194699</v>
      </c>
    </row>
    <row r="637" spans="1:38" x14ac:dyDescent="0.25">
      <c r="A637" t="s">
        <v>127</v>
      </c>
      <c r="B637" t="s">
        <v>8</v>
      </c>
      <c r="C637" t="s">
        <v>36</v>
      </c>
      <c r="K637" s="25">
        <f>(Table2[[#This Row],[Home Pace]]/100)*(VLOOKUP(Table2[[#This Row],[Home/Neutral]],home_lookup,8,FALSE)+VLOOKUP(Table2[[#This Row],[Home/Neutral]],OFR_lookup,2,FALSE)+VLOOKUP(Table2[[#This Row],[Visitor/Neutral]],def_diff_lookup,6,FALSE))</f>
        <v>107.5569003689818</v>
      </c>
      <c r="L637" s="25"/>
      <c r="M637" s="25">
        <f>(Table2[[#This Row],[Away Pace]]/100)*(VLOOKUP(Table2[[#This Row],[Visitor/Neutral]],OFR_lookup,2,FALSE)+VLOOKUP(Table2[[#This Row],[Home/Neutral]],def_diff_lookup,6,FALSE))</f>
        <v>103.21246133333335</v>
      </c>
      <c r="N637" s="25"/>
      <c r="O637" s="25"/>
      <c r="P637">
        <f>VLOOKUP(Table2[[#This Row],[Home/Neutral]],pace_lookup,7,FALSE)</f>
        <v>97.2</v>
      </c>
      <c r="Q637" s="5">
        <f>VLOOKUP(Table2[[#This Row],[Visitor/Neutral]],pace_lookup,7,FALSE)</f>
        <v>102.2</v>
      </c>
      <c r="R637" s="9"/>
      <c r="V637" s="2">
        <f>-home-VLOOKUP(Table2[[#This Row],[Home/Neutral]],rtg_vlookup,4,FALSE)+VLOOKUP(Table2[[#This Row],[Visitor/Neutral]],rtg_vlookup,4,FALSE)</f>
        <v>-15.785118483412329</v>
      </c>
      <c r="W637" s="25"/>
      <c r="X637" s="2"/>
      <c r="Y637" s="2">
        <f>Table2[[#This Row],[Away EV]]-Table2[[#This Row],[Home EV]]</f>
        <v>-4.344439035648449</v>
      </c>
      <c r="Z637" s="33"/>
      <c r="AA637" s="34"/>
      <c r="AB637" s="5" t="b">
        <f>IF(VLOOKUP(Table2[[#This Row],[Home/Neutral]],division_lookup,9,FALSE)=VLOOKUP(Table2[[#This Row],[Visitor/Neutral]],division_lookup,9,FALSE),TRUE,FALSE)</f>
        <v>0</v>
      </c>
      <c r="AC637" s="19" t="str">
        <f>VLOOKUP(Table2[[#This Row],[Home/Neutral]],division_lookup,9,FALSE)</f>
        <v>C</v>
      </c>
      <c r="AD637" s="19"/>
      <c r="AE637" s="19" t="str">
        <f>IF(Table2[[#This Row],[Total EV ®]]&lt;Table2[[#This Row],[Total (V)]],"UNDER","OVER")</f>
        <v>OVER</v>
      </c>
      <c r="AF637" s="30">
        <f>Table2[[#This Row],[(A) Spread]]-Table2[[#This Row],[Spread (V)]]</f>
        <v>0</v>
      </c>
      <c r="AG637" s="19"/>
      <c r="AH637" s="2">
        <f>Table2[[#This Row],[EV]]-Table2[[#This Row],[Spread (V)]]</f>
        <v>-4.344439035648449</v>
      </c>
      <c r="AI637" s="22">
        <f>Table2[[#This Row],[(A)]]-Table2[[#This Row],[Spread]]</f>
        <v>-15.785118483412329</v>
      </c>
      <c r="AJ637" s="1">
        <f>Table2[[#This Row],[(A) Err]]^2</f>
        <v>249.16996553536555</v>
      </c>
      <c r="AK637" s="6">
        <f>Table2[[#This Row],[EV]]-Table2[[#This Row],[Spread]]</f>
        <v>-4.344439035648449</v>
      </c>
      <c r="AL637" s="1">
        <f>Table2[[#This Row],[EV Err]]^2</f>
        <v>18.874150534466025</v>
      </c>
    </row>
    <row r="638" spans="1:38" x14ac:dyDescent="0.25">
      <c r="A638" t="s">
        <v>127</v>
      </c>
      <c r="B638" t="s">
        <v>4</v>
      </c>
      <c r="C638" t="s">
        <v>22</v>
      </c>
      <c r="K638" s="25">
        <f>(Table2[[#This Row],[Home Pace]]/100)*(VLOOKUP(Table2[[#This Row],[Home/Neutral]],home_lookup,8,FALSE)+VLOOKUP(Table2[[#This Row],[Home/Neutral]],OFR_lookup,2,FALSE)+VLOOKUP(Table2[[#This Row],[Visitor/Neutral]],def_diff_lookup,6,FALSE))</f>
        <v>106.20372781393445</v>
      </c>
      <c r="L638" s="25"/>
      <c r="M638" s="25">
        <f>(Table2[[#This Row],[Away Pace]]/100)*(VLOOKUP(Table2[[#This Row],[Visitor/Neutral]],OFR_lookup,2,FALSE)+VLOOKUP(Table2[[#This Row],[Home/Neutral]],def_diff_lookup,6,FALSE))</f>
        <v>99.577681333333359</v>
      </c>
      <c r="N638" s="25"/>
      <c r="O638" s="25"/>
      <c r="P638">
        <f>VLOOKUP(Table2[[#This Row],[Home/Neutral]],pace_lookup,7,FALSE)</f>
        <v>96.6</v>
      </c>
      <c r="Q638" s="5">
        <f>VLOOKUP(Table2[[#This Row],[Visitor/Neutral]],pace_lookup,7,FALSE)</f>
        <v>94.7</v>
      </c>
      <c r="R638" s="9"/>
      <c r="V638" s="2">
        <f>-home-VLOOKUP(Table2[[#This Row],[Home/Neutral]],rtg_vlookup,4,FALSE)+VLOOKUP(Table2[[#This Row],[Visitor/Neutral]],rtg_vlookup,4,FALSE)</f>
        <v>-16.455118483412331</v>
      </c>
      <c r="W638" s="25"/>
      <c r="X638" s="2"/>
      <c r="Y638" s="2">
        <f>Table2[[#This Row],[Away EV]]-Table2[[#This Row],[Home EV]]</f>
        <v>-6.6260464806010901</v>
      </c>
      <c r="Z638" s="33"/>
      <c r="AA638" s="34"/>
      <c r="AB638" s="5" t="b">
        <f>IF(VLOOKUP(Table2[[#This Row],[Home/Neutral]],division_lookup,9,FALSE)=VLOOKUP(Table2[[#This Row],[Visitor/Neutral]],division_lookup,9,FALSE),TRUE,FALSE)</f>
        <v>0</v>
      </c>
      <c r="AC638" s="19" t="str">
        <f>VLOOKUP(Table2[[#This Row],[Home/Neutral]],division_lookup,9,FALSE)</f>
        <v>P</v>
      </c>
      <c r="AD638" s="19"/>
      <c r="AE638" s="19" t="str">
        <f>IF(Table2[[#This Row],[Total EV ®]]&lt;Table2[[#This Row],[Total (V)]],"UNDER","OVER")</f>
        <v>OVER</v>
      </c>
      <c r="AF638" s="30">
        <f>Table2[[#This Row],[(A) Spread]]-Table2[[#This Row],[Spread (V)]]</f>
        <v>0</v>
      </c>
      <c r="AG638" s="19"/>
      <c r="AH638" s="2">
        <f>Table2[[#This Row],[EV]]-Table2[[#This Row],[Spread (V)]]</f>
        <v>-6.6260464806010901</v>
      </c>
      <c r="AI638" s="22">
        <f>Table2[[#This Row],[(A)]]-Table2[[#This Row],[Spread]]</f>
        <v>-16.455118483412331</v>
      </c>
      <c r="AJ638" s="1">
        <f>Table2[[#This Row],[(A) Err]]^2</f>
        <v>270.77092430313814</v>
      </c>
      <c r="AK638" s="6">
        <f>Table2[[#This Row],[EV]]-Table2[[#This Row],[Spread]]</f>
        <v>-6.6260464806010901</v>
      </c>
      <c r="AL638" s="1">
        <f>Table2[[#This Row],[EV Err]]^2</f>
        <v>43.904491963086095</v>
      </c>
    </row>
    <row r="639" spans="1:38" x14ac:dyDescent="0.25">
      <c r="A639" t="s">
        <v>127</v>
      </c>
      <c r="B639" t="s">
        <v>21</v>
      </c>
      <c r="C639" t="s">
        <v>37</v>
      </c>
      <c r="K639" s="25">
        <f>(Table2[[#This Row],[Home Pace]]/100)*(VLOOKUP(Table2[[#This Row],[Home/Neutral]],home_lookup,8,FALSE)+VLOOKUP(Table2[[#This Row],[Home/Neutral]],OFR_lookup,2,FALSE)+VLOOKUP(Table2[[#This Row],[Visitor/Neutral]],def_diff_lookup,6,FALSE))</f>
        <v>98.596091175243899</v>
      </c>
      <c r="L639" s="25"/>
      <c r="M639" s="25">
        <f>(Table2[[#This Row],[Away Pace]]/100)*(VLOOKUP(Table2[[#This Row],[Visitor/Neutral]],OFR_lookup,2,FALSE)+VLOOKUP(Table2[[#This Row],[Home/Neutral]],def_diff_lookup,6,FALSE))</f>
        <v>84.723404000000002</v>
      </c>
      <c r="N639" s="25"/>
      <c r="O639" s="25"/>
      <c r="P639">
        <f>VLOOKUP(Table2[[#This Row],[Home/Neutral]],pace_lookup,7,FALSE)</f>
        <v>94.2</v>
      </c>
      <c r="Q639" s="5">
        <f>VLOOKUP(Table2[[#This Row],[Visitor/Neutral]],pace_lookup,7,FALSE)</f>
        <v>92.1</v>
      </c>
      <c r="R639" s="9"/>
      <c r="V639" s="2">
        <f>-home-VLOOKUP(Table2[[#This Row],[Home/Neutral]],rtg_vlookup,4,FALSE)+VLOOKUP(Table2[[#This Row],[Visitor/Neutral]],rtg_vlookup,4,FALSE)</f>
        <v>-10.115118483412331</v>
      </c>
      <c r="W639" s="25"/>
      <c r="X639" s="2"/>
      <c r="Y639" s="2">
        <f>Table2[[#This Row],[Away EV]]-Table2[[#This Row],[Home EV]]</f>
        <v>-13.872687175243897</v>
      </c>
      <c r="Z639" s="33"/>
      <c r="AA639" s="34"/>
      <c r="AB639" s="5" t="b">
        <f>IF(VLOOKUP(Table2[[#This Row],[Home/Neutral]],division_lookup,9,FALSE)=VLOOKUP(Table2[[#This Row],[Visitor/Neutral]],division_lookup,9,FALSE),TRUE,FALSE)</f>
        <v>0</v>
      </c>
      <c r="AC639" s="19" t="str">
        <f>VLOOKUP(Table2[[#This Row],[Home/Neutral]],division_lookup,9,FALSE)</f>
        <v>SE</v>
      </c>
      <c r="AD639" s="19"/>
      <c r="AE639" s="19" t="str">
        <f>IF(Table2[[#This Row],[Total EV ®]]&lt;Table2[[#This Row],[Total (V)]],"UNDER","OVER")</f>
        <v>OVER</v>
      </c>
      <c r="AF639" s="30">
        <f>Table2[[#This Row],[(A) Spread]]-Table2[[#This Row],[Spread (V)]]</f>
        <v>0</v>
      </c>
      <c r="AG639" s="19"/>
      <c r="AH639" s="2">
        <f>Table2[[#This Row],[EV]]-Table2[[#This Row],[Spread (V)]]</f>
        <v>-13.872687175243897</v>
      </c>
      <c r="AI639" s="22">
        <f>Table2[[#This Row],[(A)]]-Table2[[#This Row],[Spread]]</f>
        <v>-10.115118483412331</v>
      </c>
      <c r="AJ639" s="1">
        <f>Table2[[#This Row],[(A) Err]]^2</f>
        <v>102.31562193346979</v>
      </c>
      <c r="AK639" s="6">
        <f>Table2[[#This Row],[EV]]-Table2[[#This Row],[Spread]]</f>
        <v>-13.872687175243897</v>
      </c>
      <c r="AL639" s="1">
        <f>Table2[[#This Row],[EV Err]]^2</f>
        <v>192.4514494621765</v>
      </c>
    </row>
    <row r="640" spans="1:38" x14ac:dyDescent="0.25">
      <c r="A640" t="s">
        <v>127</v>
      </c>
      <c r="B640" t="s">
        <v>31</v>
      </c>
      <c r="C640" t="s">
        <v>28</v>
      </c>
      <c r="K640" s="25">
        <f>(Table2[[#This Row],[Home Pace]]/100)*(VLOOKUP(Table2[[#This Row],[Home/Neutral]],home_lookup,8,FALSE)+VLOOKUP(Table2[[#This Row],[Home/Neutral]],OFR_lookup,2,FALSE)+VLOOKUP(Table2[[#This Row],[Visitor/Neutral]],def_diff_lookup,6,FALSE))</f>
        <v>113.21257430217891</v>
      </c>
      <c r="L640" s="25"/>
      <c r="M640" s="25">
        <f>(Table2[[#This Row],[Away Pace]]/100)*(VLOOKUP(Table2[[#This Row],[Visitor/Neutral]],OFR_lookup,2,FALSE)+VLOOKUP(Table2[[#This Row],[Home/Neutral]],def_diff_lookup,6,FALSE))</f>
        <v>107.95294199999999</v>
      </c>
      <c r="N640" s="25"/>
      <c r="O640" s="25"/>
      <c r="P640">
        <f>VLOOKUP(Table2[[#This Row],[Home/Neutral]],pace_lookup,7,FALSE)</f>
        <v>96</v>
      </c>
      <c r="Q640" s="5">
        <f>VLOOKUP(Table2[[#This Row],[Visitor/Neutral]],pace_lookup,7,FALSE)</f>
        <v>96.3</v>
      </c>
      <c r="R640" s="9"/>
      <c r="V640" s="2">
        <f>-home-VLOOKUP(Table2[[#This Row],[Home/Neutral]],rtg_vlookup,4,FALSE)+VLOOKUP(Table2[[#This Row],[Visitor/Neutral]],rtg_vlookup,4,FALSE)</f>
        <v>-2.3951184834123307</v>
      </c>
      <c r="W640" s="25"/>
      <c r="X640" s="2"/>
      <c r="Y640" s="2">
        <f>Table2[[#This Row],[Away EV]]-Table2[[#This Row],[Home EV]]</f>
        <v>-5.2596323021789146</v>
      </c>
      <c r="Z640" s="33"/>
      <c r="AA640" s="34"/>
      <c r="AB640" s="5" t="b">
        <f>IF(VLOOKUP(Table2[[#This Row],[Home/Neutral]],division_lookup,9,FALSE)=VLOOKUP(Table2[[#This Row],[Visitor/Neutral]],division_lookup,9,FALSE),TRUE,FALSE)</f>
        <v>0</v>
      </c>
      <c r="AC640" s="19" t="str">
        <f>VLOOKUP(Table2[[#This Row],[Home/Neutral]],division_lookup,9,FALSE)</f>
        <v>A</v>
      </c>
      <c r="AD640" s="19"/>
      <c r="AE640" s="19" t="str">
        <f>IF(Table2[[#This Row],[Total EV ®]]&lt;Table2[[#This Row],[Total (V)]],"UNDER","OVER")</f>
        <v>OVER</v>
      </c>
      <c r="AF640" s="30">
        <f>Table2[[#This Row],[(A) Spread]]-Table2[[#This Row],[Spread (V)]]</f>
        <v>0</v>
      </c>
      <c r="AG640" s="19"/>
      <c r="AH640" s="2">
        <f>Table2[[#This Row],[EV]]-Table2[[#This Row],[Spread (V)]]</f>
        <v>-5.2596323021789146</v>
      </c>
      <c r="AI640" s="22">
        <f>Table2[[#This Row],[(A)]]-Table2[[#This Row],[Spread]]</f>
        <v>-2.3951184834123307</v>
      </c>
      <c r="AJ640" s="1">
        <f>Table2[[#This Row],[(A) Err]]^2</f>
        <v>5.7365925495833832</v>
      </c>
      <c r="AK640" s="6">
        <f>Table2[[#This Row],[EV]]-Table2[[#This Row],[Spread]]</f>
        <v>-5.2596323021789146</v>
      </c>
      <c r="AL640" s="1">
        <f>Table2[[#This Row],[EV Err]]^2</f>
        <v>27.663731954123868</v>
      </c>
    </row>
    <row r="641" spans="1:38" x14ac:dyDescent="0.25">
      <c r="A641" t="s">
        <v>127</v>
      </c>
      <c r="B641" t="s">
        <v>6</v>
      </c>
      <c r="C641" t="s">
        <v>27</v>
      </c>
      <c r="K641" s="25">
        <f>(Table2[[#This Row],[Home Pace]]/100)*(VLOOKUP(Table2[[#This Row],[Home/Neutral]],home_lookup,8,FALSE)+VLOOKUP(Table2[[#This Row],[Home/Neutral]],OFR_lookup,2,FALSE)+VLOOKUP(Table2[[#This Row],[Visitor/Neutral]],def_diff_lookup,6,FALSE))</f>
        <v>102.64054787062244</v>
      </c>
      <c r="L641" s="25"/>
      <c r="M641" s="25">
        <f>(Table2[[#This Row],[Away Pace]]/100)*(VLOOKUP(Table2[[#This Row],[Visitor/Neutral]],OFR_lookup,2,FALSE)+VLOOKUP(Table2[[#This Row],[Home/Neutral]],def_diff_lookup,6,FALSE))</f>
        <v>101.97066000000001</v>
      </c>
      <c r="N641" s="25"/>
      <c r="O641" s="25"/>
      <c r="P641">
        <f>VLOOKUP(Table2[[#This Row],[Home/Neutral]],pace_lookup,7,FALSE)</f>
        <v>93.1</v>
      </c>
      <c r="Q641" s="5">
        <f>VLOOKUP(Table2[[#This Row],[Visitor/Neutral]],pace_lookup,7,FALSE)</f>
        <v>99</v>
      </c>
      <c r="R641" s="9"/>
      <c r="V641" s="2">
        <f>-home-VLOOKUP(Table2[[#This Row],[Home/Neutral]],rtg_vlookup,4,FALSE)+VLOOKUP(Table2[[#This Row],[Visitor/Neutral]],rtg_vlookup,4,FALSE)</f>
        <v>-10.315118483412331</v>
      </c>
      <c r="W641" s="25"/>
      <c r="X641" s="2"/>
      <c r="Y641" s="2">
        <f>Table2[[#This Row],[Away EV]]-Table2[[#This Row],[Home EV]]</f>
        <v>-0.66988787062243205</v>
      </c>
      <c r="Z641" s="33"/>
      <c r="AA641" s="34"/>
      <c r="AB641" s="5" t="b">
        <f>IF(VLOOKUP(Table2[[#This Row],[Home/Neutral]],division_lookup,9,FALSE)=VLOOKUP(Table2[[#This Row],[Visitor/Neutral]],division_lookup,9,FALSE),TRUE,FALSE)</f>
        <v>0</v>
      </c>
      <c r="AC641" s="19" t="str">
        <f>VLOOKUP(Table2[[#This Row],[Home/Neutral]],division_lookup,9,FALSE)</f>
        <v>SW</v>
      </c>
      <c r="AD641" s="19"/>
      <c r="AE641" s="19" t="str">
        <f>IF(Table2[[#This Row],[Total EV ®]]&lt;Table2[[#This Row],[Total (V)]],"UNDER","OVER")</f>
        <v>OVER</v>
      </c>
      <c r="AF641" s="30">
        <f>Table2[[#This Row],[(A) Spread]]-Table2[[#This Row],[Spread (V)]]</f>
        <v>0</v>
      </c>
      <c r="AG641" s="19"/>
      <c r="AH641" s="2">
        <f>Table2[[#This Row],[EV]]-Table2[[#This Row],[Spread (V)]]</f>
        <v>-0.66988787062243205</v>
      </c>
      <c r="AI641" s="22">
        <f>Table2[[#This Row],[(A)]]-Table2[[#This Row],[Spread]]</f>
        <v>-10.315118483412331</v>
      </c>
      <c r="AJ641" s="1">
        <f>Table2[[#This Row],[(A) Err]]^2</f>
        <v>106.40166932683469</v>
      </c>
      <c r="AK641" s="6">
        <f>Table2[[#This Row],[EV]]-Table2[[#This Row],[Spread]]</f>
        <v>-0.66988787062243205</v>
      </c>
      <c r="AL641" s="1">
        <f>Table2[[#This Row],[EV Err]]^2</f>
        <v>0.44874975920705623</v>
      </c>
    </row>
    <row r="642" spans="1:38" x14ac:dyDescent="0.25">
      <c r="A642" t="s">
        <v>128</v>
      </c>
      <c r="B642" t="s">
        <v>11</v>
      </c>
      <c r="C642" t="s">
        <v>13</v>
      </c>
      <c r="K642" s="25">
        <f>(Table2[[#This Row],[Home Pace]]/100)*(VLOOKUP(Table2[[#This Row],[Home/Neutral]],home_lookup,8,FALSE)+VLOOKUP(Table2[[#This Row],[Home/Neutral]],OFR_lookup,2,FALSE)+VLOOKUP(Table2[[#This Row],[Visitor/Neutral]],def_diff_lookup,6,FALSE))</f>
        <v>97.822449044072826</v>
      </c>
      <c r="L642" s="25"/>
      <c r="M642" s="25">
        <f>(Table2[[#This Row],[Away Pace]]/100)*(VLOOKUP(Table2[[#This Row],[Visitor/Neutral]],OFR_lookup,2,FALSE)+VLOOKUP(Table2[[#This Row],[Home/Neutral]],def_diff_lookup,6,FALSE))</f>
        <v>97.770330000000016</v>
      </c>
      <c r="N642" s="25"/>
      <c r="O642" s="25"/>
      <c r="P642">
        <f>VLOOKUP(Table2[[#This Row],[Home/Neutral]],pace_lookup,7,FALSE)</f>
        <v>99.7</v>
      </c>
      <c r="Q642" s="5">
        <f>VLOOKUP(Table2[[#This Row],[Visitor/Neutral]],pace_lookup,7,FALSE)</f>
        <v>94.5</v>
      </c>
      <c r="R642" s="9"/>
      <c r="V642" s="2">
        <f>-home-VLOOKUP(Table2[[#This Row],[Home/Neutral]],rtg_vlookup,4,FALSE)+VLOOKUP(Table2[[#This Row],[Visitor/Neutral]],rtg_vlookup,4,FALSE)</f>
        <v>-3.4051184834123314</v>
      </c>
      <c r="W642" s="25"/>
      <c r="X642" s="2"/>
      <c r="Y642" s="2">
        <f>Table2[[#This Row],[Away EV]]-Table2[[#This Row],[Home EV]]</f>
        <v>-5.2119044072810539E-2</v>
      </c>
      <c r="Z642" s="33"/>
      <c r="AA642" s="34"/>
      <c r="AB642" s="5" t="b">
        <f>IF(VLOOKUP(Table2[[#This Row],[Home/Neutral]],division_lookup,9,FALSE)=VLOOKUP(Table2[[#This Row],[Visitor/Neutral]],division_lookup,9,FALSE),TRUE,FALSE)</f>
        <v>0</v>
      </c>
      <c r="AC642" s="19" t="str">
        <f>VLOOKUP(Table2[[#This Row],[Home/Neutral]],division_lookup,9,FALSE)</f>
        <v>SE</v>
      </c>
      <c r="AD642" s="19"/>
      <c r="AE642" s="19" t="str">
        <f>IF(Table2[[#This Row],[Total EV ®]]&lt;Table2[[#This Row],[Total (V)]],"UNDER","OVER")</f>
        <v>OVER</v>
      </c>
      <c r="AF642" s="30">
        <f>Table2[[#This Row],[(A) Spread]]-Table2[[#This Row],[Spread (V)]]</f>
        <v>0</v>
      </c>
      <c r="AG642" s="19"/>
      <c r="AH642" s="2">
        <f>Table2[[#This Row],[EV]]-Table2[[#This Row],[Spread (V)]]</f>
        <v>-5.2119044072810539E-2</v>
      </c>
      <c r="AI642" s="22">
        <f>Table2[[#This Row],[(A)]]-Table2[[#This Row],[Spread]]</f>
        <v>-3.4051184834123314</v>
      </c>
      <c r="AJ642" s="1">
        <f>Table2[[#This Row],[(A) Err]]^2</f>
        <v>11.594831886076296</v>
      </c>
      <c r="AK642" s="6">
        <f>Table2[[#This Row],[EV]]-Table2[[#This Row],[Spread]]</f>
        <v>-5.2119044072810539E-2</v>
      </c>
      <c r="AL642" s="1">
        <f>Table2[[#This Row],[EV Err]]^2</f>
        <v>2.7163947550635672E-3</v>
      </c>
    </row>
    <row r="643" spans="1:38" x14ac:dyDescent="0.25">
      <c r="A643" t="s">
        <v>128</v>
      </c>
      <c r="B643" t="s">
        <v>16</v>
      </c>
      <c r="C643" t="s">
        <v>14</v>
      </c>
      <c r="K643" s="25">
        <f>(Table2[[#This Row],[Home Pace]]/100)*(VLOOKUP(Table2[[#This Row],[Home/Neutral]],home_lookup,8,FALSE)+VLOOKUP(Table2[[#This Row],[Home/Neutral]],OFR_lookup,2,FALSE)+VLOOKUP(Table2[[#This Row],[Visitor/Neutral]],def_diff_lookup,6,FALSE))</f>
        <v>105.55685601115951</v>
      </c>
      <c r="L643" s="25"/>
      <c r="M643" s="25">
        <f>(Table2[[#This Row],[Away Pace]]/100)*(VLOOKUP(Table2[[#This Row],[Visitor/Neutral]],OFR_lookup,2,FALSE)+VLOOKUP(Table2[[#This Row],[Home/Neutral]],def_diff_lookup,6,FALSE))</f>
        <v>106.84282933333336</v>
      </c>
      <c r="N643" s="25"/>
      <c r="O643" s="25"/>
      <c r="P643">
        <f>VLOOKUP(Table2[[#This Row],[Home/Neutral]],pace_lookup,7,FALSE)</f>
        <v>97.5</v>
      </c>
      <c r="Q643" s="5">
        <f>VLOOKUP(Table2[[#This Row],[Visitor/Neutral]],pace_lookup,7,FALSE)</f>
        <v>95.9</v>
      </c>
      <c r="R643" s="9"/>
      <c r="V643" s="2">
        <f>-home-VLOOKUP(Table2[[#This Row],[Home/Neutral]],rtg_vlookup,4,FALSE)+VLOOKUP(Table2[[#This Row],[Visitor/Neutral]],rtg_vlookup,4,FALSE)</f>
        <v>-0.37511848341233112</v>
      </c>
      <c r="W643" s="25"/>
      <c r="X643" s="2"/>
      <c r="Y643" s="2">
        <f>Table2[[#This Row],[Away EV]]-Table2[[#This Row],[Home EV]]</f>
        <v>1.2859733221738452</v>
      </c>
      <c r="Z643" s="33"/>
      <c r="AA643" s="34"/>
      <c r="AB643" s="5" t="b">
        <f>IF(VLOOKUP(Table2[[#This Row],[Home/Neutral]],division_lookup,9,FALSE)=VLOOKUP(Table2[[#This Row],[Visitor/Neutral]],division_lookup,9,FALSE),TRUE,FALSE)</f>
        <v>0</v>
      </c>
      <c r="AC643" s="19" t="str">
        <f>VLOOKUP(Table2[[#This Row],[Home/Neutral]],division_lookup,9,FALSE)</f>
        <v>SE</v>
      </c>
      <c r="AD643" s="19"/>
      <c r="AE643" s="19" t="str">
        <f>IF(Table2[[#This Row],[Total EV ®]]&lt;Table2[[#This Row],[Total (V)]],"UNDER","OVER")</f>
        <v>OVER</v>
      </c>
      <c r="AF643" s="30">
        <f>Table2[[#This Row],[(A) Spread]]-Table2[[#This Row],[Spread (V)]]</f>
        <v>0</v>
      </c>
      <c r="AG643" s="19"/>
      <c r="AH643" s="2">
        <f>Table2[[#This Row],[EV]]-Table2[[#This Row],[Spread (V)]]</f>
        <v>1.2859733221738452</v>
      </c>
      <c r="AI643" s="22">
        <f>Table2[[#This Row],[(A)]]-Table2[[#This Row],[Spread]]</f>
        <v>-0.37511848341233112</v>
      </c>
      <c r="AJ643" s="1">
        <f>Table2[[#This Row],[(A) Err]]^2</f>
        <v>0.14071387659756734</v>
      </c>
      <c r="AK643" s="6">
        <f>Table2[[#This Row],[EV]]-Table2[[#This Row],[Spread]]</f>
        <v>1.2859733221738452</v>
      </c>
      <c r="AL643" s="1">
        <f>Table2[[#This Row],[EV Err]]^2</f>
        <v>1.6537273853428363</v>
      </c>
    </row>
    <row r="644" spans="1:38" x14ac:dyDescent="0.25">
      <c r="A644" t="s">
        <v>128</v>
      </c>
      <c r="B644" t="s">
        <v>37</v>
      </c>
      <c r="C644" t="s">
        <v>20</v>
      </c>
      <c r="K644" s="25">
        <f>(Table2[[#This Row],[Home Pace]]/100)*(VLOOKUP(Table2[[#This Row],[Home/Neutral]],home_lookup,8,FALSE)+VLOOKUP(Table2[[#This Row],[Home/Neutral]],OFR_lookup,2,FALSE)+VLOOKUP(Table2[[#This Row],[Visitor/Neutral]],def_diff_lookup,6,FALSE))</f>
        <v>101.03195809362123</v>
      </c>
      <c r="L644" s="25"/>
      <c r="M644" s="25">
        <f>(Table2[[#This Row],[Away Pace]]/100)*(VLOOKUP(Table2[[#This Row],[Visitor/Neutral]],OFR_lookup,2,FALSE)+VLOOKUP(Table2[[#This Row],[Home/Neutral]],def_diff_lookup,6,FALSE))</f>
        <v>94.118466000000012</v>
      </c>
      <c r="N644" s="25"/>
      <c r="O644" s="25"/>
      <c r="P644">
        <f>VLOOKUP(Table2[[#This Row],[Home/Neutral]],pace_lookup,7,FALSE)</f>
        <v>92.1</v>
      </c>
      <c r="Q644" s="5">
        <f>VLOOKUP(Table2[[#This Row],[Visitor/Neutral]],pace_lookup,7,FALSE)</f>
        <v>90.9</v>
      </c>
      <c r="R644" s="9"/>
      <c r="V644" s="2">
        <f>-home-VLOOKUP(Table2[[#This Row],[Home/Neutral]],rtg_vlookup,4,FALSE)+VLOOKUP(Table2[[#This Row],[Visitor/Neutral]],rtg_vlookup,4,FALSE)</f>
        <v>6.4948815165876699</v>
      </c>
      <c r="W644" s="25"/>
      <c r="X644" s="2"/>
      <c r="Y644" s="2">
        <f>Table2[[#This Row],[Away EV]]-Table2[[#This Row],[Home EV]]</f>
        <v>-6.9134920936212154</v>
      </c>
      <c r="Z644" s="33"/>
      <c r="AA644" s="34"/>
      <c r="AB644" s="5" t="b">
        <f>IF(VLOOKUP(Table2[[#This Row],[Home/Neutral]],division_lookup,9,FALSE)=VLOOKUP(Table2[[#This Row],[Visitor/Neutral]],division_lookup,9,FALSE),TRUE,FALSE)</f>
        <v>0</v>
      </c>
      <c r="AC644" s="19" t="str">
        <f>VLOOKUP(Table2[[#This Row],[Home/Neutral]],division_lookup,9,FALSE)</f>
        <v>SW</v>
      </c>
      <c r="AD644" s="19"/>
      <c r="AE644" s="19" t="str">
        <f>IF(Table2[[#This Row],[Total EV ®]]&lt;Table2[[#This Row],[Total (V)]],"UNDER","OVER")</f>
        <v>OVER</v>
      </c>
      <c r="AF644" s="30">
        <f>Table2[[#This Row],[(A) Spread]]-Table2[[#This Row],[Spread (V)]]</f>
        <v>0</v>
      </c>
      <c r="AG644" s="19"/>
      <c r="AH644" s="2">
        <f>Table2[[#This Row],[EV]]-Table2[[#This Row],[Spread (V)]]</f>
        <v>-6.9134920936212154</v>
      </c>
      <c r="AI644" s="22">
        <f>Table2[[#This Row],[(A)]]-Table2[[#This Row],[Spread]]</f>
        <v>6.4948815165876699</v>
      </c>
      <c r="AJ644" s="1">
        <f>Table2[[#This Row],[(A) Err]]^2</f>
        <v>42.183485914512154</v>
      </c>
      <c r="AK644" s="6">
        <f>Table2[[#This Row],[EV]]-Table2[[#This Row],[Spread]]</f>
        <v>-6.9134920936212154</v>
      </c>
      <c r="AL644" s="1">
        <f>Table2[[#This Row],[EV Err]]^2</f>
        <v>47.796372928563059</v>
      </c>
    </row>
    <row r="645" spans="1:38" x14ac:dyDescent="0.25">
      <c r="A645" t="s">
        <v>128</v>
      </c>
      <c r="B645" t="s">
        <v>17</v>
      </c>
      <c r="C645" t="s">
        <v>10</v>
      </c>
      <c r="K645" s="25">
        <f>(Table2[[#This Row],[Home Pace]]/100)*(VLOOKUP(Table2[[#This Row],[Home/Neutral]],home_lookup,8,FALSE)+VLOOKUP(Table2[[#This Row],[Home/Neutral]],OFR_lookup,2,FALSE)+VLOOKUP(Table2[[#This Row],[Visitor/Neutral]],def_diff_lookup,6,FALSE))</f>
        <v>110.81571692873544</v>
      </c>
      <c r="L645" s="25"/>
      <c r="M645" s="25">
        <f>(Table2[[#This Row],[Away Pace]]/100)*(VLOOKUP(Table2[[#This Row],[Visitor/Neutral]],OFR_lookup,2,FALSE)+VLOOKUP(Table2[[#This Row],[Home/Neutral]],def_diff_lookup,6,FALSE))</f>
        <v>119.99958866666667</v>
      </c>
      <c r="N645" s="25"/>
      <c r="O645" s="25"/>
      <c r="P645">
        <f>VLOOKUP(Table2[[#This Row],[Home/Neutral]],pace_lookup,7,FALSE)</f>
        <v>96.7</v>
      </c>
      <c r="Q645" s="5">
        <f>VLOOKUP(Table2[[#This Row],[Visitor/Neutral]],pace_lookup,7,FALSE)</f>
        <v>100.3</v>
      </c>
      <c r="R645" s="9"/>
      <c r="V645" s="2">
        <f>-home-VLOOKUP(Table2[[#This Row],[Home/Neutral]],rtg_vlookup,4,FALSE)+VLOOKUP(Table2[[#This Row],[Visitor/Neutral]],rtg_vlookup,4,FALSE)</f>
        <v>1.5148815165876695</v>
      </c>
      <c r="W645" s="25"/>
      <c r="X645" s="2"/>
      <c r="Y645" s="2">
        <f>Table2[[#This Row],[Away EV]]-Table2[[#This Row],[Home EV]]</f>
        <v>9.1838717379312271</v>
      </c>
      <c r="Z645" s="33"/>
      <c r="AA645" s="34"/>
      <c r="AB645" s="5" t="b">
        <f>IF(VLOOKUP(Table2[[#This Row],[Home/Neutral]],division_lookup,9,FALSE)=VLOOKUP(Table2[[#This Row],[Visitor/Neutral]],division_lookup,9,FALSE),TRUE,FALSE)</f>
        <v>0</v>
      </c>
      <c r="AC645" s="19" t="str">
        <f>VLOOKUP(Table2[[#This Row],[Home/Neutral]],division_lookup,9,FALSE)</f>
        <v>SW</v>
      </c>
      <c r="AD645" s="19"/>
      <c r="AE645" s="19" t="str">
        <f>IF(Table2[[#This Row],[Total EV ®]]&lt;Table2[[#This Row],[Total (V)]],"UNDER","OVER")</f>
        <v>OVER</v>
      </c>
      <c r="AF645" s="30">
        <f>Table2[[#This Row],[(A) Spread]]-Table2[[#This Row],[Spread (V)]]</f>
        <v>0</v>
      </c>
      <c r="AG645" s="19"/>
      <c r="AH645" s="2">
        <f>Table2[[#This Row],[EV]]-Table2[[#This Row],[Spread (V)]]</f>
        <v>9.1838717379312271</v>
      </c>
      <c r="AI645" s="22">
        <f>Table2[[#This Row],[(A)]]-Table2[[#This Row],[Spread]]</f>
        <v>1.5148815165876695</v>
      </c>
      <c r="AJ645" s="1">
        <f>Table2[[#This Row],[(A) Err]]^2</f>
        <v>2.2948660092989575</v>
      </c>
      <c r="AK645" s="6">
        <f>Table2[[#This Row],[EV]]-Table2[[#This Row],[Spread]]</f>
        <v>9.1838717379312271</v>
      </c>
      <c r="AL645" s="1">
        <f>Table2[[#This Row],[EV Err]]^2</f>
        <v>84.343500098771941</v>
      </c>
    </row>
    <row r="646" spans="1:38" x14ac:dyDescent="0.25">
      <c r="A646" t="s">
        <v>128</v>
      </c>
      <c r="B646" t="s">
        <v>24</v>
      </c>
      <c r="C646" t="s">
        <v>33</v>
      </c>
      <c r="K646" s="25">
        <f>(Table2[[#This Row],[Home Pace]]/100)*(VLOOKUP(Table2[[#This Row],[Home/Neutral]],home_lookup,8,FALSE)+VLOOKUP(Table2[[#This Row],[Home/Neutral]],OFR_lookup,2,FALSE)+VLOOKUP(Table2[[#This Row],[Visitor/Neutral]],def_diff_lookup,6,FALSE))</f>
        <v>111.66402432830941</v>
      </c>
      <c r="L646" s="25"/>
      <c r="M646" s="25">
        <f>(Table2[[#This Row],[Away Pace]]/100)*(VLOOKUP(Table2[[#This Row],[Visitor/Neutral]],OFR_lookup,2,FALSE)+VLOOKUP(Table2[[#This Row],[Home/Neutral]],def_diff_lookup,6,FALSE))</f>
        <v>105.57547466666666</v>
      </c>
      <c r="N646" s="25"/>
      <c r="O646" s="25"/>
      <c r="P646">
        <f>VLOOKUP(Table2[[#This Row],[Home/Neutral]],pace_lookup,7,FALSE)</f>
        <v>99.9</v>
      </c>
      <c r="Q646" s="5">
        <f>VLOOKUP(Table2[[#This Row],[Visitor/Neutral]],pace_lookup,7,FALSE)</f>
        <v>98.2</v>
      </c>
      <c r="R646" s="9"/>
      <c r="V646" s="2">
        <f>-home-VLOOKUP(Table2[[#This Row],[Home/Neutral]],rtg_vlookup,4,FALSE)+VLOOKUP(Table2[[#This Row],[Visitor/Neutral]],rtg_vlookup,4,FALSE)</f>
        <v>-8.2251184834123308</v>
      </c>
      <c r="W646" s="25"/>
      <c r="X646" s="2"/>
      <c r="Y646" s="2">
        <f>Table2[[#This Row],[Away EV]]-Table2[[#This Row],[Home EV]]</f>
        <v>-6.0885496616427446</v>
      </c>
      <c r="Z646" s="33"/>
      <c r="AA646" s="34"/>
      <c r="AB646" s="5" t="b">
        <f>IF(VLOOKUP(Table2[[#This Row],[Home/Neutral]],division_lookup,9,FALSE)=VLOOKUP(Table2[[#This Row],[Visitor/Neutral]],division_lookup,9,FALSE),TRUE,FALSE)</f>
        <v>0</v>
      </c>
      <c r="AC646" s="19" t="str">
        <f>VLOOKUP(Table2[[#This Row],[Home/Neutral]],division_lookup,9,FALSE)</f>
        <v>P</v>
      </c>
      <c r="AD646" s="19"/>
      <c r="AE646" s="19" t="str">
        <f>IF(Table2[[#This Row],[Total EV ®]]&lt;Table2[[#This Row],[Total (V)]],"UNDER","OVER")</f>
        <v>OVER</v>
      </c>
      <c r="AF646" s="30">
        <f>Table2[[#This Row],[(A) Spread]]-Table2[[#This Row],[Spread (V)]]</f>
        <v>0</v>
      </c>
      <c r="AG646" s="19"/>
      <c r="AH646" s="2">
        <f>Table2[[#This Row],[EV]]-Table2[[#This Row],[Spread (V)]]</f>
        <v>-6.0885496616427446</v>
      </c>
      <c r="AI646" s="22">
        <f>Table2[[#This Row],[(A)]]-Table2[[#This Row],[Spread]]</f>
        <v>-8.2251184834123308</v>
      </c>
      <c r="AJ646" s="1">
        <f>Table2[[#This Row],[(A) Err]]^2</f>
        <v>67.652574066171155</v>
      </c>
      <c r="AK646" s="6">
        <f>Table2[[#This Row],[EV]]-Table2[[#This Row],[Spread]]</f>
        <v>-6.0885496616427446</v>
      </c>
      <c r="AL646" s="1">
        <f>Table2[[#This Row],[EV Err]]^2</f>
        <v>37.070436982289976</v>
      </c>
    </row>
    <row r="647" spans="1:38" x14ac:dyDescent="0.25">
      <c r="A647" t="s">
        <v>128</v>
      </c>
      <c r="B647" t="s">
        <v>23</v>
      </c>
      <c r="C647" t="s">
        <v>29</v>
      </c>
      <c r="K647" s="25">
        <f>(Table2[[#This Row],[Home Pace]]/100)*(VLOOKUP(Table2[[#This Row],[Home/Neutral]],home_lookup,8,FALSE)+VLOOKUP(Table2[[#This Row],[Home/Neutral]],OFR_lookup,2,FALSE)+VLOOKUP(Table2[[#This Row],[Visitor/Neutral]],def_diff_lookup,6,FALSE))</f>
        <v>105.00538735871359</v>
      </c>
      <c r="L647" s="25"/>
      <c r="M647" s="25">
        <f>(Table2[[#This Row],[Away Pace]]/100)*(VLOOKUP(Table2[[#This Row],[Visitor/Neutral]],OFR_lookup,2,FALSE)+VLOOKUP(Table2[[#This Row],[Home/Neutral]],def_diff_lookup,6,FALSE))</f>
        <v>96.586485333333343</v>
      </c>
      <c r="N647" s="25"/>
      <c r="O647" s="25"/>
      <c r="P647">
        <f>VLOOKUP(Table2[[#This Row],[Home/Neutral]],pace_lookup,7,FALSE)</f>
        <v>92.5</v>
      </c>
      <c r="Q647" s="5">
        <f>VLOOKUP(Table2[[#This Row],[Visitor/Neutral]],pace_lookup,7,FALSE)</f>
        <v>93.8</v>
      </c>
      <c r="R647" s="9"/>
      <c r="V647" s="2">
        <f>-home-VLOOKUP(Table2[[#This Row],[Home/Neutral]],rtg_vlookup,4,FALSE)+VLOOKUP(Table2[[#This Row],[Visitor/Neutral]],rtg_vlookup,4,FALSE)</f>
        <v>-7.4151184834123312</v>
      </c>
      <c r="W647" s="25"/>
      <c r="X647" s="2"/>
      <c r="Y647" s="2">
        <f>Table2[[#This Row],[Away EV]]-Table2[[#This Row],[Home EV]]</f>
        <v>-8.4189020253802482</v>
      </c>
      <c r="Z647" s="33"/>
      <c r="AA647" s="34"/>
      <c r="AB647" s="5" t="b">
        <f>IF(VLOOKUP(Table2[[#This Row],[Home/Neutral]],division_lookup,9,FALSE)=VLOOKUP(Table2[[#This Row],[Visitor/Neutral]],division_lookup,9,FALSE),TRUE,FALSE)</f>
        <v>0</v>
      </c>
      <c r="AC647" s="19" t="str">
        <f>VLOOKUP(Table2[[#This Row],[Home/Neutral]],division_lookup,9,FALSE)</f>
        <v>SW</v>
      </c>
      <c r="AD647" s="19"/>
      <c r="AE647" s="19" t="str">
        <f>IF(Table2[[#This Row],[Total EV ®]]&lt;Table2[[#This Row],[Total (V)]],"UNDER","OVER")</f>
        <v>OVER</v>
      </c>
      <c r="AF647" s="30">
        <f>Table2[[#This Row],[(A) Spread]]-Table2[[#This Row],[Spread (V)]]</f>
        <v>0</v>
      </c>
      <c r="AG647" s="19"/>
      <c r="AH647" s="2">
        <f>Table2[[#This Row],[EV]]-Table2[[#This Row],[Spread (V)]]</f>
        <v>-8.4189020253802482</v>
      </c>
      <c r="AI647" s="22">
        <f>Table2[[#This Row],[(A)]]-Table2[[#This Row],[Spread]]</f>
        <v>-7.4151184834123312</v>
      </c>
      <c r="AJ647" s="1">
        <f>Table2[[#This Row],[(A) Err]]^2</f>
        <v>54.983982123043191</v>
      </c>
      <c r="AK647" s="6">
        <f>Table2[[#This Row],[EV]]-Table2[[#This Row],[Spread]]</f>
        <v>-8.4189020253802482</v>
      </c>
      <c r="AL647" s="1">
        <f>Table2[[#This Row],[EV Err]]^2</f>
        <v>70.877911312951639</v>
      </c>
    </row>
    <row r="648" spans="1:38" x14ac:dyDescent="0.25">
      <c r="A648" t="s">
        <v>128</v>
      </c>
      <c r="B648" t="s">
        <v>34</v>
      </c>
      <c r="C648" t="s">
        <v>35</v>
      </c>
      <c r="K648" s="25">
        <f>(Table2[[#This Row],[Home Pace]]/100)*(VLOOKUP(Table2[[#This Row],[Home/Neutral]],home_lookup,8,FALSE)+VLOOKUP(Table2[[#This Row],[Home/Neutral]],OFR_lookup,2,FALSE)+VLOOKUP(Table2[[#This Row],[Visitor/Neutral]],def_diff_lookup,6,FALSE))</f>
        <v>108.42483864565556</v>
      </c>
      <c r="L648" s="25"/>
      <c r="M648" s="25">
        <f>(Table2[[#This Row],[Away Pace]]/100)*(VLOOKUP(Table2[[#This Row],[Visitor/Neutral]],OFR_lookup,2,FALSE)+VLOOKUP(Table2[[#This Row],[Home/Neutral]],def_diff_lookup,6,FALSE))</f>
        <v>105.58350133333334</v>
      </c>
      <c r="N648" s="25"/>
      <c r="O648" s="25"/>
      <c r="P648">
        <f>VLOOKUP(Table2[[#This Row],[Home/Neutral]],pace_lookup,7,FALSE)</f>
        <v>98.8</v>
      </c>
      <c r="Q648" s="5">
        <f>VLOOKUP(Table2[[#This Row],[Visitor/Neutral]],pace_lookup,7,FALSE)</f>
        <v>102.2</v>
      </c>
      <c r="R648" s="9"/>
      <c r="V648" s="2">
        <f>-home-VLOOKUP(Table2[[#This Row],[Home/Neutral]],rtg_vlookup,4,FALSE)+VLOOKUP(Table2[[#This Row],[Visitor/Neutral]],rtg_vlookup,4,FALSE)</f>
        <v>-4.0051184834123301</v>
      </c>
      <c r="W648" s="25"/>
      <c r="X648" s="2"/>
      <c r="Y648" s="2">
        <f>Table2[[#This Row],[Away EV]]-Table2[[#This Row],[Home EV]]</f>
        <v>-2.8413373123222101</v>
      </c>
      <c r="Z648" s="33"/>
      <c r="AA648" s="34"/>
      <c r="AB648" s="5" t="b">
        <f>IF(VLOOKUP(Table2[[#This Row],[Home/Neutral]],division_lookup,9,FALSE)=VLOOKUP(Table2[[#This Row],[Visitor/Neutral]],division_lookup,9,FALSE),TRUE,FALSE)</f>
        <v>0</v>
      </c>
      <c r="AC648" s="19" t="str">
        <f>VLOOKUP(Table2[[#This Row],[Home/Neutral]],division_lookup,9,FALSE)</f>
        <v>SW</v>
      </c>
      <c r="AD648" s="19"/>
      <c r="AE648" s="19" t="str">
        <f>IF(Table2[[#This Row],[Total EV ®]]&lt;Table2[[#This Row],[Total (V)]],"UNDER","OVER")</f>
        <v>OVER</v>
      </c>
      <c r="AF648" s="30">
        <f>Table2[[#This Row],[(A) Spread]]-Table2[[#This Row],[Spread (V)]]</f>
        <v>0</v>
      </c>
      <c r="AG648" s="19"/>
      <c r="AH648" s="2">
        <f>Table2[[#This Row],[EV]]-Table2[[#This Row],[Spread (V)]]</f>
        <v>-2.8413373123222101</v>
      </c>
      <c r="AI648" s="22">
        <f>Table2[[#This Row],[(A)]]-Table2[[#This Row],[Spread]]</f>
        <v>-4.0051184834123301</v>
      </c>
      <c r="AJ648" s="1">
        <f>Table2[[#This Row],[(A) Err]]^2</f>
        <v>16.040974066171085</v>
      </c>
      <c r="AK648" s="6">
        <f>Table2[[#This Row],[EV]]-Table2[[#This Row],[Spread]]</f>
        <v>-2.8413373123222101</v>
      </c>
      <c r="AL648" s="1">
        <f>Table2[[#This Row],[EV Err]]^2</f>
        <v>8.0731977223944007</v>
      </c>
    </row>
    <row r="649" spans="1:38" x14ac:dyDescent="0.25">
      <c r="A649" t="s">
        <v>128</v>
      </c>
      <c r="B649" t="s">
        <v>38</v>
      </c>
      <c r="C649" t="s">
        <v>30</v>
      </c>
      <c r="K649" s="25">
        <f>(Table2[[#This Row],[Home Pace]]/100)*(VLOOKUP(Table2[[#This Row],[Home/Neutral]],home_lookup,8,FALSE)+VLOOKUP(Table2[[#This Row],[Home/Neutral]],OFR_lookup,2,FALSE)+VLOOKUP(Table2[[#This Row],[Visitor/Neutral]],def_diff_lookup,6,FALSE))</f>
        <v>107.8146916789148</v>
      </c>
      <c r="L649" s="25"/>
      <c r="M649" s="25">
        <f>(Table2[[#This Row],[Away Pace]]/100)*(VLOOKUP(Table2[[#This Row],[Visitor/Neutral]],OFR_lookup,2,FALSE)+VLOOKUP(Table2[[#This Row],[Home/Neutral]],def_diff_lookup,6,FALSE))</f>
        <v>103.42176533333334</v>
      </c>
      <c r="N649" s="25"/>
      <c r="O649" s="25"/>
      <c r="P649">
        <f>VLOOKUP(Table2[[#This Row],[Home/Neutral]],pace_lookup,7,FALSE)</f>
        <v>94.2</v>
      </c>
      <c r="Q649" s="5">
        <f>VLOOKUP(Table2[[#This Row],[Visitor/Neutral]],pace_lookup,7,FALSE)</f>
        <v>96.8</v>
      </c>
      <c r="R649" s="9"/>
      <c r="V649" s="2">
        <f>-home-VLOOKUP(Table2[[#This Row],[Home/Neutral]],rtg_vlookup,4,FALSE)+VLOOKUP(Table2[[#This Row],[Visitor/Neutral]],rtg_vlookup,4,FALSE)</f>
        <v>3.454881516587669</v>
      </c>
      <c r="W649" s="25"/>
      <c r="X649" s="2"/>
      <c r="Y649" s="2">
        <f>Table2[[#This Row],[Away EV]]-Table2[[#This Row],[Home EV]]</f>
        <v>-4.3929263455814578</v>
      </c>
      <c r="Z649" s="33"/>
      <c r="AA649" s="34"/>
      <c r="AB649" s="5" t="b">
        <f>IF(VLOOKUP(Table2[[#This Row],[Home/Neutral]],division_lookup,9,FALSE)=VLOOKUP(Table2[[#This Row],[Visitor/Neutral]],division_lookup,9,FALSE),TRUE,FALSE)</f>
        <v>0</v>
      </c>
      <c r="AC649" s="19" t="str">
        <f>VLOOKUP(Table2[[#This Row],[Home/Neutral]],division_lookup,9,FALSE)</f>
        <v>SE</v>
      </c>
      <c r="AD649" s="19"/>
      <c r="AE649" s="19" t="str">
        <f>IF(Table2[[#This Row],[Total EV ®]]&lt;Table2[[#This Row],[Total (V)]],"UNDER","OVER")</f>
        <v>OVER</v>
      </c>
      <c r="AF649" s="30">
        <f>Table2[[#This Row],[(A) Spread]]-Table2[[#This Row],[Spread (V)]]</f>
        <v>0</v>
      </c>
      <c r="AG649" s="19"/>
      <c r="AH649" s="2">
        <f>Table2[[#This Row],[EV]]-Table2[[#This Row],[Spread (V)]]</f>
        <v>-4.3929263455814578</v>
      </c>
      <c r="AI649" s="22">
        <f>Table2[[#This Row],[(A)]]-Table2[[#This Row],[Spread]]</f>
        <v>3.454881516587669</v>
      </c>
      <c r="AJ649" s="1">
        <f>Table2[[#This Row],[(A) Err]]^2</f>
        <v>11.936206293659112</v>
      </c>
      <c r="AK649" s="6">
        <f>Table2[[#This Row],[EV]]-Table2[[#This Row],[Spread]]</f>
        <v>-4.3929263455814578</v>
      </c>
      <c r="AL649" s="1">
        <f>Table2[[#This Row],[EV Err]]^2</f>
        <v>19.297801877703662</v>
      </c>
    </row>
    <row r="650" spans="1:38" x14ac:dyDescent="0.25">
      <c r="A650" t="s">
        <v>128</v>
      </c>
      <c r="B650" t="s">
        <v>39</v>
      </c>
      <c r="C650" t="s">
        <v>32</v>
      </c>
      <c r="K650" s="25">
        <f>(Table2[[#This Row],[Home Pace]]/100)*(VLOOKUP(Table2[[#This Row],[Home/Neutral]],home_lookup,8,FALSE)+VLOOKUP(Table2[[#This Row],[Home/Neutral]],OFR_lookup,2,FALSE)+VLOOKUP(Table2[[#This Row],[Visitor/Neutral]],def_diff_lookup,6,FALSE))</f>
        <v>112.27127211468579</v>
      </c>
      <c r="L650" s="25"/>
      <c r="M650" s="25">
        <f>(Table2[[#This Row],[Away Pace]]/100)*(VLOOKUP(Table2[[#This Row],[Visitor/Neutral]],OFR_lookup,2,FALSE)+VLOOKUP(Table2[[#This Row],[Home/Neutral]],def_diff_lookup,6,FALSE))</f>
        <v>109.93965733333334</v>
      </c>
      <c r="N650" s="25"/>
      <c r="O650" s="25"/>
      <c r="P650">
        <f>VLOOKUP(Table2[[#This Row],[Home/Neutral]],pace_lookup,7,FALSE)</f>
        <v>97.5</v>
      </c>
      <c r="Q650" s="5">
        <f>VLOOKUP(Table2[[#This Row],[Visitor/Neutral]],pace_lookup,7,FALSE)</f>
        <v>98.6</v>
      </c>
      <c r="R650" s="9"/>
      <c r="V650" s="2">
        <f>-home-VLOOKUP(Table2[[#This Row],[Home/Neutral]],rtg_vlookup,4,FALSE)+VLOOKUP(Table2[[#This Row],[Visitor/Neutral]],rtg_vlookup,4,FALSE)</f>
        <v>3.6648815165876689</v>
      </c>
      <c r="W650" s="25"/>
      <c r="X650" s="2"/>
      <c r="Y650" s="2">
        <f>Table2[[#This Row],[Away EV]]-Table2[[#This Row],[Home EV]]</f>
        <v>-2.3316147813524424</v>
      </c>
      <c r="Z650" s="33"/>
      <c r="AA650" s="34"/>
      <c r="AB650" s="5" t="b">
        <f>IF(VLOOKUP(Table2[[#This Row],[Home/Neutral]],division_lookup,9,FALSE)=VLOOKUP(Table2[[#This Row],[Visitor/Neutral]],division_lookup,9,FALSE),TRUE,FALSE)</f>
        <v>0</v>
      </c>
      <c r="AC650" s="19" t="str">
        <f>VLOOKUP(Table2[[#This Row],[Home/Neutral]],division_lookup,9,FALSE)</f>
        <v>A</v>
      </c>
      <c r="AD650" s="19"/>
      <c r="AE650" s="19" t="str">
        <f>IF(Table2[[#This Row],[Total EV ®]]&lt;Table2[[#This Row],[Total (V)]],"UNDER","OVER")</f>
        <v>OVER</v>
      </c>
      <c r="AF650" s="30">
        <f>Table2[[#This Row],[(A) Spread]]-Table2[[#This Row],[Spread (V)]]</f>
        <v>0</v>
      </c>
      <c r="AG650" s="19"/>
      <c r="AH650" s="2">
        <f>Table2[[#This Row],[EV]]-Table2[[#This Row],[Spread (V)]]</f>
        <v>-2.3316147813524424</v>
      </c>
      <c r="AI650" s="22">
        <f>Table2[[#This Row],[(A)]]-Table2[[#This Row],[Spread]]</f>
        <v>3.6648815165876689</v>
      </c>
      <c r="AJ650" s="1">
        <f>Table2[[#This Row],[(A) Err]]^2</f>
        <v>13.431356530625932</v>
      </c>
      <c r="AK650" s="6">
        <f>Table2[[#This Row],[EV]]-Table2[[#This Row],[Spread]]</f>
        <v>-2.3316147813524424</v>
      </c>
      <c r="AL650" s="1">
        <f>Table2[[#This Row],[EV Err]]^2</f>
        <v>5.4364274886211978</v>
      </c>
    </row>
    <row r="651" spans="1:38" x14ac:dyDescent="0.25">
      <c r="A651" t="s">
        <v>129</v>
      </c>
      <c r="B651" t="s">
        <v>11</v>
      </c>
      <c r="C651" t="s">
        <v>39</v>
      </c>
      <c r="K651" s="25">
        <f>(Table2[[#This Row],[Home Pace]]/100)*(VLOOKUP(Table2[[#This Row],[Home/Neutral]],home_lookup,8,FALSE)+VLOOKUP(Table2[[#This Row],[Home/Neutral]],OFR_lookup,2,FALSE)+VLOOKUP(Table2[[#This Row],[Visitor/Neutral]],def_diff_lookup,6,FALSE))</f>
        <v>101.52131904407281</v>
      </c>
      <c r="L651" s="25"/>
      <c r="M651" s="25">
        <f>(Table2[[#This Row],[Away Pace]]/100)*(VLOOKUP(Table2[[#This Row],[Visitor/Neutral]],OFR_lookup,2,FALSE)+VLOOKUP(Table2[[#This Row],[Home/Neutral]],def_diff_lookup,6,FALSE))</f>
        <v>89.954150000000013</v>
      </c>
      <c r="N651" s="25"/>
      <c r="O651" s="25"/>
      <c r="P651">
        <f>VLOOKUP(Table2[[#This Row],[Home/Neutral]],pace_lookup,7,FALSE)</f>
        <v>99.7</v>
      </c>
      <c r="Q651" s="5">
        <f>VLOOKUP(Table2[[#This Row],[Visitor/Neutral]],pace_lookup,7,FALSE)</f>
        <v>97.5</v>
      </c>
      <c r="R651" s="9"/>
      <c r="V651" s="2">
        <f>-home-VLOOKUP(Table2[[#This Row],[Home/Neutral]],rtg_vlookup,4,FALSE)+VLOOKUP(Table2[[#This Row],[Visitor/Neutral]],rtg_vlookup,4,FALSE)</f>
        <v>-18.315118483412331</v>
      </c>
      <c r="W651" s="25"/>
      <c r="X651" s="2"/>
      <c r="Y651" s="2">
        <f>Table2[[#This Row],[Away EV]]-Table2[[#This Row],[Home EV]]</f>
        <v>-11.567169044072799</v>
      </c>
      <c r="Z651" s="33"/>
      <c r="AA651" s="34"/>
      <c r="AB651" s="5" t="b">
        <f>IF(VLOOKUP(Table2[[#This Row],[Home/Neutral]],division_lookup,9,FALSE)=VLOOKUP(Table2[[#This Row],[Visitor/Neutral]],division_lookup,9,FALSE),TRUE,FALSE)</f>
        <v>0</v>
      </c>
      <c r="AC651" s="19" t="str">
        <f>VLOOKUP(Table2[[#This Row],[Home/Neutral]],division_lookup,9,FALSE)</f>
        <v>SE</v>
      </c>
      <c r="AD651" s="19"/>
      <c r="AE651" s="19" t="str">
        <f>IF(Table2[[#This Row],[Total EV ®]]&lt;Table2[[#This Row],[Total (V)]],"UNDER","OVER")</f>
        <v>OVER</v>
      </c>
      <c r="AF651" s="30">
        <f>Table2[[#This Row],[(A) Spread]]-Table2[[#This Row],[Spread (V)]]</f>
        <v>0</v>
      </c>
      <c r="AG651" s="19"/>
      <c r="AH651" s="2">
        <f>Table2[[#This Row],[EV]]-Table2[[#This Row],[Spread (V)]]</f>
        <v>-11.567169044072799</v>
      </c>
      <c r="AI651" s="22">
        <f>Table2[[#This Row],[(A)]]-Table2[[#This Row],[Spread]]</f>
        <v>-18.315118483412331</v>
      </c>
      <c r="AJ651" s="1">
        <f>Table2[[#This Row],[(A) Err]]^2</f>
        <v>335.44356506143197</v>
      </c>
      <c r="AK651" s="6">
        <f>Table2[[#This Row],[EV]]-Table2[[#This Row],[Spread]]</f>
        <v>-11.567169044072799</v>
      </c>
      <c r="AL651" s="1">
        <f>Table2[[#This Row],[EV Err]]^2</f>
        <v>133.79939969415602</v>
      </c>
    </row>
    <row r="652" spans="1:38" x14ac:dyDescent="0.25">
      <c r="A652" t="s">
        <v>129</v>
      </c>
      <c r="B652" t="s">
        <v>26</v>
      </c>
      <c r="C652" t="s">
        <v>32</v>
      </c>
      <c r="K652" s="25">
        <f>(Table2[[#This Row],[Home Pace]]/100)*(VLOOKUP(Table2[[#This Row],[Home/Neutral]],home_lookup,8,FALSE)+VLOOKUP(Table2[[#This Row],[Home/Neutral]],OFR_lookup,2,FALSE)+VLOOKUP(Table2[[#This Row],[Visitor/Neutral]],def_diff_lookup,6,FALSE))</f>
        <v>111.70896358918159</v>
      </c>
      <c r="L652" s="25"/>
      <c r="M652" s="25">
        <f>(Table2[[#This Row],[Away Pace]]/100)*(VLOOKUP(Table2[[#This Row],[Visitor/Neutral]],OFR_lookup,2,FALSE)+VLOOKUP(Table2[[#This Row],[Home/Neutral]],def_diff_lookup,6,FALSE))</f>
        <v>108.68743733333335</v>
      </c>
      <c r="N652" s="25"/>
      <c r="O652" s="25"/>
      <c r="P652">
        <f>VLOOKUP(Table2[[#This Row],[Home/Neutral]],pace_lookup,7,FALSE)</f>
        <v>96</v>
      </c>
      <c r="Q652" s="5">
        <f>VLOOKUP(Table2[[#This Row],[Visitor/Neutral]],pace_lookup,7,FALSE)</f>
        <v>98.6</v>
      </c>
      <c r="R652" s="9"/>
      <c r="V652" s="2">
        <f>-home-VLOOKUP(Table2[[#This Row],[Home/Neutral]],rtg_vlookup,4,FALSE)+VLOOKUP(Table2[[#This Row],[Visitor/Neutral]],rtg_vlookup,4,FALSE)</f>
        <v>-5.3851184834123309</v>
      </c>
      <c r="W652" s="25"/>
      <c r="X652" s="2"/>
      <c r="Y652" s="2">
        <f>Table2[[#This Row],[Away EV]]-Table2[[#This Row],[Home EV]]</f>
        <v>-3.0215262558482436</v>
      </c>
      <c r="Z652" s="33"/>
      <c r="AA652" s="34"/>
      <c r="AB652" s="5" t="b">
        <f>IF(VLOOKUP(Table2[[#This Row],[Home/Neutral]],division_lookup,9,FALSE)=VLOOKUP(Table2[[#This Row],[Visitor/Neutral]],division_lookup,9,FALSE),TRUE,FALSE)</f>
        <v>0</v>
      </c>
      <c r="AC652" s="19" t="str">
        <f>VLOOKUP(Table2[[#This Row],[Home/Neutral]],division_lookup,9,FALSE)</f>
        <v>A</v>
      </c>
      <c r="AD652" s="19"/>
      <c r="AE652" s="19" t="str">
        <f>IF(Table2[[#This Row],[Total EV ®]]&lt;Table2[[#This Row],[Total (V)]],"UNDER","OVER")</f>
        <v>OVER</v>
      </c>
      <c r="AF652" s="30">
        <f>Table2[[#This Row],[(A) Spread]]-Table2[[#This Row],[Spread (V)]]</f>
        <v>0</v>
      </c>
      <c r="AG652" s="19"/>
      <c r="AH652" s="2">
        <f>Table2[[#This Row],[EV]]-Table2[[#This Row],[Spread (V)]]</f>
        <v>-3.0215262558482436</v>
      </c>
      <c r="AI652" s="22">
        <f>Table2[[#This Row],[(A)]]-Table2[[#This Row],[Spread]]</f>
        <v>-5.3851184834123309</v>
      </c>
      <c r="AJ652" s="1">
        <f>Table2[[#This Row],[(A) Err]]^2</f>
        <v>28.999501080389123</v>
      </c>
      <c r="AK652" s="6">
        <f>Table2[[#This Row],[EV]]-Table2[[#This Row],[Spread]]</f>
        <v>-3.0215262558482436</v>
      </c>
      <c r="AL652" s="1">
        <f>Table2[[#This Row],[EV Err]]^2</f>
        <v>9.1296209147803058</v>
      </c>
    </row>
    <row r="653" spans="1:38" x14ac:dyDescent="0.25">
      <c r="A653" t="s">
        <v>129</v>
      </c>
      <c r="B653" t="s">
        <v>13</v>
      </c>
      <c r="C653" t="s">
        <v>29</v>
      </c>
      <c r="K653" s="25">
        <f>(Table2[[#This Row],[Home Pace]]/100)*(VLOOKUP(Table2[[#This Row],[Home/Neutral]],home_lookup,8,FALSE)+VLOOKUP(Table2[[#This Row],[Home/Neutral]],OFR_lookup,2,FALSE)+VLOOKUP(Table2[[#This Row],[Visitor/Neutral]],def_diff_lookup,6,FALSE))</f>
        <v>108.529541084504</v>
      </c>
      <c r="L653" s="25"/>
      <c r="M653" s="25">
        <f>(Table2[[#This Row],[Away Pace]]/100)*(VLOOKUP(Table2[[#This Row],[Visitor/Neutral]],OFR_lookup,2,FALSE)+VLOOKUP(Table2[[#This Row],[Home/Neutral]],def_diff_lookup,6,FALSE))</f>
        <v>100.04770533333334</v>
      </c>
      <c r="N653" s="25"/>
      <c r="O653" s="25"/>
      <c r="P653">
        <f>VLOOKUP(Table2[[#This Row],[Home/Neutral]],pace_lookup,7,FALSE)</f>
        <v>94.5</v>
      </c>
      <c r="Q653" s="5">
        <f>VLOOKUP(Table2[[#This Row],[Visitor/Neutral]],pace_lookup,7,FALSE)</f>
        <v>93.8</v>
      </c>
      <c r="R653" s="9"/>
      <c r="V653" s="2">
        <f>-home-VLOOKUP(Table2[[#This Row],[Home/Neutral]],rtg_vlookup,4,FALSE)+VLOOKUP(Table2[[#This Row],[Visitor/Neutral]],rtg_vlookup,4,FALSE)</f>
        <v>-10.65511848341233</v>
      </c>
      <c r="W653" s="25"/>
      <c r="X653" s="2"/>
      <c r="Y653" s="2">
        <f>Table2[[#This Row],[Away EV]]-Table2[[#This Row],[Home EV]]</f>
        <v>-8.4818357511706637</v>
      </c>
      <c r="Z653" s="33"/>
      <c r="AA653" s="34"/>
      <c r="AB653" s="5" t="b">
        <f>IF(VLOOKUP(Table2[[#This Row],[Home/Neutral]],division_lookup,9,FALSE)=VLOOKUP(Table2[[#This Row],[Visitor/Neutral]],division_lookup,9,FALSE),TRUE,FALSE)</f>
        <v>0</v>
      </c>
      <c r="AC653" s="19" t="str">
        <f>VLOOKUP(Table2[[#This Row],[Home/Neutral]],division_lookup,9,FALSE)</f>
        <v>C</v>
      </c>
      <c r="AD653" s="19"/>
      <c r="AE653" s="19" t="str">
        <f>IF(Table2[[#This Row],[Total EV ®]]&lt;Table2[[#This Row],[Total (V)]],"UNDER","OVER")</f>
        <v>OVER</v>
      </c>
      <c r="AF653" s="30">
        <f>Table2[[#This Row],[(A) Spread]]-Table2[[#This Row],[Spread (V)]]</f>
        <v>0</v>
      </c>
      <c r="AG653" s="19"/>
      <c r="AH653" s="2">
        <f>Table2[[#This Row],[EV]]-Table2[[#This Row],[Spread (V)]]</f>
        <v>-8.4818357511706637</v>
      </c>
      <c r="AI653" s="22">
        <f>Table2[[#This Row],[(A)]]-Table2[[#This Row],[Spread]]</f>
        <v>-10.65511848341233</v>
      </c>
      <c r="AJ653" s="1">
        <f>Table2[[#This Row],[(A) Err]]^2</f>
        <v>113.53154989555509</v>
      </c>
      <c r="AK653" s="6">
        <f>Table2[[#This Row],[EV]]-Table2[[#This Row],[Spread]]</f>
        <v>-8.4818357511706637</v>
      </c>
      <c r="AL653" s="1">
        <f>Table2[[#This Row],[EV Err]]^2</f>
        <v>71.941537709836823</v>
      </c>
    </row>
    <row r="654" spans="1:38" x14ac:dyDescent="0.25">
      <c r="A654" t="s">
        <v>129</v>
      </c>
      <c r="B654" t="s">
        <v>16</v>
      </c>
      <c r="C654" t="s">
        <v>35</v>
      </c>
      <c r="K654" s="25">
        <f>(Table2[[#This Row],[Home Pace]]/100)*(VLOOKUP(Table2[[#This Row],[Home/Neutral]],home_lookup,8,FALSE)+VLOOKUP(Table2[[#This Row],[Home/Neutral]],OFR_lookup,2,FALSE)+VLOOKUP(Table2[[#This Row],[Visitor/Neutral]],def_diff_lookup,6,FALSE))</f>
        <v>107.1948560111595</v>
      </c>
      <c r="L654" s="25"/>
      <c r="M654" s="25">
        <f>(Table2[[#This Row],[Away Pace]]/100)*(VLOOKUP(Table2[[#This Row],[Visitor/Neutral]],OFR_lookup,2,FALSE)+VLOOKUP(Table2[[#This Row],[Home/Neutral]],def_diff_lookup,6,FALSE))</f>
        <v>104.04028133333335</v>
      </c>
      <c r="N654" s="25"/>
      <c r="O654" s="25"/>
      <c r="P654">
        <f>VLOOKUP(Table2[[#This Row],[Home/Neutral]],pace_lookup,7,FALSE)</f>
        <v>97.5</v>
      </c>
      <c r="Q654" s="5">
        <f>VLOOKUP(Table2[[#This Row],[Visitor/Neutral]],pace_lookup,7,FALSE)</f>
        <v>102.2</v>
      </c>
      <c r="R654" s="9"/>
      <c r="V654" s="2">
        <f>-home-VLOOKUP(Table2[[#This Row],[Home/Neutral]],rtg_vlookup,4,FALSE)+VLOOKUP(Table2[[#This Row],[Visitor/Neutral]],rtg_vlookup,4,FALSE)</f>
        <v>-11.65511848341233</v>
      </c>
      <c r="W654" s="25"/>
      <c r="X654" s="2"/>
      <c r="Y654" s="2">
        <f>Table2[[#This Row],[Away EV]]-Table2[[#This Row],[Home EV]]</f>
        <v>-3.1545746778261474</v>
      </c>
      <c r="Z654" s="33"/>
      <c r="AA654" s="34"/>
      <c r="AB654" s="5" t="b">
        <f>IF(VLOOKUP(Table2[[#This Row],[Home/Neutral]],division_lookup,9,FALSE)=VLOOKUP(Table2[[#This Row],[Visitor/Neutral]],division_lookup,9,FALSE),TRUE,FALSE)</f>
        <v>0</v>
      </c>
      <c r="AC654" s="19" t="str">
        <f>VLOOKUP(Table2[[#This Row],[Home/Neutral]],division_lookup,9,FALSE)</f>
        <v>SE</v>
      </c>
      <c r="AD654" s="19"/>
      <c r="AE654" s="19" t="str">
        <f>IF(Table2[[#This Row],[Total EV ®]]&lt;Table2[[#This Row],[Total (V)]],"UNDER","OVER")</f>
        <v>OVER</v>
      </c>
      <c r="AF654" s="30">
        <f>Table2[[#This Row],[(A) Spread]]-Table2[[#This Row],[Spread (V)]]</f>
        <v>0</v>
      </c>
      <c r="AG654" s="19"/>
      <c r="AH654" s="2">
        <f>Table2[[#This Row],[EV]]-Table2[[#This Row],[Spread (V)]]</f>
        <v>-3.1545746778261474</v>
      </c>
      <c r="AI654" s="22">
        <f>Table2[[#This Row],[(A)]]-Table2[[#This Row],[Spread]]</f>
        <v>-11.65511848341233</v>
      </c>
      <c r="AJ654" s="1">
        <f>Table2[[#This Row],[(A) Err]]^2</f>
        <v>135.84178686237973</v>
      </c>
      <c r="AK654" s="6">
        <f>Table2[[#This Row],[EV]]-Table2[[#This Row],[Spread]]</f>
        <v>-3.1545746778261474</v>
      </c>
      <c r="AL654" s="1">
        <f>Table2[[#This Row],[EV Err]]^2</f>
        <v>9.9513413979819418</v>
      </c>
    </row>
    <row r="655" spans="1:38" x14ac:dyDescent="0.25">
      <c r="A655" t="s">
        <v>129</v>
      </c>
      <c r="B655" t="s">
        <v>8</v>
      </c>
      <c r="C655" t="s">
        <v>6</v>
      </c>
      <c r="K655" s="25">
        <f>(Table2[[#This Row],[Home Pace]]/100)*(VLOOKUP(Table2[[#This Row],[Home/Neutral]],home_lookup,8,FALSE)+VLOOKUP(Table2[[#This Row],[Home/Neutral]],OFR_lookup,2,FALSE)+VLOOKUP(Table2[[#This Row],[Visitor/Neutral]],def_diff_lookup,6,FALSE))</f>
        <v>102.55110036898181</v>
      </c>
      <c r="L655" s="25"/>
      <c r="M655" s="25">
        <f>(Table2[[#This Row],[Away Pace]]/100)*(VLOOKUP(Table2[[#This Row],[Visitor/Neutral]],OFR_lookup,2,FALSE)+VLOOKUP(Table2[[#This Row],[Home/Neutral]],def_diff_lookup,6,FALSE))</f>
        <v>101.51686066666667</v>
      </c>
      <c r="N655" s="25"/>
      <c r="O655" s="25"/>
      <c r="P655">
        <f>VLOOKUP(Table2[[#This Row],[Home/Neutral]],pace_lookup,7,FALSE)</f>
        <v>97.2</v>
      </c>
      <c r="Q655" s="5">
        <f>VLOOKUP(Table2[[#This Row],[Visitor/Neutral]],pace_lookup,7,FALSE)</f>
        <v>93.1</v>
      </c>
      <c r="R655" s="9"/>
      <c r="V655" s="2">
        <f>-home-VLOOKUP(Table2[[#This Row],[Home/Neutral]],rtg_vlookup,4,FALSE)+VLOOKUP(Table2[[#This Row],[Visitor/Neutral]],rtg_vlookup,4,FALSE)</f>
        <v>-2.5851184834123302</v>
      </c>
      <c r="W655" s="25"/>
      <c r="X655" s="2"/>
      <c r="Y655" s="2">
        <f>Table2[[#This Row],[Away EV]]-Table2[[#This Row],[Home EV]]</f>
        <v>-1.0342397023151335</v>
      </c>
      <c r="Z655" s="33"/>
      <c r="AA655" s="34"/>
      <c r="AB655" s="5" t="b">
        <f>IF(VLOOKUP(Table2[[#This Row],[Home/Neutral]],division_lookup,9,FALSE)=VLOOKUP(Table2[[#This Row],[Visitor/Neutral]],division_lookup,9,FALSE),TRUE,FALSE)</f>
        <v>0</v>
      </c>
      <c r="AC655" s="19" t="str">
        <f>VLOOKUP(Table2[[#This Row],[Home/Neutral]],division_lookup,9,FALSE)</f>
        <v>C</v>
      </c>
      <c r="AD655" s="19"/>
      <c r="AE655" s="19" t="str">
        <f>IF(Table2[[#This Row],[Total EV ®]]&lt;Table2[[#This Row],[Total (V)]],"UNDER","OVER")</f>
        <v>OVER</v>
      </c>
      <c r="AF655" s="30">
        <f>Table2[[#This Row],[(A) Spread]]-Table2[[#This Row],[Spread (V)]]</f>
        <v>0</v>
      </c>
      <c r="AG655" s="19"/>
      <c r="AH655" s="2">
        <f>Table2[[#This Row],[EV]]-Table2[[#This Row],[Spread (V)]]</f>
        <v>-1.0342397023151335</v>
      </c>
      <c r="AI655" s="22">
        <f>Table2[[#This Row],[(A)]]-Table2[[#This Row],[Spread]]</f>
        <v>-2.5851184834123302</v>
      </c>
      <c r="AJ655" s="1">
        <f>Table2[[#This Row],[(A) Err]]^2</f>
        <v>6.6828375732800662</v>
      </c>
      <c r="AK655" s="6">
        <f>Table2[[#This Row],[EV]]-Table2[[#This Row],[Spread]]</f>
        <v>-1.0342397023151335</v>
      </c>
      <c r="AL655" s="1">
        <f>Table2[[#This Row],[EV Err]]^2</f>
        <v>1.069651761844896</v>
      </c>
    </row>
    <row r="656" spans="1:38" x14ac:dyDescent="0.25">
      <c r="A656" t="s">
        <v>129</v>
      </c>
      <c r="B656" t="s">
        <v>27</v>
      </c>
      <c r="C656" t="s">
        <v>4</v>
      </c>
      <c r="K656" s="25">
        <f>(Table2[[#This Row],[Home Pace]]/100)*(VLOOKUP(Table2[[#This Row],[Home/Neutral]],home_lookup,8,FALSE)+VLOOKUP(Table2[[#This Row],[Home/Neutral]],OFR_lookup,2,FALSE)+VLOOKUP(Table2[[#This Row],[Visitor/Neutral]],def_diff_lookup,6,FALSE))</f>
        <v>98.526156426472568</v>
      </c>
      <c r="L656" s="25"/>
      <c r="M656" s="25">
        <f>(Table2[[#This Row],[Away Pace]]/100)*(VLOOKUP(Table2[[#This Row],[Visitor/Neutral]],OFR_lookup,2,FALSE)+VLOOKUP(Table2[[#This Row],[Home/Neutral]],def_diff_lookup,6,FALSE))</f>
        <v>110.549684</v>
      </c>
      <c r="N656" s="25"/>
      <c r="O656" s="25"/>
      <c r="P656">
        <f>VLOOKUP(Table2[[#This Row],[Home/Neutral]],pace_lookup,7,FALSE)</f>
        <v>99</v>
      </c>
      <c r="Q656" s="5">
        <f>VLOOKUP(Table2[[#This Row],[Visitor/Neutral]],pace_lookup,7,FALSE)</f>
        <v>96.6</v>
      </c>
      <c r="R656" s="9"/>
      <c r="V656" s="2">
        <f>-home-VLOOKUP(Table2[[#This Row],[Home/Neutral]],rtg_vlookup,4,FALSE)+VLOOKUP(Table2[[#This Row],[Visitor/Neutral]],rtg_vlookup,4,FALSE)</f>
        <v>12.50488151658767</v>
      </c>
      <c r="W656" s="25"/>
      <c r="X656" s="2"/>
      <c r="Y656" s="2">
        <f>Table2[[#This Row],[Away EV]]-Table2[[#This Row],[Home EV]]</f>
        <v>12.023527573527431</v>
      </c>
      <c r="Z656" s="33"/>
      <c r="AA656" s="34"/>
      <c r="AB656" s="5" t="b">
        <f>IF(VLOOKUP(Table2[[#This Row],[Home/Neutral]],division_lookup,9,FALSE)=VLOOKUP(Table2[[#This Row],[Visitor/Neutral]],division_lookup,9,FALSE),TRUE,FALSE)</f>
        <v>0</v>
      </c>
      <c r="AC656" s="19" t="str">
        <f>VLOOKUP(Table2[[#This Row],[Home/Neutral]],division_lookup,9,FALSE)</f>
        <v>NW</v>
      </c>
      <c r="AD656" s="19"/>
      <c r="AE656" s="19" t="str">
        <f>IF(Table2[[#This Row],[Total EV ®]]&lt;Table2[[#This Row],[Total (V)]],"UNDER","OVER")</f>
        <v>OVER</v>
      </c>
      <c r="AF656" s="30">
        <f>Table2[[#This Row],[(A) Spread]]-Table2[[#This Row],[Spread (V)]]</f>
        <v>0</v>
      </c>
      <c r="AG656" s="19"/>
      <c r="AH656" s="2">
        <f>Table2[[#This Row],[EV]]-Table2[[#This Row],[Spread (V)]]</f>
        <v>12.023527573527431</v>
      </c>
      <c r="AI656" s="22">
        <f>Table2[[#This Row],[(A)]]-Table2[[#This Row],[Spread]]</f>
        <v>12.50488151658767</v>
      </c>
      <c r="AJ656" s="1">
        <f>Table2[[#This Row],[(A) Err]]^2</f>
        <v>156.37206174389593</v>
      </c>
      <c r="AK656" s="6">
        <f>Table2[[#This Row],[EV]]-Table2[[#This Row],[Spread]]</f>
        <v>12.023527573527431</v>
      </c>
      <c r="AL656" s="1">
        <f>Table2[[#This Row],[EV Err]]^2</f>
        <v>144.56521531137443</v>
      </c>
    </row>
    <row r="657" spans="1:38" x14ac:dyDescent="0.25">
      <c r="A657" t="s">
        <v>129</v>
      </c>
      <c r="B657" t="s">
        <v>25</v>
      </c>
      <c r="C657" t="s">
        <v>28</v>
      </c>
      <c r="K657" s="25">
        <f>(Table2[[#This Row],[Home Pace]]/100)*(VLOOKUP(Table2[[#This Row],[Home/Neutral]],home_lookup,8,FALSE)+VLOOKUP(Table2[[#This Row],[Home/Neutral]],OFR_lookup,2,FALSE)+VLOOKUP(Table2[[#This Row],[Visitor/Neutral]],def_diff_lookup,6,FALSE))</f>
        <v>106.08526444427257</v>
      </c>
      <c r="L657" s="25"/>
      <c r="M657" s="25">
        <f>(Table2[[#This Row],[Away Pace]]/100)*(VLOOKUP(Table2[[#This Row],[Visitor/Neutral]],OFR_lookup,2,FALSE)+VLOOKUP(Table2[[#This Row],[Home/Neutral]],def_diff_lookup,6,FALSE))</f>
        <v>99.854112000000001</v>
      </c>
      <c r="N657" s="25"/>
      <c r="O657" s="25"/>
      <c r="P657">
        <f>VLOOKUP(Table2[[#This Row],[Home/Neutral]],pace_lookup,7,FALSE)</f>
        <v>94.4</v>
      </c>
      <c r="Q657" s="5">
        <f>VLOOKUP(Table2[[#This Row],[Visitor/Neutral]],pace_lookup,7,FALSE)</f>
        <v>96.3</v>
      </c>
      <c r="R657" s="9"/>
      <c r="V657" s="2">
        <f>-home-VLOOKUP(Table2[[#This Row],[Home/Neutral]],rtg_vlookup,4,FALSE)+VLOOKUP(Table2[[#This Row],[Visitor/Neutral]],rtg_vlookup,4,FALSE)</f>
        <v>-4.6251184834123311</v>
      </c>
      <c r="W657" s="25"/>
      <c r="X657" s="2"/>
      <c r="Y657" s="2">
        <f>Table2[[#This Row],[Away EV]]-Table2[[#This Row],[Home EV]]</f>
        <v>-6.231152444272567</v>
      </c>
      <c r="Z657" s="33"/>
      <c r="AA657" s="34"/>
      <c r="AB657" s="5" t="b">
        <f>IF(VLOOKUP(Table2[[#This Row],[Home/Neutral]],division_lookup,9,FALSE)=VLOOKUP(Table2[[#This Row],[Visitor/Neutral]],division_lookup,9,FALSE),TRUE,FALSE)</f>
        <v>0</v>
      </c>
      <c r="AC657" s="19" t="str">
        <f>VLOOKUP(Table2[[#This Row],[Home/Neutral]],division_lookup,9,FALSE)</f>
        <v>C</v>
      </c>
      <c r="AD657" s="19"/>
      <c r="AE657" s="19" t="str">
        <f>IF(Table2[[#This Row],[Total EV ®]]&lt;Table2[[#This Row],[Total (V)]],"UNDER","OVER")</f>
        <v>OVER</v>
      </c>
      <c r="AF657" s="30">
        <f>Table2[[#This Row],[(A) Spread]]-Table2[[#This Row],[Spread (V)]]</f>
        <v>0</v>
      </c>
      <c r="AG657" s="19"/>
      <c r="AH657" s="2">
        <f>Table2[[#This Row],[EV]]-Table2[[#This Row],[Spread (V)]]</f>
        <v>-6.231152444272567</v>
      </c>
      <c r="AI657" s="22">
        <f>Table2[[#This Row],[(A)]]-Table2[[#This Row],[Spread]]</f>
        <v>-4.6251184834123311</v>
      </c>
      <c r="AJ657" s="1">
        <f>Table2[[#This Row],[(A) Err]]^2</f>
        <v>21.391720985602383</v>
      </c>
      <c r="AK657" s="6">
        <f>Table2[[#This Row],[EV]]-Table2[[#This Row],[Spread]]</f>
        <v>-6.231152444272567</v>
      </c>
      <c r="AL657" s="1">
        <f>Table2[[#This Row],[EV Err]]^2</f>
        <v>38.827260783763982</v>
      </c>
    </row>
    <row r="658" spans="1:38" x14ac:dyDescent="0.25">
      <c r="A658" t="s">
        <v>129</v>
      </c>
      <c r="B658" t="s">
        <v>23</v>
      </c>
      <c r="C658" t="s">
        <v>17</v>
      </c>
      <c r="K658" s="25">
        <f>(Table2[[#This Row],[Home Pace]]/100)*(VLOOKUP(Table2[[#This Row],[Home/Neutral]],home_lookup,8,FALSE)+VLOOKUP(Table2[[#This Row],[Home/Neutral]],OFR_lookup,2,FALSE)+VLOOKUP(Table2[[#This Row],[Visitor/Neutral]],def_diff_lookup,6,FALSE))</f>
        <v>104.9683873587136</v>
      </c>
      <c r="L658" s="25"/>
      <c r="M658" s="25">
        <f>(Table2[[#This Row],[Away Pace]]/100)*(VLOOKUP(Table2[[#This Row],[Visitor/Neutral]],OFR_lookup,2,FALSE)+VLOOKUP(Table2[[#This Row],[Home/Neutral]],def_diff_lookup,6,FALSE))</f>
        <v>105.83879466666669</v>
      </c>
      <c r="N658" s="25"/>
      <c r="O658" s="25"/>
      <c r="P658">
        <f>VLOOKUP(Table2[[#This Row],[Home/Neutral]],pace_lookup,7,FALSE)</f>
        <v>92.5</v>
      </c>
      <c r="Q658" s="5">
        <f>VLOOKUP(Table2[[#This Row],[Visitor/Neutral]],pace_lookup,7,FALSE)</f>
        <v>96.7</v>
      </c>
      <c r="R658" s="9"/>
      <c r="V658" s="2">
        <f>-home-VLOOKUP(Table2[[#This Row],[Home/Neutral]],rtg_vlookup,4,FALSE)+VLOOKUP(Table2[[#This Row],[Visitor/Neutral]],rtg_vlookup,4,FALSE)</f>
        <v>-0.8851184834123309</v>
      </c>
      <c r="W658" s="25"/>
      <c r="X658" s="2"/>
      <c r="Y658" s="2">
        <f>Table2[[#This Row],[Away EV]]-Table2[[#This Row],[Home EV]]</f>
        <v>0.87040730795308718</v>
      </c>
      <c r="Z658" s="33"/>
      <c r="AA658" s="34"/>
      <c r="AB658" s="5" t="b">
        <f>IF(VLOOKUP(Table2[[#This Row],[Home/Neutral]],division_lookup,9,FALSE)=VLOOKUP(Table2[[#This Row],[Visitor/Neutral]],division_lookup,9,FALSE),TRUE,FALSE)</f>
        <v>1</v>
      </c>
      <c r="AC658" s="19" t="str">
        <f>VLOOKUP(Table2[[#This Row],[Home/Neutral]],division_lookup,9,FALSE)</f>
        <v>SW</v>
      </c>
      <c r="AD658" s="19"/>
      <c r="AE658" s="19" t="str">
        <f>IF(Table2[[#This Row],[Total EV ®]]&lt;Table2[[#This Row],[Total (V)]],"UNDER","OVER")</f>
        <v>OVER</v>
      </c>
      <c r="AF658" s="30">
        <f>Table2[[#This Row],[(A) Spread]]-Table2[[#This Row],[Spread (V)]]</f>
        <v>0</v>
      </c>
      <c r="AG658" s="19"/>
      <c r="AH658" s="2">
        <f>Table2[[#This Row],[EV]]-Table2[[#This Row],[Spread (V)]]</f>
        <v>0.87040730795308718</v>
      </c>
      <c r="AI658" s="22">
        <f>Table2[[#This Row],[(A)]]-Table2[[#This Row],[Spread]]</f>
        <v>-0.8851184834123309</v>
      </c>
      <c r="AJ658" s="1">
        <f>Table2[[#This Row],[(A) Err]]^2</f>
        <v>0.78343472967814465</v>
      </c>
      <c r="AK658" s="6">
        <f>Table2[[#This Row],[EV]]-Table2[[#This Row],[Spread]]</f>
        <v>0.87040730795308718</v>
      </c>
      <c r="AL658" s="1">
        <f>Table2[[#This Row],[EV Err]]^2</f>
        <v>0.75760888173814034</v>
      </c>
    </row>
    <row r="659" spans="1:38" x14ac:dyDescent="0.25">
      <c r="A659" t="s">
        <v>129</v>
      </c>
      <c r="B659" t="s">
        <v>21</v>
      </c>
      <c r="C659" t="s">
        <v>30</v>
      </c>
      <c r="K659" s="25">
        <f>(Table2[[#This Row],[Home Pace]]/100)*(VLOOKUP(Table2[[#This Row],[Home/Neutral]],home_lookup,8,FALSE)+VLOOKUP(Table2[[#This Row],[Home/Neutral]],OFR_lookup,2,FALSE)+VLOOKUP(Table2[[#This Row],[Visitor/Neutral]],def_diff_lookup,6,FALSE))</f>
        <v>103.2966711752439</v>
      </c>
      <c r="L659" s="25"/>
      <c r="M659" s="25">
        <f>(Table2[[#This Row],[Away Pace]]/100)*(VLOOKUP(Table2[[#This Row],[Visitor/Neutral]],OFR_lookup,2,FALSE)+VLOOKUP(Table2[[#This Row],[Home/Neutral]],def_diff_lookup,6,FALSE))</f>
        <v>98.697925333333345</v>
      </c>
      <c r="N659" s="25"/>
      <c r="O659" s="25"/>
      <c r="P659">
        <f>VLOOKUP(Table2[[#This Row],[Home/Neutral]],pace_lookup,7,FALSE)</f>
        <v>94.2</v>
      </c>
      <c r="Q659" s="5">
        <f>VLOOKUP(Table2[[#This Row],[Visitor/Neutral]],pace_lookup,7,FALSE)</f>
        <v>96.8</v>
      </c>
      <c r="R659" s="9"/>
      <c r="V659" s="2">
        <f>-home-VLOOKUP(Table2[[#This Row],[Home/Neutral]],rtg_vlookup,4,FALSE)+VLOOKUP(Table2[[#This Row],[Visitor/Neutral]],rtg_vlookup,4,FALSE)</f>
        <v>-5.1451184834123307</v>
      </c>
      <c r="W659" s="25"/>
      <c r="X659" s="2"/>
      <c r="Y659" s="2">
        <f>Table2[[#This Row],[Away EV]]-Table2[[#This Row],[Home EV]]</f>
        <v>-4.5987458419105565</v>
      </c>
      <c r="Z659" s="33"/>
      <c r="AA659" s="34"/>
      <c r="AB659" s="5" t="b">
        <f>IF(VLOOKUP(Table2[[#This Row],[Home/Neutral]],division_lookup,9,FALSE)=VLOOKUP(Table2[[#This Row],[Visitor/Neutral]],division_lookup,9,FALSE),TRUE,FALSE)</f>
        <v>0</v>
      </c>
      <c r="AC659" s="19" t="str">
        <f>VLOOKUP(Table2[[#This Row],[Home/Neutral]],division_lookup,9,FALSE)</f>
        <v>SE</v>
      </c>
      <c r="AD659" s="19"/>
      <c r="AE659" s="19" t="str">
        <f>IF(Table2[[#This Row],[Total EV ®]]&lt;Table2[[#This Row],[Total (V)]],"UNDER","OVER")</f>
        <v>OVER</v>
      </c>
      <c r="AF659" s="30">
        <f>Table2[[#This Row],[(A) Spread]]-Table2[[#This Row],[Spread (V)]]</f>
        <v>0</v>
      </c>
      <c r="AG659" s="19"/>
      <c r="AH659" s="2">
        <f>Table2[[#This Row],[EV]]-Table2[[#This Row],[Spread (V)]]</f>
        <v>-4.5987458419105565</v>
      </c>
      <c r="AI659" s="22">
        <f>Table2[[#This Row],[(A)]]-Table2[[#This Row],[Spread]]</f>
        <v>-5.1451184834123307</v>
      </c>
      <c r="AJ659" s="1">
        <f>Table2[[#This Row],[(A) Err]]^2</f>
        <v>26.472244208351203</v>
      </c>
      <c r="AK659" s="6">
        <f>Table2[[#This Row],[EV]]-Table2[[#This Row],[Spread]]</f>
        <v>-4.5987458419105565</v>
      </c>
      <c r="AL659" s="1">
        <f>Table2[[#This Row],[EV Err]]^2</f>
        <v>21.148463318489632</v>
      </c>
    </row>
    <row r="660" spans="1:38" x14ac:dyDescent="0.25">
      <c r="A660" t="s">
        <v>129</v>
      </c>
      <c r="B660" t="s">
        <v>31</v>
      </c>
      <c r="C660" t="s">
        <v>36</v>
      </c>
      <c r="K660" s="25">
        <f>(Table2[[#This Row],[Home Pace]]/100)*(VLOOKUP(Table2[[#This Row],[Home/Neutral]],home_lookup,8,FALSE)+VLOOKUP(Table2[[#This Row],[Home/Neutral]],OFR_lookup,2,FALSE)+VLOOKUP(Table2[[#This Row],[Visitor/Neutral]],def_diff_lookup,6,FALSE))</f>
        <v>113.0877743021789</v>
      </c>
      <c r="L660" s="25"/>
      <c r="M660" s="25">
        <f>(Table2[[#This Row],[Away Pace]]/100)*(VLOOKUP(Table2[[#This Row],[Visitor/Neutral]],OFR_lookup,2,FALSE)+VLOOKUP(Table2[[#This Row],[Home/Neutral]],def_diff_lookup,6,FALSE))</f>
        <v>110.04964133333335</v>
      </c>
      <c r="N660" s="25"/>
      <c r="O660" s="25"/>
      <c r="P660">
        <f>VLOOKUP(Table2[[#This Row],[Home/Neutral]],pace_lookup,7,FALSE)</f>
        <v>96</v>
      </c>
      <c r="Q660" s="5">
        <f>VLOOKUP(Table2[[#This Row],[Visitor/Neutral]],pace_lookup,7,FALSE)</f>
        <v>102.2</v>
      </c>
      <c r="R660" s="9"/>
      <c r="V660" s="2">
        <f>-home-VLOOKUP(Table2[[#This Row],[Home/Neutral]],rtg_vlookup,4,FALSE)+VLOOKUP(Table2[[#This Row],[Visitor/Neutral]],rtg_vlookup,4,FALSE)</f>
        <v>-6.6851184834123307</v>
      </c>
      <c r="W660" s="25"/>
      <c r="X660" s="2"/>
      <c r="Y660" s="2">
        <f>Table2[[#This Row],[Away EV]]-Table2[[#This Row],[Home EV]]</f>
        <v>-3.0381329688455452</v>
      </c>
      <c r="Z660" s="33"/>
      <c r="AA660" s="34"/>
      <c r="AB660" s="5" t="b">
        <f>IF(VLOOKUP(Table2[[#This Row],[Home/Neutral]],division_lookup,9,FALSE)=VLOOKUP(Table2[[#This Row],[Visitor/Neutral]],division_lookup,9,FALSE),TRUE,FALSE)</f>
        <v>0</v>
      </c>
      <c r="AC660" s="19" t="str">
        <f>VLOOKUP(Table2[[#This Row],[Home/Neutral]],division_lookup,9,FALSE)</f>
        <v>A</v>
      </c>
      <c r="AD660" s="19"/>
      <c r="AE660" s="19" t="str">
        <f>IF(Table2[[#This Row],[Total EV ®]]&lt;Table2[[#This Row],[Total (V)]],"UNDER","OVER")</f>
        <v>OVER</v>
      </c>
      <c r="AF660" s="30">
        <f>Table2[[#This Row],[(A) Spread]]-Table2[[#This Row],[Spread (V)]]</f>
        <v>0</v>
      </c>
      <c r="AG660" s="19"/>
      <c r="AH660" s="2">
        <f>Table2[[#This Row],[EV]]-Table2[[#This Row],[Spread (V)]]</f>
        <v>-3.0381329688455452</v>
      </c>
      <c r="AI660" s="22">
        <f>Table2[[#This Row],[(A)]]-Table2[[#This Row],[Spread]]</f>
        <v>-6.6851184834123307</v>
      </c>
      <c r="AJ660" s="1">
        <f>Table2[[#This Row],[(A) Err]]^2</f>
        <v>44.690809137261184</v>
      </c>
      <c r="AK660" s="6">
        <f>Table2[[#This Row],[EV]]-Table2[[#This Row],[Spread]]</f>
        <v>-3.0381329688455452</v>
      </c>
      <c r="AL660" s="1">
        <f>Table2[[#This Row],[EV Err]]^2</f>
        <v>9.2302519363862459</v>
      </c>
    </row>
    <row r="661" spans="1:38" x14ac:dyDescent="0.25">
      <c r="A661" t="s">
        <v>129</v>
      </c>
      <c r="B661" t="s">
        <v>20</v>
      </c>
      <c r="C661" t="s">
        <v>33</v>
      </c>
      <c r="K661" s="25">
        <f>(Table2[[#This Row],[Home Pace]]/100)*(VLOOKUP(Table2[[#This Row],[Home/Neutral]],home_lookup,8,FALSE)+VLOOKUP(Table2[[#This Row],[Home/Neutral]],OFR_lookup,2,FALSE)+VLOOKUP(Table2[[#This Row],[Visitor/Neutral]],def_diff_lookup,6,FALSE))</f>
        <v>106.16492528915178</v>
      </c>
      <c r="L661" s="25"/>
      <c r="M661" s="25">
        <f>(Table2[[#This Row],[Away Pace]]/100)*(VLOOKUP(Table2[[#This Row],[Visitor/Neutral]],OFR_lookup,2,FALSE)+VLOOKUP(Table2[[#This Row],[Home/Neutral]],def_diff_lookup,6,FALSE))</f>
        <v>100.25303466666668</v>
      </c>
      <c r="N661" s="25"/>
      <c r="O661" s="25"/>
      <c r="P661">
        <f>VLOOKUP(Table2[[#This Row],[Home/Neutral]],pace_lookup,7,FALSE)</f>
        <v>90.9</v>
      </c>
      <c r="Q661" s="5">
        <f>VLOOKUP(Table2[[#This Row],[Visitor/Neutral]],pace_lookup,7,FALSE)</f>
        <v>98.2</v>
      </c>
      <c r="R661" s="9"/>
      <c r="V661" s="2">
        <f>-home-VLOOKUP(Table2[[#This Row],[Home/Neutral]],rtg_vlookup,4,FALSE)+VLOOKUP(Table2[[#This Row],[Visitor/Neutral]],rtg_vlookup,4,FALSE)</f>
        <v>-9.7051184834123312</v>
      </c>
      <c r="W661" s="25"/>
      <c r="X661" s="2"/>
      <c r="Y661" s="2">
        <f>Table2[[#This Row],[Away EV]]-Table2[[#This Row],[Home EV]]</f>
        <v>-5.9118906224851031</v>
      </c>
      <c r="Z661" s="33"/>
      <c r="AA661" s="34"/>
      <c r="AB661" s="5" t="b">
        <f>IF(VLOOKUP(Table2[[#This Row],[Home/Neutral]],division_lookup,9,FALSE)=VLOOKUP(Table2[[#This Row],[Visitor/Neutral]],division_lookup,9,FALSE),TRUE,FALSE)</f>
        <v>0</v>
      </c>
      <c r="AC661" s="19" t="str">
        <f>VLOOKUP(Table2[[#This Row],[Home/Neutral]],division_lookup,9,FALSE)</f>
        <v>NW</v>
      </c>
      <c r="AD661" s="19"/>
      <c r="AE661" s="19" t="str">
        <f>IF(Table2[[#This Row],[Total EV ®]]&lt;Table2[[#This Row],[Total (V)]],"UNDER","OVER")</f>
        <v>OVER</v>
      </c>
      <c r="AF661" s="30">
        <f>Table2[[#This Row],[(A) Spread]]-Table2[[#This Row],[Spread (V)]]</f>
        <v>0</v>
      </c>
      <c r="AG661" s="19"/>
      <c r="AH661" s="2">
        <f>Table2[[#This Row],[EV]]-Table2[[#This Row],[Spread (V)]]</f>
        <v>-5.9118906224851031</v>
      </c>
      <c r="AI661" s="22">
        <f>Table2[[#This Row],[(A)]]-Table2[[#This Row],[Spread]]</f>
        <v>-9.7051184834123312</v>
      </c>
      <c r="AJ661" s="1">
        <f>Table2[[#This Row],[(A) Err]]^2</f>
        <v>94.189324777071661</v>
      </c>
      <c r="AK661" s="6">
        <f>Table2[[#This Row],[EV]]-Table2[[#This Row],[Spread]]</f>
        <v>-5.9118906224851031</v>
      </c>
      <c r="AL661" s="1">
        <f>Table2[[#This Row],[EV Err]]^2</f>
        <v>34.950450732227303</v>
      </c>
    </row>
    <row r="662" spans="1:38" x14ac:dyDescent="0.25">
      <c r="A662" t="s">
        <v>130</v>
      </c>
      <c r="B662" t="s">
        <v>37</v>
      </c>
      <c r="C662" t="s">
        <v>24</v>
      </c>
      <c r="K662" s="25">
        <f>(Table2[[#This Row],[Home Pace]]/100)*(VLOOKUP(Table2[[#This Row],[Home/Neutral]],home_lookup,8,FALSE)+VLOOKUP(Table2[[#This Row],[Home/Neutral]],OFR_lookup,2,FALSE)+VLOOKUP(Table2[[#This Row],[Visitor/Neutral]],def_diff_lookup,6,FALSE))</f>
        <v>106.02377809362122</v>
      </c>
      <c r="L662" s="25"/>
      <c r="M662" s="25">
        <f>(Table2[[#This Row],[Away Pace]]/100)*(VLOOKUP(Table2[[#This Row],[Visitor/Neutral]],OFR_lookup,2,FALSE)+VLOOKUP(Table2[[#This Row],[Home/Neutral]],def_diff_lookup,6,FALSE))</f>
        <v>107.36319600000002</v>
      </c>
      <c r="N662" s="25"/>
      <c r="O662" s="25"/>
      <c r="P662">
        <f>VLOOKUP(Table2[[#This Row],[Home/Neutral]],pace_lookup,7,FALSE)</f>
        <v>92.1</v>
      </c>
      <c r="Q662" s="5">
        <f>VLOOKUP(Table2[[#This Row],[Visitor/Neutral]],pace_lookup,7,FALSE)</f>
        <v>99.9</v>
      </c>
      <c r="R662" s="9"/>
      <c r="V662" s="2">
        <f>-home-VLOOKUP(Table2[[#This Row],[Home/Neutral]],rtg_vlookup,4,FALSE)+VLOOKUP(Table2[[#This Row],[Visitor/Neutral]],rtg_vlookup,4,FALSE)</f>
        <v>5.0148815165876695</v>
      </c>
      <c r="W662" s="25"/>
      <c r="X662" s="2"/>
      <c r="Y662" s="2">
        <f>Table2[[#This Row],[Away EV]]-Table2[[#This Row],[Home EV]]</f>
        <v>1.3394179063787988</v>
      </c>
      <c r="Z662" s="33"/>
      <c r="AA662" s="34"/>
      <c r="AB662" s="5" t="b">
        <f>IF(VLOOKUP(Table2[[#This Row],[Home/Neutral]],division_lookup,9,FALSE)=VLOOKUP(Table2[[#This Row],[Visitor/Neutral]],division_lookup,9,FALSE),TRUE,FALSE)</f>
        <v>0</v>
      </c>
      <c r="AC662" s="19" t="str">
        <f>VLOOKUP(Table2[[#This Row],[Home/Neutral]],division_lookup,9,FALSE)</f>
        <v>SW</v>
      </c>
      <c r="AD662" s="19"/>
      <c r="AE662" s="19" t="str">
        <f>IF(Table2[[#This Row],[Total EV ®]]&lt;Table2[[#This Row],[Total (V)]],"UNDER","OVER")</f>
        <v>OVER</v>
      </c>
      <c r="AF662" s="30">
        <f>Table2[[#This Row],[(A) Spread]]-Table2[[#This Row],[Spread (V)]]</f>
        <v>0</v>
      </c>
      <c r="AG662" s="19"/>
      <c r="AH662" s="2">
        <f>Table2[[#This Row],[EV]]-Table2[[#This Row],[Spread (V)]]</f>
        <v>1.3394179063787988</v>
      </c>
      <c r="AI662" s="22">
        <f>Table2[[#This Row],[(A)]]-Table2[[#This Row],[Spread]]</f>
        <v>5.0148815165876695</v>
      </c>
      <c r="AJ662" s="1">
        <f>Table2[[#This Row],[(A) Err]]^2</f>
        <v>25.149036625412645</v>
      </c>
      <c r="AK662" s="6">
        <f>Table2[[#This Row],[EV]]-Table2[[#This Row],[Spread]]</f>
        <v>1.3394179063787988</v>
      </c>
      <c r="AL662" s="1">
        <f>Table2[[#This Row],[EV Err]]^2</f>
        <v>1.7940403279281645</v>
      </c>
    </row>
    <row r="663" spans="1:38" x14ac:dyDescent="0.25">
      <c r="A663" t="s">
        <v>130</v>
      </c>
      <c r="B663" t="s">
        <v>22</v>
      </c>
      <c r="C663" t="s">
        <v>27</v>
      </c>
      <c r="K663" s="25">
        <f>(Table2[[#This Row],[Home Pace]]/100)*(VLOOKUP(Table2[[#This Row],[Home/Neutral]],home_lookup,8,FALSE)+VLOOKUP(Table2[[#This Row],[Home/Neutral]],OFR_lookup,2,FALSE)+VLOOKUP(Table2[[#This Row],[Visitor/Neutral]],def_diff_lookup,6,FALSE))</f>
        <v>110.52766922968976</v>
      </c>
      <c r="L663" s="25"/>
      <c r="M663" s="25">
        <f>(Table2[[#This Row],[Away Pace]]/100)*(VLOOKUP(Table2[[#This Row],[Visitor/Neutral]],OFR_lookup,2,FALSE)+VLOOKUP(Table2[[#This Row],[Home/Neutral]],def_diff_lookup,6,FALSE))</f>
        <v>108.23736000000001</v>
      </c>
      <c r="N663" s="25"/>
      <c r="O663" s="25"/>
      <c r="P663">
        <f>VLOOKUP(Table2[[#This Row],[Home/Neutral]],pace_lookup,7,FALSE)</f>
        <v>94.7</v>
      </c>
      <c r="Q663" s="5">
        <f>VLOOKUP(Table2[[#This Row],[Visitor/Neutral]],pace_lookup,7,FALSE)</f>
        <v>99</v>
      </c>
      <c r="R663" s="9"/>
      <c r="V663" s="2">
        <f>-home-VLOOKUP(Table2[[#This Row],[Home/Neutral]],rtg_vlookup,4,FALSE)+VLOOKUP(Table2[[#This Row],[Visitor/Neutral]],rtg_vlookup,4,FALSE)</f>
        <v>-4.2251184834123308</v>
      </c>
      <c r="W663" s="25"/>
      <c r="X663" s="2"/>
      <c r="Y663" s="2">
        <f>Table2[[#This Row],[Away EV]]-Table2[[#This Row],[Home EV]]</f>
        <v>-2.290309229689754</v>
      </c>
      <c r="Z663" s="33"/>
      <c r="AA663" s="34"/>
      <c r="AB663" s="5" t="b">
        <f>IF(VLOOKUP(Table2[[#This Row],[Home/Neutral]],division_lookup,9,FALSE)=VLOOKUP(Table2[[#This Row],[Visitor/Neutral]],division_lookup,9,FALSE),TRUE,FALSE)</f>
        <v>1</v>
      </c>
      <c r="AC663" s="19" t="str">
        <f>VLOOKUP(Table2[[#This Row],[Home/Neutral]],division_lookup,9,FALSE)</f>
        <v>NW</v>
      </c>
      <c r="AD663" s="19"/>
      <c r="AE663" s="19" t="str">
        <f>IF(Table2[[#This Row],[Total EV ®]]&lt;Table2[[#This Row],[Total (V)]],"UNDER","OVER")</f>
        <v>OVER</v>
      </c>
      <c r="AF663" s="30">
        <f>Table2[[#This Row],[(A) Spread]]-Table2[[#This Row],[Spread (V)]]</f>
        <v>0</v>
      </c>
      <c r="AG663" s="19"/>
      <c r="AH663" s="2">
        <f>Table2[[#This Row],[EV]]-Table2[[#This Row],[Spread (V)]]</f>
        <v>-2.290309229689754</v>
      </c>
      <c r="AI663" s="22">
        <f>Table2[[#This Row],[(A)]]-Table2[[#This Row],[Spread]]</f>
        <v>-4.2251184834123308</v>
      </c>
      <c r="AJ663" s="1">
        <f>Table2[[#This Row],[(A) Err]]^2</f>
        <v>17.851626198872513</v>
      </c>
      <c r="AK663" s="6">
        <f>Table2[[#This Row],[EV]]-Table2[[#This Row],[Spread]]</f>
        <v>-2.290309229689754</v>
      </c>
      <c r="AL663" s="1">
        <f>Table2[[#This Row],[EV Err]]^2</f>
        <v>5.2455163676020744</v>
      </c>
    </row>
    <row r="664" spans="1:38" x14ac:dyDescent="0.25">
      <c r="A664" t="s">
        <v>130</v>
      </c>
      <c r="B664" t="s">
        <v>38</v>
      </c>
      <c r="C664" t="s">
        <v>10</v>
      </c>
      <c r="K664" s="25">
        <f>(Table2[[#This Row],[Home Pace]]/100)*(VLOOKUP(Table2[[#This Row],[Home/Neutral]],home_lookup,8,FALSE)+VLOOKUP(Table2[[#This Row],[Home/Neutral]],OFR_lookup,2,FALSE)+VLOOKUP(Table2[[#This Row],[Visitor/Neutral]],def_diff_lookup,6,FALSE))</f>
        <v>107.47557167891479</v>
      </c>
      <c r="L664" s="25"/>
      <c r="M664" s="25">
        <f>(Table2[[#This Row],[Away Pace]]/100)*(VLOOKUP(Table2[[#This Row],[Visitor/Neutral]],OFR_lookup,2,FALSE)+VLOOKUP(Table2[[#This Row],[Home/Neutral]],def_diff_lookup,6,FALSE))</f>
        <v>117.82307866666666</v>
      </c>
      <c r="N664" s="25"/>
      <c r="O664" s="25"/>
      <c r="P664">
        <f>VLOOKUP(Table2[[#This Row],[Home/Neutral]],pace_lookup,7,FALSE)</f>
        <v>94.2</v>
      </c>
      <c r="Q664" s="5">
        <f>VLOOKUP(Table2[[#This Row],[Visitor/Neutral]],pace_lookup,7,FALSE)</f>
        <v>100.3</v>
      </c>
      <c r="R664" s="9"/>
      <c r="V664" s="2">
        <f>-home-VLOOKUP(Table2[[#This Row],[Home/Neutral]],rtg_vlookup,4,FALSE)+VLOOKUP(Table2[[#This Row],[Visitor/Neutral]],rtg_vlookup,4,FALSE)</f>
        <v>14.444881516587669</v>
      </c>
      <c r="W664" s="25"/>
      <c r="X664" s="2"/>
      <c r="Y664" s="2">
        <f>Table2[[#This Row],[Away EV]]-Table2[[#This Row],[Home EV]]</f>
        <v>10.347506987751871</v>
      </c>
      <c r="Z664" s="33"/>
      <c r="AA664" s="34"/>
      <c r="AB664" s="5" t="b">
        <f>IF(VLOOKUP(Table2[[#This Row],[Home/Neutral]],division_lookup,9,FALSE)=VLOOKUP(Table2[[#This Row],[Visitor/Neutral]],division_lookup,9,FALSE),TRUE,FALSE)</f>
        <v>0</v>
      </c>
      <c r="AC664" s="19" t="str">
        <f>VLOOKUP(Table2[[#This Row],[Home/Neutral]],division_lookup,9,FALSE)</f>
        <v>SE</v>
      </c>
      <c r="AD664" s="19"/>
      <c r="AE664" s="19" t="str">
        <f>IF(Table2[[#This Row],[Total EV ®]]&lt;Table2[[#This Row],[Total (V)]],"UNDER","OVER")</f>
        <v>OVER</v>
      </c>
      <c r="AF664" s="30">
        <f>Table2[[#This Row],[(A) Spread]]-Table2[[#This Row],[Spread (V)]]</f>
        <v>0</v>
      </c>
      <c r="AG664" s="19"/>
      <c r="AH664" s="2">
        <f>Table2[[#This Row],[EV]]-Table2[[#This Row],[Spread (V)]]</f>
        <v>10.347506987751871</v>
      </c>
      <c r="AI664" s="22">
        <f>Table2[[#This Row],[(A)]]-Table2[[#This Row],[Spread]]</f>
        <v>14.444881516587669</v>
      </c>
      <c r="AJ664" s="1">
        <f>Table2[[#This Row],[(A) Err]]^2</f>
        <v>208.65460202825608</v>
      </c>
      <c r="AK664" s="6">
        <f>Table2[[#This Row],[EV]]-Table2[[#This Row],[Spread]]</f>
        <v>10.347506987751871</v>
      </c>
      <c r="AL664" s="1">
        <f>Table2[[#This Row],[EV Err]]^2</f>
        <v>107.07090086157379</v>
      </c>
    </row>
    <row r="665" spans="1:38" x14ac:dyDescent="0.25">
      <c r="A665" t="s">
        <v>130</v>
      </c>
      <c r="B665" t="s">
        <v>14</v>
      </c>
      <c r="C665" t="s">
        <v>36</v>
      </c>
      <c r="K665" s="25">
        <f>(Table2[[#This Row],[Home Pace]]/100)*(VLOOKUP(Table2[[#This Row],[Home/Neutral]],home_lookup,8,FALSE)+VLOOKUP(Table2[[#This Row],[Home/Neutral]],OFR_lookup,2,FALSE)+VLOOKUP(Table2[[#This Row],[Visitor/Neutral]],def_diff_lookup,6,FALSE))</f>
        <v>109.9009341424145</v>
      </c>
      <c r="L665" s="25"/>
      <c r="M665" s="25">
        <f>(Table2[[#This Row],[Away Pace]]/100)*(VLOOKUP(Table2[[#This Row],[Visitor/Neutral]],OFR_lookup,2,FALSE)+VLOOKUP(Table2[[#This Row],[Home/Neutral]],def_diff_lookup,6,FALSE))</f>
        <v>107.15738133333335</v>
      </c>
      <c r="N665" s="25"/>
      <c r="O665" s="25"/>
      <c r="P665">
        <f>VLOOKUP(Table2[[#This Row],[Home/Neutral]],pace_lookup,7,FALSE)</f>
        <v>95.9</v>
      </c>
      <c r="Q665" s="5">
        <f>VLOOKUP(Table2[[#This Row],[Visitor/Neutral]],pace_lookup,7,FALSE)</f>
        <v>102.2</v>
      </c>
      <c r="R665" s="9"/>
      <c r="V665" s="2">
        <f>-home-VLOOKUP(Table2[[#This Row],[Home/Neutral]],rtg_vlookup,4,FALSE)+VLOOKUP(Table2[[#This Row],[Visitor/Neutral]],rtg_vlookup,4,FALSE)</f>
        <v>-13.895118483412331</v>
      </c>
      <c r="W665" s="25"/>
      <c r="X665" s="2"/>
      <c r="Y665" s="2">
        <f>Table2[[#This Row],[Away EV]]-Table2[[#This Row],[Home EV]]</f>
        <v>-2.7435528090811516</v>
      </c>
      <c r="Z665" s="33"/>
      <c r="AA665" s="34"/>
      <c r="AB665" s="5" t="b">
        <f>IF(VLOOKUP(Table2[[#This Row],[Home/Neutral]],division_lookup,9,FALSE)=VLOOKUP(Table2[[#This Row],[Visitor/Neutral]],division_lookup,9,FALSE),TRUE,FALSE)</f>
        <v>0</v>
      </c>
      <c r="AC665" s="19" t="str">
        <f>VLOOKUP(Table2[[#This Row],[Home/Neutral]],division_lookup,9,FALSE)</f>
        <v>A</v>
      </c>
      <c r="AD665" s="19"/>
      <c r="AE665" s="19" t="str">
        <f>IF(Table2[[#This Row],[Total EV ®]]&lt;Table2[[#This Row],[Total (V)]],"UNDER","OVER")</f>
        <v>OVER</v>
      </c>
      <c r="AF665" s="30">
        <f>Table2[[#This Row],[(A) Spread]]-Table2[[#This Row],[Spread (V)]]</f>
        <v>0</v>
      </c>
      <c r="AG665" s="19"/>
      <c r="AH665" s="2">
        <f>Table2[[#This Row],[EV]]-Table2[[#This Row],[Spread (V)]]</f>
        <v>-2.7435528090811516</v>
      </c>
      <c r="AI665" s="22">
        <f>Table2[[#This Row],[(A)]]-Table2[[#This Row],[Spread]]</f>
        <v>-13.895118483412331</v>
      </c>
      <c r="AJ665" s="1">
        <f>Table2[[#This Row],[(A) Err]]^2</f>
        <v>193.07431766806698</v>
      </c>
      <c r="AK665" s="6">
        <f>Table2[[#This Row],[EV]]-Table2[[#This Row],[Spread]]</f>
        <v>-2.7435528090811516</v>
      </c>
      <c r="AL665" s="1">
        <f>Table2[[#This Row],[EV Err]]^2</f>
        <v>7.5270820162170784</v>
      </c>
    </row>
    <row r="666" spans="1:38" x14ac:dyDescent="0.25">
      <c r="A666" t="s">
        <v>131</v>
      </c>
      <c r="B666" t="s">
        <v>11</v>
      </c>
      <c r="C666" t="s">
        <v>4</v>
      </c>
      <c r="K666" s="25">
        <f>(Table2[[#This Row],[Home Pace]]/100)*(VLOOKUP(Table2[[#This Row],[Home/Neutral]],home_lookup,8,FALSE)+VLOOKUP(Table2[[#This Row],[Home/Neutral]],OFR_lookup,2,FALSE)+VLOOKUP(Table2[[#This Row],[Visitor/Neutral]],def_diff_lookup,6,FALSE))</f>
        <v>92.438649044072818</v>
      </c>
      <c r="L666" s="25"/>
      <c r="M666" s="25">
        <f>(Table2[[#This Row],[Away Pace]]/100)*(VLOOKUP(Table2[[#This Row],[Visitor/Neutral]],OFR_lookup,2,FALSE)+VLOOKUP(Table2[[#This Row],[Home/Neutral]],def_diff_lookup,6,FALSE))</f>
        <v>103.42060400000001</v>
      </c>
      <c r="N666" s="25"/>
      <c r="O666" s="25"/>
      <c r="P666">
        <f>VLOOKUP(Table2[[#This Row],[Home/Neutral]],pace_lookup,7,FALSE)</f>
        <v>99.7</v>
      </c>
      <c r="Q666" s="5">
        <f>VLOOKUP(Table2[[#This Row],[Visitor/Neutral]],pace_lookup,7,FALSE)</f>
        <v>96.6</v>
      </c>
      <c r="R666" s="9"/>
      <c r="V666" s="2">
        <f>-home-VLOOKUP(Table2[[#This Row],[Home/Neutral]],rtg_vlookup,4,FALSE)+VLOOKUP(Table2[[#This Row],[Visitor/Neutral]],rtg_vlookup,4,FALSE)</f>
        <v>5.5948815165876695</v>
      </c>
      <c r="W666" s="25"/>
      <c r="X666" s="2"/>
      <c r="Y666" s="2">
        <f>Table2[[#This Row],[Away EV]]-Table2[[#This Row],[Home EV]]</f>
        <v>10.981954955927193</v>
      </c>
      <c r="Z666" s="33"/>
      <c r="AA666" s="34"/>
      <c r="AB666" s="5" t="b">
        <f>IF(VLOOKUP(Table2[[#This Row],[Home/Neutral]],division_lookup,9,FALSE)=VLOOKUP(Table2[[#This Row],[Visitor/Neutral]],division_lookup,9,FALSE),TRUE,FALSE)</f>
        <v>0</v>
      </c>
      <c r="AC666" s="19" t="str">
        <f>VLOOKUP(Table2[[#This Row],[Home/Neutral]],division_lookup,9,FALSE)</f>
        <v>SE</v>
      </c>
      <c r="AD666" s="19"/>
      <c r="AE666" s="19" t="str">
        <f>IF(Table2[[#This Row],[Total EV ®]]&lt;Table2[[#This Row],[Total (V)]],"UNDER","OVER")</f>
        <v>OVER</v>
      </c>
      <c r="AF666" s="30">
        <f>Table2[[#This Row],[(A) Spread]]-Table2[[#This Row],[Spread (V)]]</f>
        <v>0</v>
      </c>
      <c r="AG666" s="19"/>
      <c r="AH666" s="2">
        <f>Table2[[#This Row],[EV]]-Table2[[#This Row],[Spread (V)]]</f>
        <v>10.981954955927193</v>
      </c>
      <c r="AI666" s="22">
        <f>Table2[[#This Row],[(A)]]-Table2[[#This Row],[Spread]]</f>
        <v>5.5948815165876695</v>
      </c>
      <c r="AJ666" s="1">
        <f>Table2[[#This Row],[(A) Err]]^2</f>
        <v>31.30269918465434</v>
      </c>
      <c r="AK666" s="6">
        <f>Table2[[#This Row],[EV]]-Table2[[#This Row],[Spread]]</f>
        <v>10.981954955927193</v>
      </c>
      <c r="AL666" s="1">
        <f>Table2[[#This Row],[EV Err]]^2</f>
        <v>120.60333465401385</v>
      </c>
    </row>
    <row r="667" spans="1:38" x14ac:dyDescent="0.25">
      <c r="A667" t="s">
        <v>131</v>
      </c>
      <c r="B667" t="s">
        <v>35</v>
      </c>
      <c r="C667" t="s">
        <v>6</v>
      </c>
      <c r="K667" s="25">
        <f>(Table2[[#This Row],[Home Pace]]/100)*(VLOOKUP(Table2[[#This Row],[Home/Neutral]],home_lookup,8,FALSE)+VLOOKUP(Table2[[#This Row],[Home/Neutral]],OFR_lookup,2,FALSE)+VLOOKUP(Table2[[#This Row],[Visitor/Neutral]],def_diff_lookup,6,FALSE))</f>
        <v>105.26945121209626</v>
      </c>
      <c r="L667" s="25"/>
      <c r="M667" s="25">
        <f>(Table2[[#This Row],[Away Pace]]/100)*(VLOOKUP(Table2[[#This Row],[Visitor/Neutral]],OFR_lookup,2,FALSE)+VLOOKUP(Table2[[#This Row],[Home/Neutral]],def_diff_lookup,6,FALSE))</f>
        <v>106.67460066666666</v>
      </c>
      <c r="N667" s="25"/>
      <c r="O667" s="25"/>
      <c r="P667">
        <f>VLOOKUP(Table2[[#This Row],[Home/Neutral]],pace_lookup,7,FALSE)</f>
        <v>102.2</v>
      </c>
      <c r="Q667" s="5">
        <f>VLOOKUP(Table2[[#This Row],[Visitor/Neutral]],pace_lookup,7,FALSE)</f>
        <v>93.1</v>
      </c>
      <c r="R667" s="9"/>
      <c r="V667" s="2">
        <f>-home-VLOOKUP(Table2[[#This Row],[Home/Neutral]],rtg_vlookup,4,FALSE)+VLOOKUP(Table2[[#This Row],[Visitor/Neutral]],rtg_vlookup,4,FALSE)</f>
        <v>10.584881516587668</v>
      </c>
      <c r="W667" s="25"/>
      <c r="X667" s="2"/>
      <c r="Y667" s="2">
        <f>Table2[[#This Row],[Away EV]]-Table2[[#This Row],[Home EV]]</f>
        <v>1.405149454570406</v>
      </c>
      <c r="Z667" s="33"/>
      <c r="AA667" s="34"/>
      <c r="AB667" s="5" t="b">
        <f>IF(VLOOKUP(Table2[[#This Row],[Home/Neutral]],division_lookup,9,FALSE)=VLOOKUP(Table2[[#This Row],[Visitor/Neutral]],division_lookup,9,FALSE),TRUE,FALSE)</f>
        <v>0</v>
      </c>
      <c r="AC667" s="19" t="str">
        <f>VLOOKUP(Table2[[#This Row],[Home/Neutral]],division_lookup,9,FALSE)</f>
        <v>A</v>
      </c>
      <c r="AD667" s="19"/>
      <c r="AE667" s="19" t="str">
        <f>IF(Table2[[#This Row],[Total EV ®]]&lt;Table2[[#This Row],[Total (V)]],"UNDER","OVER")</f>
        <v>OVER</v>
      </c>
      <c r="AF667" s="30">
        <f>Table2[[#This Row],[(A) Spread]]-Table2[[#This Row],[Spread (V)]]</f>
        <v>0</v>
      </c>
      <c r="AG667" s="19"/>
      <c r="AH667" s="2">
        <f>Table2[[#This Row],[EV]]-Table2[[#This Row],[Spread (V)]]</f>
        <v>1.405149454570406</v>
      </c>
      <c r="AI667" s="22">
        <f>Table2[[#This Row],[(A)]]-Table2[[#This Row],[Spread]]</f>
        <v>10.584881516587668</v>
      </c>
      <c r="AJ667" s="1">
        <f>Table2[[#This Row],[(A) Err]]^2</f>
        <v>112.03971672019925</v>
      </c>
      <c r="AK667" s="6">
        <f>Table2[[#This Row],[EV]]-Table2[[#This Row],[Spread]]</f>
        <v>1.405149454570406</v>
      </c>
      <c r="AL667" s="1">
        <f>Table2[[#This Row],[EV Err]]^2</f>
        <v>1.9744449896795093</v>
      </c>
    </row>
    <row r="668" spans="1:38" x14ac:dyDescent="0.25">
      <c r="A668" t="s">
        <v>131</v>
      </c>
      <c r="B668" t="s">
        <v>16</v>
      </c>
      <c r="C668" t="s">
        <v>28</v>
      </c>
      <c r="K668" s="25">
        <f>(Table2[[#This Row],[Home Pace]]/100)*(VLOOKUP(Table2[[#This Row],[Home/Neutral]],home_lookup,8,FALSE)+VLOOKUP(Table2[[#This Row],[Home/Neutral]],OFR_lookup,2,FALSE)+VLOOKUP(Table2[[#This Row],[Visitor/Neutral]],def_diff_lookup,6,FALSE))</f>
        <v>106.61960601115952</v>
      </c>
      <c r="L668" s="25"/>
      <c r="M668" s="25">
        <f>(Table2[[#This Row],[Away Pace]]/100)*(VLOOKUP(Table2[[#This Row],[Visitor/Neutral]],OFR_lookup,2,FALSE)+VLOOKUP(Table2[[#This Row],[Home/Neutral]],def_diff_lookup,6,FALSE))</f>
        <v>101.70307200000001</v>
      </c>
      <c r="N668" s="25"/>
      <c r="O668" s="25"/>
      <c r="P668">
        <f>VLOOKUP(Table2[[#This Row],[Home/Neutral]],pace_lookup,7,FALSE)</f>
        <v>97.5</v>
      </c>
      <c r="Q668" s="5">
        <f>VLOOKUP(Table2[[#This Row],[Visitor/Neutral]],pace_lookup,7,FALSE)</f>
        <v>96.3</v>
      </c>
      <c r="R668" s="9"/>
      <c r="V668" s="2">
        <f>-home-VLOOKUP(Table2[[#This Row],[Home/Neutral]],rtg_vlookup,4,FALSE)+VLOOKUP(Table2[[#This Row],[Visitor/Neutral]],rtg_vlookup,4,FALSE)</f>
        <v>-7.255118483412331</v>
      </c>
      <c r="W668" s="25"/>
      <c r="X668" s="2"/>
      <c r="Y668" s="2">
        <f>Table2[[#This Row],[Away EV]]-Table2[[#This Row],[Home EV]]</f>
        <v>-4.9165340111595128</v>
      </c>
      <c r="Z668" s="33"/>
      <c r="AA668" s="34"/>
      <c r="AB668" s="5" t="b">
        <f>IF(VLOOKUP(Table2[[#This Row],[Home/Neutral]],division_lookup,9,FALSE)=VLOOKUP(Table2[[#This Row],[Visitor/Neutral]],division_lookup,9,FALSE),TRUE,FALSE)</f>
        <v>1</v>
      </c>
      <c r="AC668" s="19" t="str">
        <f>VLOOKUP(Table2[[#This Row],[Home/Neutral]],division_lookup,9,FALSE)</f>
        <v>SE</v>
      </c>
      <c r="AD668" s="19"/>
      <c r="AE668" s="19" t="str">
        <f>IF(Table2[[#This Row],[Total EV ®]]&lt;Table2[[#This Row],[Total (V)]],"UNDER","OVER")</f>
        <v>OVER</v>
      </c>
      <c r="AF668" s="30">
        <f>Table2[[#This Row],[(A) Spread]]-Table2[[#This Row],[Spread (V)]]</f>
        <v>0</v>
      </c>
      <c r="AG668" s="19"/>
      <c r="AH668" s="2">
        <f>Table2[[#This Row],[EV]]-Table2[[#This Row],[Spread (V)]]</f>
        <v>-4.9165340111595128</v>
      </c>
      <c r="AI668" s="22">
        <f>Table2[[#This Row],[(A)]]-Table2[[#This Row],[Spread]]</f>
        <v>-7.255118483412331</v>
      </c>
      <c r="AJ668" s="1">
        <f>Table2[[#This Row],[(A) Err]]^2</f>
        <v>52.636744208351239</v>
      </c>
      <c r="AK668" s="6">
        <f>Table2[[#This Row],[EV]]-Table2[[#This Row],[Spread]]</f>
        <v>-4.9165340111595128</v>
      </c>
      <c r="AL668" s="1">
        <f>Table2[[#This Row],[EV Err]]^2</f>
        <v>24.172306682888248</v>
      </c>
    </row>
    <row r="669" spans="1:38" x14ac:dyDescent="0.25">
      <c r="A669" t="s">
        <v>131</v>
      </c>
      <c r="B669" t="s">
        <v>25</v>
      </c>
      <c r="C669" t="s">
        <v>29</v>
      </c>
      <c r="K669" s="25">
        <f>(Table2[[#This Row],[Home Pace]]/100)*(VLOOKUP(Table2[[#This Row],[Home/Neutral]],home_lookup,8,FALSE)+VLOOKUP(Table2[[#This Row],[Home/Neutral]],OFR_lookup,2,FALSE)+VLOOKUP(Table2[[#This Row],[Visitor/Neutral]],def_diff_lookup,6,FALSE))</f>
        <v>106.40622444427257</v>
      </c>
      <c r="L669" s="25"/>
      <c r="M669" s="25">
        <f>(Table2[[#This Row],[Away Pace]]/100)*(VLOOKUP(Table2[[#This Row],[Visitor/Neutral]],OFR_lookup,2,FALSE)+VLOOKUP(Table2[[#This Row],[Home/Neutral]],def_diff_lookup,6,FALSE))</f>
        <v>97.233705333333347</v>
      </c>
      <c r="N669" s="25"/>
      <c r="O669" s="25"/>
      <c r="P669">
        <f>VLOOKUP(Table2[[#This Row],[Home/Neutral]],pace_lookup,7,FALSE)</f>
        <v>94.4</v>
      </c>
      <c r="Q669" s="5">
        <f>VLOOKUP(Table2[[#This Row],[Visitor/Neutral]],pace_lookup,7,FALSE)</f>
        <v>93.8</v>
      </c>
      <c r="R669" s="9"/>
      <c r="V669" s="2">
        <f>-home-VLOOKUP(Table2[[#This Row],[Home/Neutral]],rtg_vlookup,4,FALSE)+VLOOKUP(Table2[[#This Row],[Visitor/Neutral]],rtg_vlookup,4,FALSE)</f>
        <v>-5.005118483412331</v>
      </c>
      <c r="W669" s="25"/>
      <c r="X669" s="2"/>
      <c r="Y669" s="2">
        <f>Table2[[#This Row],[Away EV]]-Table2[[#This Row],[Home EV]]</f>
        <v>-9.1725191109392199</v>
      </c>
      <c r="Z669" s="33"/>
      <c r="AA669" s="34"/>
      <c r="AB669" s="5" t="b">
        <f>IF(VLOOKUP(Table2[[#This Row],[Home/Neutral]],division_lookup,9,FALSE)=VLOOKUP(Table2[[#This Row],[Visitor/Neutral]],division_lookup,9,FALSE),TRUE,FALSE)</f>
        <v>0</v>
      </c>
      <c r="AC669" s="19" t="str">
        <f>VLOOKUP(Table2[[#This Row],[Home/Neutral]],division_lookup,9,FALSE)</f>
        <v>C</v>
      </c>
      <c r="AD669" s="19"/>
      <c r="AE669" s="19" t="str">
        <f>IF(Table2[[#This Row],[Total EV ®]]&lt;Table2[[#This Row],[Total (V)]],"UNDER","OVER")</f>
        <v>OVER</v>
      </c>
      <c r="AF669" s="30">
        <f>Table2[[#This Row],[(A) Spread]]-Table2[[#This Row],[Spread (V)]]</f>
        <v>0</v>
      </c>
      <c r="AG669" s="19"/>
      <c r="AH669" s="2">
        <f>Table2[[#This Row],[EV]]-Table2[[#This Row],[Spread (V)]]</f>
        <v>-9.1725191109392199</v>
      </c>
      <c r="AI669" s="22">
        <f>Table2[[#This Row],[(A)]]-Table2[[#This Row],[Spread]]</f>
        <v>-5.005118483412331</v>
      </c>
      <c r="AJ669" s="1">
        <f>Table2[[#This Row],[(A) Err]]^2</f>
        <v>25.051211032995752</v>
      </c>
      <c r="AK669" s="6">
        <f>Table2[[#This Row],[EV]]-Table2[[#This Row],[Spread]]</f>
        <v>-9.1725191109392199</v>
      </c>
      <c r="AL669" s="1">
        <f>Table2[[#This Row],[EV Err]]^2</f>
        <v>84.13510684054522</v>
      </c>
    </row>
    <row r="670" spans="1:38" x14ac:dyDescent="0.25">
      <c r="A670" t="s">
        <v>131</v>
      </c>
      <c r="B670" t="s">
        <v>33</v>
      </c>
      <c r="C670" t="s">
        <v>31</v>
      </c>
      <c r="K670" s="25">
        <f>(Table2[[#This Row],[Home Pace]]/100)*(VLOOKUP(Table2[[#This Row],[Home/Neutral]],home_lookup,8,FALSE)+VLOOKUP(Table2[[#This Row],[Home/Neutral]],OFR_lookup,2,FALSE)+VLOOKUP(Table2[[#This Row],[Visitor/Neutral]],def_diff_lookup,6,FALSE))</f>
        <v>112.15403852057507</v>
      </c>
      <c r="L670" s="25"/>
      <c r="M670" s="25">
        <f>(Table2[[#This Row],[Away Pace]]/100)*(VLOOKUP(Table2[[#This Row],[Visitor/Neutral]],OFR_lookup,2,FALSE)+VLOOKUP(Table2[[#This Row],[Home/Neutral]],def_diff_lookup,6,FALSE))</f>
        <v>106.81024000000001</v>
      </c>
      <c r="N670" s="25"/>
      <c r="O670" s="25"/>
      <c r="P670">
        <f>VLOOKUP(Table2[[#This Row],[Home/Neutral]],pace_lookup,7,FALSE)</f>
        <v>98.2</v>
      </c>
      <c r="Q670" s="5">
        <f>VLOOKUP(Table2[[#This Row],[Visitor/Neutral]],pace_lookup,7,FALSE)</f>
        <v>96</v>
      </c>
      <c r="R670" s="9"/>
      <c r="V670" s="2">
        <f>-home-VLOOKUP(Table2[[#This Row],[Home/Neutral]],rtg_vlookup,4,FALSE)+VLOOKUP(Table2[[#This Row],[Visitor/Neutral]],rtg_vlookup,4,FALSE)</f>
        <v>0.27488151658766924</v>
      </c>
      <c r="W670" s="25"/>
      <c r="X670" s="2"/>
      <c r="Y670" s="2">
        <f>Table2[[#This Row],[Away EV]]-Table2[[#This Row],[Home EV]]</f>
        <v>-5.3437985205750635</v>
      </c>
      <c r="Z670" s="33"/>
      <c r="AA670" s="34"/>
      <c r="AB670" s="5" t="b">
        <f>IF(VLOOKUP(Table2[[#This Row],[Home/Neutral]],division_lookup,9,FALSE)=VLOOKUP(Table2[[#This Row],[Visitor/Neutral]],division_lookup,9,FALSE),TRUE,FALSE)</f>
        <v>0</v>
      </c>
      <c r="AC670" s="19" t="str">
        <f>VLOOKUP(Table2[[#This Row],[Home/Neutral]],division_lookup,9,FALSE)</f>
        <v>C</v>
      </c>
      <c r="AD670" s="19"/>
      <c r="AE670" s="19" t="str">
        <f>IF(Table2[[#This Row],[Total EV ®]]&lt;Table2[[#This Row],[Total (V)]],"UNDER","OVER")</f>
        <v>OVER</v>
      </c>
      <c r="AF670" s="30">
        <f>Table2[[#This Row],[(A) Spread]]-Table2[[#This Row],[Spread (V)]]</f>
        <v>0</v>
      </c>
      <c r="AG670" s="19"/>
      <c r="AH670" s="2">
        <f>Table2[[#This Row],[EV]]-Table2[[#This Row],[Spread (V)]]</f>
        <v>-5.3437985205750635</v>
      </c>
      <c r="AI670" s="22">
        <f>Table2[[#This Row],[(A)]]-Table2[[#This Row],[Spread]]</f>
        <v>0.27488151658766924</v>
      </c>
      <c r="AJ670" s="1">
        <f>Table2[[#This Row],[(A) Err]]^2</f>
        <v>7.5559848161537074E-2</v>
      </c>
      <c r="AK670" s="6">
        <f>Table2[[#This Row],[EV]]-Table2[[#This Row],[Spread]]</f>
        <v>-5.3437985205750635</v>
      </c>
      <c r="AL670" s="1">
        <f>Table2[[#This Row],[EV Err]]^2</f>
        <v>28.556182628500238</v>
      </c>
    </row>
    <row r="671" spans="1:38" x14ac:dyDescent="0.25">
      <c r="A671" t="s">
        <v>131</v>
      </c>
      <c r="B671" t="s">
        <v>21</v>
      </c>
      <c r="C671" t="s">
        <v>10</v>
      </c>
      <c r="K671" s="25">
        <f>(Table2[[#This Row],[Home Pace]]/100)*(VLOOKUP(Table2[[#This Row],[Home/Neutral]],home_lookup,8,FALSE)+VLOOKUP(Table2[[#This Row],[Home/Neutral]],OFR_lookup,2,FALSE)+VLOOKUP(Table2[[#This Row],[Visitor/Neutral]],def_diff_lookup,6,FALSE))</f>
        <v>102.95755117524389</v>
      </c>
      <c r="L671" s="25"/>
      <c r="M671" s="25">
        <f>(Table2[[#This Row],[Away Pace]]/100)*(VLOOKUP(Table2[[#This Row],[Visitor/Neutral]],OFR_lookup,2,FALSE)+VLOOKUP(Table2[[#This Row],[Home/Neutral]],def_diff_lookup,6,FALSE))</f>
        <v>112.92843866666666</v>
      </c>
      <c r="N671" s="25"/>
      <c r="O671" s="25"/>
      <c r="P671">
        <f>VLOOKUP(Table2[[#This Row],[Home/Neutral]],pace_lookup,7,FALSE)</f>
        <v>94.2</v>
      </c>
      <c r="Q671" s="5">
        <f>VLOOKUP(Table2[[#This Row],[Visitor/Neutral]],pace_lookup,7,FALSE)</f>
        <v>100.3</v>
      </c>
      <c r="R671" s="9"/>
      <c r="V671" s="2">
        <f>-home-VLOOKUP(Table2[[#This Row],[Home/Neutral]],rtg_vlookup,4,FALSE)+VLOOKUP(Table2[[#This Row],[Visitor/Neutral]],rtg_vlookup,4,FALSE)</f>
        <v>5.8448815165876695</v>
      </c>
      <c r="W671" s="25"/>
      <c r="X671" s="2"/>
      <c r="Y671" s="2">
        <f>Table2[[#This Row],[Away EV]]-Table2[[#This Row],[Home EV]]</f>
        <v>9.9708874914227721</v>
      </c>
      <c r="Z671" s="33"/>
      <c r="AA671" s="34"/>
      <c r="AB671" s="5" t="b">
        <f>IF(VLOOKUP(Table2[[#This Row],[Home/Neutral]],division_lookup,9,FALSE)=VLOOKUP(Table2[[#This Row],[Visitor/Neutral]],division_lookup,9,FALSE),TRUE,FALSE)</f>
        <v>0</v>
      </c>
      <c r="AC671" s="19" t="str">
        <f>VLOOKUP(Table2[[#This Row],[Home/Neutral]],division_lookup,9,FALSE)</f>
        <v>SE</v>
      </c>
      <c r="AD671" s="19"/>
      <c r="AE671" s="19" t="str">
        <f>IF(Table2[[#This Row],[Total EV ®]]&lt;Table2[[#This Row],[Total (V)]],"UNDER","OVER")</f>
        <v>OVER</v>
      </c>
      <c r="AF671" s="30">
        <f>Table2[[#This Row],[(A) Spread]]-Table2[[#This Row],[Spread (V)]]</f>
        <v>0</v>
      </c>
      <c r="AG671" s="19"/>
      <c r="AH671" s="2">
        <f>Table2[[#This Row],[EV]]-Table2[[#This Row],[Spread (V)]]</f>
        <v>9.9708874914227721</v>
      </c>
      <c r="AI671" s="22">
        <f>Table2[[#This Row],[(A)]]-Table2[[#This Row],[Spread]]</f>
        <v>5.8448815165876695</v>
      </c>
      <c r="AJ671" s="1">
        <f>Table2[[#This Row],[(A) Err]]^2</f>
        <v>34.162639942948175</v>
      </c>
      <c r="AK671" s="6">
        <f>Table2[[#This Row],[EV]]-Table2[[#This Row],[Spread]]</f>
        <v>9.9708874914227721</v>
      </c>
      <c r="AL671" s="1">
        <f>Table2[[#This Row],[EV Err]]^2</f>
        <v>99.418597366611095</v>
      </c>
    </row>
    <row r="672" spans="1:38" x14ac:dyDescent="0.25">
      <c r="A672" t="s">
        <v>131</v>
      </c>
      <c r="B672" t="s">
        <v>30</v>
      </c>
      <c r="C672" t="s">
        <v>17</v>
      </c>
      <c r="K672" s="25">
        <f>(Table2[[#This Row],[Home Pace]]/100)*(VLOOKUP(Table2[[#This Row],[Home/Neutral]],home_lookup,8,FALSE)+VLOOKUP(Table2[[#This Row],[Home/Neutral]],OFR_lookup,2,FALSE)+VLOOKUP(Table2[[#This Row],[Visitor/Neutral]],def_diff_lookup,6,FALSE))</f>
        <v>111.28736034993645</v>
      </c>
      <c r="L672" s="25"/>
      <c r="M672" s="25">
        <f>(Table2[[#This Row],[Away Pace]]/100)*(VLOOKUP(Table2[[#This Row],[Visitor/Neutral]],OFR_lookup,2,FALSE)+VLOOKUP(Table2[[#This Row],[Home/Neutral]],def_diff_lookup,6,FALSE))</f>
        <v>111.94056466666669</v>
      </c>
      <c r="N672" s="25"/>
      <c r="O672" s="25"/>
      <c r="P672">
        <f>VLOOKUP(Table2[[#This Row],[Home/Neutral]],pace_lookup,7,FALSE)</f>
        <v>96.8</v>
      </c>
      <c r="Q672" s="5">
        <f>VLOOKUP(Table2[[#This Row],[Visitor/Neutral]],pace_lookup,7,FALSE)</f>
        <v>96.7</v>
      </c>
      <c r="R672" s="9"/>
      <c r="V672" s="2">
        <f>-home-VLOOKUP(Table2[[#This Row],[Home/Neutral]],rtg_vlookup,4,FALSE)+VLOOKUP(Table2[[#This Row],[Visitor/Neutral]],rtg_vlookup,4,FALSE)</f>
        <v>4.0248815165876692</v>
      </c>
      <c r="W672" s="25"/>
      <c r="X672" s="2"/>
      <c r="Y672" s="2">
        <f>Table2[[#This Row],[Away EV]]-Table2[[#This Row],[Home EV]]</f>
        <v>0.65320431673023904</v>
      </c>
      <c r="Z672" s="33"/>
      <c r="AA672" s="34"/>
      <c r="AB672" s="5" t="b">
        <f>IF(VLOOKUP(Table2[[#This Row],[Home/Neutral]],division_lookup,9,FALSE)=VLOOKUP(Table2[[#This Row],[Visitor/Neutral]],division_lookup,9,FALSE),TRUE,FALSE)</f>
        <v>0</v>
      </c>
      <c r="AC672" s="19" t="str">
        <f>VLOOKUP(Table2[[#This Row],[Home/Neutral]],division_lookup,9,FALSE)</f>
        <v>C</v>
      </c>
      <c r="AD672" s="19"/>
      <c r="AE672" s="19" t="str">
        <f>IF(Table2[[#This Row],[Total EV ®]]&lt;Table2[[#This Row],[Total (V)]],"UNDER","OVER")</f>
        <v>OVER</v>
      </c>
      <c r="AF672" s="30">
        <f>Table2[[#This Row],[(A) Spread]]-Table2[[#This Row],[Spread (V)]]</f>
        <v>0</v>
      </c>
      <c r="AG672" s="19"/>
      <c r="AH672" s="2">
        <f>Table2[[#This Row],[EV]]-Table2[[#This Row],[Spread (V)]]</f>
        <v>0.65320431673023904</v>
      </c>
      <c r="AI672" s="22">
        <f>Table2[[#This Row],[(A)]]-Table2[[#This Row],[Spread]]</f>
        <v>4.0248815165876692</v>
      </c>
      <c r="AJ672" s="1">
        <f>Table2[[#This Row],[(A) Err]]^2</f>
        <v>16.199671222569055</v>
      </c>
      <c r="AK672" s="6">
        <f>Table2[[#This Row],[EV]]-Table2[[#This Row],[Spread]]</f>
        <v>0.65320431673023904</v>
      </c>
      <c r="AL672" s="1">
        <f>Table2[[#This Row],[EV Err]]^2</f>
        <v>0.42667587939501844</v>
      </c>
    </row>
    <row r="673" spans="1:38" x14ac:dyDescent="0.25">
      <c r="A673" t="s">
        <v>131</v>
      </c>
      <c r="B673" t="s">
        <v>34</v>
      </c>
      <c r="C673" t="s">
        <v>8</v>
      </c>
      <c r="K673" s="25">
        <f>(Table2[[#This Row],[Home Pace]]/100)*(VLOOKUP(Table2[[#This Row],[Home/Neutral]],home_lookup,8,FALSE)+VLOOKUP(Table2[[#This Row],[Home/Neutral]],OFR_lookup,2,FALSE)+VLOOKUP(Table2[[#This Row],[Visitor/Neutral]],def_diff_lookup,6,FALSE))</f>
        <v>102.95131864565556</v>
      </c>
      <c r="L673" s="25"/>
      <c r="M673" s="25">
        <f>(Table2[[#This Row],[Away Pace]]/100)*(VLOOKUP(Table2[[#This Row],[Visitor/Neutral]],OFR_lookup,2,FALSE)+VLOOKUP(Table2[[#This Row],[Home/Neutral]],def_diff_lookup,6,FALSE))</f>
        <v>107.824608</v>
      </c>
      <c r="N673" s="25"/>
      <c r="O673" s="25"/>
      <c r="P673">
        <f>VLOOKUP(Table2[[#This Row],[Home/Neutral]],pace_lookup,7,FALSE)</f>
        <v>98.8</v>
      </c>
      <c r="Q673" s="5">
        <f>VLOOKUP(Table2[[#This Row],[Visitor/Neutral]],pace_lookup,7,FALSE)</f>
        <v>97.2</v>
      </c>
      <c r="R673" s="9"/>
      <c r="V673" s="2">
        <f>-home-VLOOKUP(Table2[[#This Row],[Home/Neutral]],rtg_vlookup,4,FALSE)+VLOOKUP(Table2[[#This Row],[Visitor/Neutral]],rtg_vlookup,4,FALSE)</f>
        <v>9.1648815165876698</v>
      </c>
      <c r="W673" s="25"/>
      <c r="X673" s="2"/>
      <c r="Y673" s="2">
        <f>Table2[[#This Row],[Away EV]]-Table2[[#This Row],[Home EV]]</f>
        <v>4.8732893543444362</v>
      </c>
      <c r="Z673" s="33"/>
      <c r="AA673" s="34"/>
      <c r="AB673" s="5" t="b">
        <f>IF(VLOOKUP(Table2[[#This Row],[Home/Neutral]],division_lookup,9,FALSE)=VLOOKUP(Table2[[#This Row],[Visitor/Neutral]],division_lookup,9,FALSE),TRUE,FALSE)</f>
        <v>0</v>
      </c>
      <c r="AC673" s="19" t="str">
        <f>VLOOKUP(Table2[[#This Row],[Home/Neutral]],division_lookup,9,FALSE)</f>
        <v>SW</v>
      </c>
      <c r="AD673" s="19"/>
      <c r="AE673" s="19" t="str">
        <f>IF(Table2[[#This Row],[Total EV ®]]&lt;Table2[[#This Row],[Total (V)]],"UNDER","OVER")</f>
        <v>OVER</v>
      </c>
      <c r="AF673" s="30">
        <f>Table2[[#This Row],[(A) Spread]]-Table2[[#This Row],[Spread (V)]]</f>
        <v>0</v>
      </c>
      <c r="AG673" s="19"/>
      <c r="AH673" s="2">
        <f>Table2[[#This Row],[EV]]-Table2[[#This Row],[Spread (V)]]</f>
        <v>4.8732893543444362</v>
      </c>
      <c r="AI673" s="22">
        <f>Table2[[#This Row],[(A)]]-Table2[[#This Row],[Spread]]</f>
        <v>9.1648815165876698</v>
      </c>
      <c r="AJ673" s="1">
        <f>Table2[[#This Row],[(A) Err]]^2</f>
        <v>83.995053213090301</v>
      </c>
      <c r="AK673" s="6">
        <f>Table2[[#This Row],[EV]]-Table2[[#This Row],[Spread]]</f>
        <v>4.8732893543444362</v>
      </c>
      <c r="AL673" s="1">
        <f>Table2[[#This Row],[EV Err]]^2</f>
        <v>23.74894913116681</v>
      </c>
    </row>
    <row r="674" spans="1:38" x14ac:dyDescent="0.25">
      <c r="A674" t="s">
        <v>131</v>
      </c>
      <c r="B674" t="s">
        <v>20</v>
      </c>
      <c r="C674" t="s">
        <v>18</v>
      </c>
      <c r="K674" s="25">
        <f>(Table2[[#This Row],[Home Pace]]/100)*(VLOOKUP(Table2[[#This Row],[Home/Neutral]],home_lookup,8,FALSE)+VLOOKUP(Table2[[#This Row],[Home/Neutral]],OFR_lookup,2,FALSE)+VLOOKUP(Table2[[#This Row],[Visitor/Neutral]],def_diff_lookup,6,FALSE))</f>
        <v>100.11098528915177</v>
      </c>
      <c r="L674" s="25"/>
      <c r="M674" s="25">
        <f>(Table2[[#This Row],[Away Pace]]/100)*(VLOOKUP(Table2[[#This Row],[Visitor/Neutral]],OFR_lookup,2,FALSE)+VLOOKUP(Table2[[#This Row],[Home/Neutral]],def_diff_lookup,6,FALSE))</f>
        <v>102.48566333333335</v>
      </c>
      <c r="N674" s="25"/>
      <c r="O674" s="25"/>
      <c r="P674">
        <f>VLOOKUP(Table2[[#This Row],[Home/Neutral]],pace_lookup,7,FALSE)</f>
        <v>90.9</v>
      </c>
      <c r="Q674" s="5">
        <f>VLOOKUP(Table2[[#This Row],[Visitor/Neutral]],pace_lookup,7,FALSE)</f>
        <v>99.5</v>
      </c>
      <c r="R674" s="9"/>
      <c r="V674" s="2">
        <f>-home-VLOOKUP(Table2[[#This Row],[Home/Neutral]],rtg_vlookup,4,FALSE)+VLOOKUP(Table2[[#This Row],[Visitor/Neutral]],rtg_vlookup,4,FALSE)</f>
        <v>-2.1351184834123309</v>
      </c>
      <c r="W674" s="25"/>
      <c r="X674" s="2"/>
      <c r="Y674" s="2">
        <f>Table2[[#This Row],[Away EV]]-Table2[[#This Row],[Home EV]]</f>
        <v>2.3746780441815787</v>
      </c>
      <c r="Z674" s="33"/>
      <c r="AA674" s="34"/>
      <c r="AB674" s="5" t="b">
        <f>IF(VLOOKUP(Table2[[#This Row],[Home/Neutral]],division_lookup,9,FALSE)=VLOOKUP(Table2[[#This Row],[Visitor/Neutral]],division_lookup,9,FALSE),TRUE,FALSE)</f>
        <v>1</v>
      </c>
      <c r="AC674" s="19" t="str">
        <f>VLOOKUP(Table2[[#This Row],[Home/Neutral]],division_lookup,9,FALSE)</f>
        <v>NW</v>
      </c>
      <c r="AD674" s="19"/>
      <c r="AE674" s="19" t="str">
        <f>IF(Table2[[#This Row],[Total EV ®]]&lt;Table2[[#This Row],[Total (V)]],"UNDER","OVER")</f>
        <v>OVER</v>
      </c>
      <c r="AF674" s="30">
        <f>Table2[[#This Row],[(A) Spread]]-Table2[[#This Row],[Spread (V)]]</f>
        <v>0</v>
      </c>
      <c r="AG674" s="19"/>
      <c r="AH674" s="2">
        <f>Table2[[#This Row],[EV]]-Table2[[#This Row],[Spread (V)]]</f>
        <v>2.3746780441815787</v>
      </c>
      <c r="AI674" s="22">
        <f>Table2[[#This Row],[(A)]]-Table2[[#This Row],[Spread]]</f>
        <v>-2.1351184834123309</v>
      </c>
      <c r="AJ674" s="1">
        <f>Table2[[#This Row],[(A) Err]]^2</f>
        <v>4.5587309382089716</v>
      </c>
      <c r="AK674" s="6">
        <f>Table2[[#This Row],[EV]]-Table2[[#This Row],[Spread]]</f>
        <v>2.3746780441815787</v>
      </c>
      <c r="AL674" s="1">
        <f>Table2[[#This Row],[EV Err]]^2</f>
        <v>5.6390958135180478</v>
      </c>
    </row>
    <row r="675" spans="1:38" x14ac:dyDescent="0.25">
      <c r="A675" t="s">
        <v>132</v>
      </c>
      <c r="B675" t="s">
        <v>27</v>
      </c>
      <c r="C675" t="s">
        <v>20</v>
      </c>
      <c r="K675" s="25">
        <f>(Table2[[#This Row],[Home Pace]]/100)*(VLOOKUP(Table2[[#This Row],[Home/Neutral]],home_lookup,8,FALSE)+VLOOKUP(Table2[[#This Row],[Home/Neutral]],OFR_lookup,2,FALSE)+VLOOKUP(Table2[[#This Row],[Visitor/Neutral]],def_diff_lookup,6,FALSE))</f>
        <v>103.10985642647259</v>
      </c>
      <c r="L675" s="25"/>
      <c r="M675" s="25">
        <f>(Table2[[#This Row],[Away Pace]]/100)*(VLOOKUP(Table2[[#This Row],[Visitor/Neutral]],OFR_lookup,2,FALSE)+VLOOKUP(Table2[[#This Row],[Home/Neutral]],def_diff_lookup,6,FALSE))</f>
        <v>96.518226000000013</v>
      </c>
      <c r="N675" s="25"/>
      <c r="O675" s="25"/>
      <c r="P675">
        <f>VLOOKUP(Table2[[#This Row],[Home/Neutral]],pace_lookup,7,FALSE)</f>
        <v>99</v>
      </c>
      <c r="Q675" s="5">
        <f>VLOOKUP(Table2[[#This Row],[Visitor/Neutral]],pace_lookup,7,FALSE)</f>
        <v>90.9</v>
      </c>
      <c r="R675" s="9"/>
      <c r="V675" s="2">
        <f>-home-VLOOKUP(Table2[[#This Row],[Home/Neutral]],rtg_vlookup,4,FALSE)+VLOOKUP(Table2[[#This Row],[Visitor/Neutral]],rtg_vlookup,4,FALSE)</f>
        <v>-0.39511848341233091</v>
      </c>
      <c r="W675" s="25"/>
      <c r="X675" s="2"/>
      <c r="Y675" s="2">
        <f>Table2[[#This Row],[Away EV]]-Table2[[#This Row],[Home EV]]</f>
        <v>-6.5916304264725767</v>
      </c>
      <c r="Z675" s="33"/>
      <c r="AA675" s="34"/>
      <c r="AB675" s="5" t="b">
        <f>IF(VLOOKUP(Table2[[#This Row],[Home/Neutral]],division_lookup,9,FALSE)=VLOOKUP(Table2[[#This Row],[Visitor/Neutral]],division_lookup,9,FALSE),TRUE,FALSE)</f>
        <v>1</v>
      </c>
      <c r="AC675" s="19" t="str">
        <f>VLOOKUP(Table2[[#This Row],[Home/Neutral]],division_lookup,9,FALSE)</f>
        <v>NW</v>
      </c>
      <c r="AD675" s="19"/>
      <c r="AE675" s="19" t="str">
        <f>IF(Table2[[#This Row],[Total EV ®]]&lt;Table2[[#This Row],[Total (V)]],"UNDER","OVER")</f>
        <v>OVER</v>
      </c>
      <c r="AF675" s="30">
        <f>Table2[[#This Row],[(A) Spread]]-Table2[[#This Row],[Spread (V)]]</f>
        <v>0</v>
      </c>
      <c r="AG675" s="19"/>
      <c r="AH675" s="2">
        <f>Table2[[#This Row],[EV]]-Table2[[#This Row],[Spread (V)]]</f>
        <v>-6.5916304264725767</v>
      </c>
      <c r="AI675" s="22">
        <f>Table2[[#This Row],[(A)]]-Table2[[#This Row],[Spread]]</f>
        <v>-0.39511848341233091</v>
      </c>
      <c r="AJ675" s="1">
        <f>Table2[[#This Row],[(A) Err]]^2</f>
        <v>0.15611861593406043</v>
      </c>
      <c r="AK675" s="6">
        <f>Table2[[#This Row],[EV]]-Table2[[#This Row],[Spread]]</f>
        <v>-6.5916304264725767</v>
      </c>
      <c r="AL675" s="1">
        <f>Table2[[#This Row],[EV Err]]^2</f>
        <v>43.449591679199045</v>
      </c>
    </row>
    <row r="676" spans="1:38" x14ac:dyDescent="0.25">
      <c r="A676" t="s">
        <v>132</v>
      </c>
      <c r="B676" t="s">
        <v>38</v>
      </c>
      <c r="C676" t="s">
        <v>13</v>
      </c>
      <c r="K676" s="25">
        <f>(Table2[[#This Row],[Home Pace]]/100)*(VLOOKUP(Table2[[#This Row],[Home/Neutral]],home_lookup,8,FALSE)+VLOOKUP(Table2[[#This Row],[Home/Neutral]],OFR_lookup,2,FALSE)+VLOOKUP(Table2[[#This Row],[Visitor/Neutral]],def_diff_lookup,6,FALSE))</f>
        <v>105.3466516789148</v>
      </c>
      <c r="L676" s="25"/>
      <c r="M676" s="25">
        <f>(Table2[[#This Row],[Away Pace]]/100)*(VLOOKUP(Table2[[#This Row],[Visitor/Neutral]],OFR_lookup,2,FALSE)+VLOOKUP(Table2[[#This Row],[Home/Neutral]],def_diff_lookup,6,FALSE))</f>
        <v>106.19028</v>
      </c>
      <c r="N676" s="25"/>
      <c r="O676" s="25"/>
      <c r="P676">
        <f>VLOOKUP(Table2[[#This Row],[Home/Neutral]],pace_lookup,7,FALSE)</f>
        <v>94.2</v>
      </c>
      <c r="Q676" s="5">
        <f>VLOOKUP(Table2[[#This Row],[Visitor/Neutral]],pace_lookup,7,FALSE)</f>
        <v>94.5</v>
      </c>
      <c r="R676" s="9"/>
      <c r="V676" s="2">
        <f>-home-VLOOKUP(Table2[[#This Row],[Home/Neutral]],rtg_vlookup,4,FALSE)+VLOOKUP(Table2[[#This Row],[Visitor/Neutral]],rtg_vlookup,4,FALSE)</f>
        <v>11.604881516587668</v>
      </c>
      <c r="W676" s="25"/>
      <c r="X676" s="2"/>
      <c r="Y676" s="2">
        <f>Table2[[#This Row],[Away EV]]-Table2[[#This Row],[Home EV]]</f>
        <v>0.84362832108520536</v>
      </c>
      <c r="Z676" s="33"/>
      <c r="AA676" s="34"/>
      <c r="AB676" s="5" t="b">
        <f>IF(VLOOKUP(Table2[[#This Row],[Home/Neutral]],division_lookup,9,FALSE)=VLOOKUP(Table2[[#This Row],[Visitor/Neutral]],division_lookup,9,FALSE),TRUE,FALSE)</f>
        <v>0</v>
      </c>
      <c r="AC676" s="19" t="str">
        <f>VLOOKUP(Table2[[#This Row],[Home/Neutral]],division_lookup,9,FALSE)</f>
        <v>SE</v>
      </c>
      <c r="AD676" s="19"/>
      <c r="AE676" s="19" t="str">
        <f>IF(Table2[[#This Row],[Total EV ®]]&lt;Table2[[#This Row],[Total (V)]],"UNDER","OVER")</f>
        <v>OVER</v>
      </c>
      <c r="AF676" s="30">
        <f>Table2[[#This Row],[(A) Spread]]-Table2[[#This Row],[Spread (V)]]</f>
        <v>0</v>
      </c>
      <c r="AG676" s="19"/>
      <c r="AH676" s="2">
        <f>Table2[[#This Row],[EV]]-Table2[[#This Row],[Spread (V)]]</f>
        <v>0.84362832108520536</v>
      </c>
      <c r="AI676" s="22">
        <f>Table2[[#This Row],[(A)]]-Table2[[#This Row],[Spread]]</f>
        <v>11.604881516587668</v>
      </c>
      <c r="AJ676" s="1">
        <f>Table2[[#This Row],[(A) Err]]^2</f>
        <v>134.67327501403807</v>
      </c>
      <c r="AK676" s="6">
        <f>Table2[[#This Row],[EV]]-Table2[[#This Row],[Spread]]</f>
        <v>0.84362832108520536</v>
      </c>
      <c r="AL676" s="1">
        <f>Table2[[#This Row],[EV Err]]^2</f>
        <v>0.71170874413704233</v>
      </c>
    </row>
    <row r="677" spans="1:38" x14ac:dyDescent="0.25">
      <c r="A677" t="s">
        <v>132</v>
      </c>
      <c r="B677" t="s">
        <v>39</v>
      </c>
      <c r="C677" t="s">
        <v>4</v>
      </c>
      <c r="K677" s="25">
        <f>(Table2[[#This Row],[Home Pace]]/100)*(VLOOKUP(Table2[[#This Row],[Home/Neutral]],home_lookup,8,FALSE)+VLOOKUP(Table2[[#This Row],[Home/Neutral]],OFR_lookup,2,FALSE)+VLOOKUP(Table2[[#This Row],[Visitor/Neutral]],def_diff_lookup,6,FALSE))</f>
        <v>101.40002211468578</v>
      </c>
      <c r="L677" s="25"/>
      <c r="M677" s="25">
        <f>(Table2[[#This Row],[Away Pace]]/100)*(VLOOKUP(Table2[[#This Row],[Visitor/Neutral]],OFR_lookup,2,FALSE)+VLOOKUP(Table2[[#This Row],[Home/Neutral]],def_diff_lookup,6,FALSE))</f>
        <v>113.87272400000001</v>
      </c>
      <c r="N677" s="25"/>
      <c r="O677" s="25"/>
      <c r="P677">
        <f>VLOOKUP(Table2[[#This Row],[Home/Neutral]],pace_lookup,7,FALSE)</f>
        <v>97.5</v>
      </c>
      <c r="Q677" s="5">
        <f>VLOOKUP(Table2[[#This Row],[Visitor/Neutral]],pace_lookup,7,FALSE)</f>
        <v>96.6</v>
      </c>
      <c r="R677" s="9"/>
      <c r="V677" s="2">
        <f>-home-VLOOKUP(Table2[[#This Row],[Home/Neutral]],rtg_vlookup,4,FALSE)+VLOOKUP(Table2[[#This Row],[Visitor/Neutral]],rtg_vlookup,4,FALSE)</f>
        <v>21.184881516587669</v>
      </c>
      <c r="W677" s="25"/>
      <c r="X677" s="2"/>
      <c r="Y677" s="2">
        <f>Table2[[#This Row],[Away EV]]-Table2[[#This Row],[Home EV]]</f>
        <v>12.472701885314223</v>
      </c>
      <c r="Z677" s="33"/>
      <c r="AA677" s="34"/>
      <c r="AB677" s="5" t="b">
        <f>IF(VLOOKUP(Table2[[#This Row],[Home/Neutral]],division_lookup,9,FALSE)=VLOOKUP(Table2[[#This Row],[Visitor/Neutral]],division_lookup,9,FALSE),TRUE,FALSE)</f>
        <v>0</v>
      </c>
      <c r="AC677" s="19" t="str">
        <f>VLOOKUP(Table2[[#This Row],[Home/Neutral]],division_lookup,9,FALSE)</f>
        <v>A</v>
      </c>
      <c r="AD677" s="19"/>
      <c r="AE677" s="19" t="str">
        <f>IF(Table2[[#This Row],[Total EV ®]]&lt;Table2[[#This Row],[Total (V)]],"UNDER","OVER")</f>
        <v>OVER</v>
      </c>
      <c r="AF677" s="30">
        <f>Table2[[#This Row],[(A) Spread]]-Table2[[#This Row],[Spread (V)]]</f>
        <v>0</v>
      </c>
      <c r="AG677" s="19"/>
      <c r="AH677" s="2">
        <f>Table2[[#This Row],[EV]]-Table2[[#This Row],[Spread (V)]]</f>
        <v>12.472701885314223</v>
      </c>
      <c r="AI677" s="22">
        <f>Table2[[#This Row],[(A)]]-Table2[[#This Row],[Spread]]</f>
        <v>21.184881516587669</v>
      </c>
      <c r="AJ677" s="1">
        <f>Table2[[#This Row],[(A) Err]]^2</f>
        <v>448.79920487185785</v>
      </c>
      <c r="AK677" s="6">
        <f>Table2[[#This Row],[EV]]-Table2[[#This Row],[Spread]]</f>
        <v>12.472701885314223</v>
      </c>
      <c r="AL677" s="1">
        <f>Table2[[#This Row],[EV Err]]^2</f>
        <v>155.56829231992097</v>
      </c>
    </row>
    <row r="678" spans="1:38" x14ac:dyDescent="0.25">
      <c r="A678" t="s">
        <v>132</v>
      </c>
      <c r="B678" t="s">
        <v>36</v>
      </c>
      <c r="C678" t="s">
        <v>22</v>
      </c>
      <c r="K678" s="25">
        <f>(Table2[[#This Row],[Home Pace]]/100)*(VLOOKUP(Table2[[#This Row],[Home/Neutral]],home_lookup,8,FALSE)+VLOOKUP(Table2[[#This Row],[Home/Neutral]],OFR_lookup,2,FALSE)+VLOOKUP(Table2[[#This Row],[Visitor/Neutral]],def_diff_lookup,6,FALSE))</f>
        <v>111.60105156604043</v>
      </c>
      <c r="L678" s="25"/>
      <c r="M678" s="25">
        <f>(Table2[[#This Row],[Away Pace]]/100)*(VLOOKUP(Table2[[#This Row],[Visitor/Neutral]],OFR_lookup,2,FALSE)+VLOOKUP(Table2[[#This Row],[Home/Neutral]],def_diff_lookup,6,FALSE))</f>
        <v>108.04386133333335</v>
      </c>
      <c r="N678" s="25"/>
      <c r="O678" s="25"/>
      <c r="P678">
        <f>VLOOKUP(Table2[[#This Row],[Home/Neutral]],pace_lookup,7,FALSE)</f>
        <v>102.2</v>
      </c>
      <c r="Q678" s="5">
        <f>VLOOKUP(Table2[[#This Row],[Visitor/Neutral]],pace_lookup,7,FALSE)</f>
        <v>94.7</v>
      </c>
      <c r="R678" s="9"/>
      <c r="V678" s="2">
        <f>-home-VLOOKUP(Table2[[#This Row],[Home/Neutral]],rtg_vlookup,4,FALSE)+VLOOKUP(Table2[[#This Row],[Visitor/Neutral]],rtg_vlookup,4,FALSE)</f>
        <v>4.3848815165876696</v>
      </c>
      <c r="W678" s="25"/>
      <c r="X678" s="2"/>
      <c r="Y678" s="2">
        <f>Table2[[#This Row],[Away EV]]-Table2[[#This Row],[Home EV]]</f>
        <v>-3.5571902327070717</v>
      </c>
      <c r="Z678" s="33"/>
      <c r="AA678" s="34"/>
      <c r="AB678" s="5" t="b">
        <f>IF(VLOOKUP(Table2[[#This Row],[Home/Neutral]],division_lookup,9,FALSE)=VLOOKUP(Table2[[#This Row],[Visitor/Neutral]],division_lookup,9,FALSE),TRUE,FALSE)</f>
        <v>0</v>
      </c>
      <c r="AC678" s="19" t="str">
        <f>VLOOKUP(Table2[[#This Row],[Home/Neutral]],division_lookup,9,FALSE)</f>
        <v>P</v>
      </c>
      <c r="AD678" s="19"/>
      <c r="AE678" s="19" t="str">
        <f>IF(Table2[[#This Row],[Total EV ®]]&lt;Table2[[#This Row],[Total (V)]],"UNDER","OVER")</f>
        <v>OVER</v>
      </c>
      <c r="AF678" s="30">
        <f>Table2[[#This Row],[(A) Spread]]-Table2[[#This Row],[Spread (V)]]</f>
        <v>0</v>
      </c>
      <c r="AG678" s="19"/>
      <c r="AH678" s="2">
        <f>Table2[[#This Row],[EV]]-Table2[[#This Row],[Spread (V)]]</f>
        <v>-3.5571902327070717</v>
      </c>
      <c r="AI678" s="22">
        <f>Table2[[#This Row],[(A)]]-Table2[[#This Row],[Spread]]</f>
        <v>4.3848815165876696</v>
      </c>
      <c r="AJ678" s="1">
        <f>Table2[[#This Row],[(A) Err]]^2</f>
        <v>19.22718591451218</v>
      </c>
      <c r="AK678" s="6">
        <f>Table2[[#This Row],[EV]]-Table2[[#This Row],[Spread]]</f>
        <v>-3.5571902327070717</v>
      </c>
      <c r="AL678" s="1">
        <f>Table2[[#This Row],[EV Err]]^2</f>
        <v>12.65360235166659</v>
      </c>
    </row>
    <row r="679" spans="1:38" x14ac:dyDescent="0.25">
      <c r="A679" t="s">
        <v>132</v>
      </c>
      <c r="B679" t="s">
        <v>14</v>
      </c>
      <c r="C679" t="s">
        <v>6</v>
      </c>
      <c r="K679" s="25">
        <f>(Table2[[#This Row],[Home Pace]]/100)*(VLOOKUP(Table2[[#This Row],[Home/Neutral]],home_lookup,8,FALSE)+VLOOKUP(Table2[[#This Row],[Home/Neutral]],OFR_lookup,2,FALSE)+VLOOKUP(Table2[[#This Row],[Visitor/Neutral]],def_diff_lookup,6,FALSE))</f>
        <v>104.96208414241451</v>
      </c>
      <c r="L679" s="25"/>
      <c r="M679" s="25">
        <f>(Table2[[#This Row],[Away Pace]]/100)*(VLOOKUP(Table2[[#This Row],[Visitor/Neutral]],OFR_lookup,2,FALSE)+VLOOKUP(Table2[[#This Row],[Home/Neutral]],def_diff_lookup,6,FALSE))</f>
        <v>105.11052066666667</v>
      </c>
      <c r="N679" s="25"/>
      <c r="O679" s="25"/>
      <c r="P679">
        <f>VLOOKUP(Table2[[#This Row],[Home/Neutral]],pace_lookup,7,FALSE)</f>
        <v>95.9</v>
      </c>
      <c r="Q679" s="5">
        <f>VLOOKUP(Table2[[#This Row],[Visitor/Neutral]],pace_lookup,7,FALSE)</f>
        <v>93.1</v>
      </c>
      <c r="R679" s="9"/>
      <c r="V679" s="2">
        <f>-home-VLOOKUP(Table2[[#This Row],[Home/Neutral]],rtg_vlookup,4,FALSE)+VLOOKUP(Table2[[#This Row],[Visitor/Neutral]],rtg_vlookup,4,FALSE)</f>
        <v>-0.69511848341233051</v>
      </c>
      <c r="W679" s="25"/>
      <c r="X679" s="2"/>
      <c r="Y679" s="2">
        <f>Table2[[#This Row],[Away EV]]-Table2[[#This Row],[Home EV]]</f>
        <v>0.14843652425216192</v>
      </c>
      <c r="Z679" s="33"/>
      <c r="AA679" s="34"/>
      <c r="AB679" s="5" t="b">
        <f>IF(VLOOKUP(Table2[[#This Row],[Home/Neutral]],division_lookup,9,FALSE)=VLOOKUP(Table2[[#This Row],[Visitor/Neutral]],division_lookup,9,FALSE),TRUE,FALSE)</f>
        <v>0</v>
      </c>
      <c r="AC679" s="19" t="str">
        <f>VLOOKUP(Table2[[#This Row],[Home/Neutral]],division_lookup,9,FALSE)</f>
        <v>A</v>
      </c>
      <c r="AD679" s="19"/>
      <c r="AE679" s="19" t="str">
        <f>IF(Table2[[#This Row],[Total EV ®]]&lt;Table2[[#This Row],[Total (V)]],"UNDER","OVER")</f>
        <v>OVER</v>
      </c>
      <c r="AF679" s="30">
        <f>Table2[[#This Row],[(A) Spread]]-Table2[[#This Row],[Spread (V)]]</f>
        <v>0</v>
      </c>
      <c r="AG679" s="19"/>
      <c r="AH679" s="2">
        <f>Table2[[#This Row],[EV]]-Table2[[#This Row],[Spread (V)]]</f>
        <v>0.14843652425216192</v>
      </c>
      <c r="AI679" s="22">
        <f>Table2[[#This Row],[(A)]]-Table2[[#This Row],[Spread]]</f>
        <v>-0.69511848341233051</v>
      </c>
      <c r="AJ679" s="1">
        <f>Table2[[#This Row],[(A) Err]]^2</f>
        <v>0.48318970598145838</v>
      </c>
      <c r="AK679" s="6">
        <f>Table2[[#This Row],[EV]]-Table2[[#This Row],[Spread]]</f>
        <v>0.14843652425216192</v>
      </c>
      <c r="AL679" s="1">
        <f>Table2[[#This Row],[EV Err]]^2</f>
        <v>2.2033401732062651E-2</v>
      </c>
    </row>
    <row r="680" spans="1:38" x14ac:dyDescent="0.25">
      <c r="A680" t="s">
        <v>132</v>
      </c>
      <c r="B680" t="s">
        <v>28</v>
      </c>
      <c r="C680" t="s">
        <v>26</v>
      </c>
      <c r="K680" s="25">
        <f>(Table2[[#This Row],[Home Pace]]/100)*(VLOOKUP(Table2[[#This Row],[Home/Neutral]],home_lookup,8,FALSE)+VLOOKUP(Table2[[#This Row],[Home/Neutral]],OFR_lookup,2,FALSE)+VLOOKUP(Table2[[#This Row],[Visitor/Neutral]],def_diff_lookup,6,FALSE))</f>
        <v>110.01029553204273</v>
      </c>
      <c r="L680" s="25"/>
      <c r="M680" s="25">
        <f>(Table2[[#This Row],[Away Pace]]/100)*(VLOOKUP(Table2[[#This Row],[Visitor/Neutral]],OFR_lookup,2,FALSE)+VLOOKUP(Table2[[#This Row],[Home/Neutral]],def_diff_lookup,6,FALSE))</f>
        <v>106.38784000000001</v>
      </c>
      <c r="N680" s="25"/>
      <c r="O680" s="25"/>
      <c r="P680">
        <f>VLOOKUP(Table2[[#This Row],[Home/Neutral]],pace_lookup,7,FALSE)</f>
        <v>96.3</v>
      </c>
      <c r="Q680" s="5">
        <f>VLOOKUP(Table2[[#This Row],[Visitor/Neutral]],pace_lookup,7,FALSE)</f>
        <v>96</v>
      </c>
      <c r="R680" s="9"/>
      <c r="V680" s="2">
        <f>-home-VLOOKUP(Table2[[#This Row],[Home/Neutral]],rtg_vlookup,4,FALSE)+VLOOKUP(Table2[[#This Row],[Visitor/Neutral]],rtg_vlookup,4,FALSE)</f>
        <v>-1.0351184834123306</v>
      </c>
      <c r="W680" s="25"/>
      <c r="X680" s="2"/>
      <c r="Y680" s="2">
        <f>Table2[[#This Row],[Away EV]]-Table2[[#This Row],[Home EV]]</f>
        <v>-3.6224555320427214</v>
      </c>
      <c r="Z680" s="33"/>
      <c r="AA680" s="34"/>
      <c r="AB680" s="5" t="b">
        <f>IF(VLOOKUP(Table2[[#This Row],[Home/Neutral]],division_lookup,9,FALSE)=VLOOKUP(Table2[[#This Row],[Visitor/Neutral]],division_lookup,9,FALSE),TRUE,FALSE)</f>
        <v>0</v>
      </c>
      <c r="AC680" s="19" t="str">
        <f>VLOOKUP(Table2[[#This Row],[Home/Neutral]],division_lookup,9,FALSE)</f>
        <v>SE</v>
      </c>
      <c r="AD680" s="19"/>
      <c r="AE680" s="19" t="str">
        <f>IF(Table2[[#This Row],[Total EV ®]]&lt;Table2[[#This Row],[Total (V)]],"UNDER","OVER")</f>
        <v>OVER</v>
      </c>
      <c r="AF680" s="30">
        <f>Table2[[#This Row],[(A) Spread]]-Table2[[#This Row],[Spread (V)]]</f>
        <v>0</v>
      </c>
      <c r="AG680" s="19"/>
      <c r="AH680" s="2">
        <f>Table2[[#This Row],[EV]]-Table2[[#This Row],[Spread (V)]]</f>
        <v>-3.6224555320427214</v>
      </c>
      <c r="AI680" s="22">
        <f>Table2[[#This Row],[(A)]]-Table2[[#This Row],[Spread]]</f>
        <v>-1.0351184834123306</v>
      </c>
      <c r="AJ680" s="1">
        <f>Table2[[#This Row],[(A) Err]]^2</f>
        <v>1.0714702747018434</v>
      </c>
      <c r="AK680" s="6">
        <f>Table2[[#This Row],[EV]]-Table2[[#This Row],[Spread]]</f>
        <v>-3.6224555320427214</v>
      </c>
      <c r="AL680" s="1">
        <f>Table2[[#This Row],[EV Err]]^2</f>
        <v>13.122184081626916</v>
      </c>
    </row>
    <row r="681" spans="1:38" x14ac:dyDescent="0.25">
      <c r="A681" t="s">
        <v>133</v>
      </c>
      <c r="B681" t="s">
        <v>26</v>
      </c>
      <c r="C681" t="s">
        <v>17</v>
      </c>
      <c r="K681" s="25">
        <f>(Table2[[#This Row],[Home Pace]]/100)*(VLOOKUP(Table2[[#This Row],[Home/Neutral]],home_lookup,8,FALSE)+VLOOKUP(Table2[[#This Row],[Home/Neutral]],OFR_lookup,2,FALSE)+VLOOKUP(Table2[[#This Row],[Visitor/Neutral]],def_diff_lookup,6,FALSE))</f>
        <v>110.00016358918158</v>
      </c>
      <c r="L681" s="25"/>
      <c r="M681" s="25">
        <f>(Table2[[#This Row],[Away Pace]]/100)*(VLOOKUP(Table2[[#This Row],[Visitor/Neutral]],OFR_lookup,2,FALSE)+VLOOKUP(Table2[[#This Row],[Home/Neutral]],def_diff_lookup,6,FALSE))</f>
        <v>111.76650466666668</v>
      </c>
      <c r="N681" s="25"/>
      <c r="O681" s="25"/>
      <c r="P681">
        <f>VLOOKUP(Table2[[#This Row],[Home/Neutral]],pace_lookup,7,FALSE)</f>
        <v>96</v>
      </c>
      <c r="Q681" s="5">
        <f>VLOOKUP(Table2[[#This Row],[Visitor/Neutral]],pace_lookup,7,FALSE)</f>
        <v>96.7</v>
      </c>
      <c r="R681" s="9"/>
      <c r="V681" s="2">
        <f>-home-VLOOKUP(Table2[[#This Row],[Home/Neutral]],rtg_vlookup,4,FALSE)+VLOOKUP(Table2[[#This Row],[Visitor/Neutral]],rtg_vlookup,4,FALSE)</f>
        <v>1.7348815165876692</v>
      </c>
      <c r="W681" s="25"/>
      <c r="X681" s="2"/>
      <c r="Y681" s="2">
        <f>Table2[[#This Row],[Away EV]]-Table2[[#This Row],[Home EV]]</f>
        <v>1.7663410774850945</v>
      </c>
      <c r="Z681" s="33"/>
      <c r="AA681" s="34"/>
      <c r="AB681" s="5" t="b">
        <f>IF(VLOOKUP(Table2[[#This Row],[Home/Neutral]],division_lookup,9,FALSE)=VLOOKUP(Table2[[#This Row],[Visitor/Neutral]],division_lookup,9,FALSE),TRUE,FALSE)</f>
        <v>0</v>
      </c>
      <c r="AC681" s="19" t="str">
        <f>VLOOKUP(Table2[[#This Row],[Home/Neutral]],division_lookup,9,FALSE)</f>
        <v>A</v>
      </c>
      <c r="AD681" s="19"/>
      <c r="AE681" s="19" t="str">
        <f>IF(Table2[[#This Row],[Total EV ®]]&lt;Table2[[#This Row],[Total (V)]],"UNDER","OVER")</f>
        <v>OVER</v>
      </c>
      <c r="AF681" s="30">
        <f>Table2[[#This Row],[(A) Spread]]-Table2[[#This Row],[Spread (V)]]</f>
        <v>0</v>
      </c>
      <c r="AG681" s="19"/>
      <c r="AH681" s="2">
        <f>Table2[[#This Row],[EV]]-Table2[[#This Row],[Spread (V)]]</f>
        <v>1.7663410774850945</v>
      </c>
      <c r="AI681" s="22">
        <f>Table2[[#This Row],[(A)]]-Table2[[#This Row],[Spread]]</f>
        <v>1.7348815165876692</v>
      </c>
      <c r="AJ681" s="1">
        <f>Table2[[#This Row],[(A) Err]]^2</f>
        <v>3.0098138765975313</v>
      </c>
      <c r="AK681" s="6">
        <f>Table2[[#This Row],[EV]]-Table2[[#This Row],[Spread]]</f>
        <v>1.7663410774850945</v>
      </c>
      <c r="AL681" s="1">
        <f>Table2[[#This Row],[EV Err]]^2</f>
        <v>3.1199608020112044</v>
      </c>
    </row>
    <row r="682" spans="1:38" x14ac:dyDescent="0.25">
      <c r="A682" t="s">
        <v>133</v>
      </c>
      <c r="B682" t="s">
        <v>35</v>
      </c>
      <c r="C682" t="s">
        <v>21</v>
      </c>
      <c r="K682" s="25">
        <f>(Table2[[#This Row],[Home Pace]]/100)*(VLOOKUP(Table2[[#This Row],[Home/Neutral]],home_lookup,8,FALSE)+VLOOKUP(Table2[[#This Row],[Home/Neutral]],OFR_lookup,2,FALSE)+VLOOKUP(Table2[[#This Row],[Visitor/Neutral]],def_diff_lookup,6,FALSE))</f>
        <v>103.76711121209625</v>
      </c>
      <c r="L682" s="25"/>
      <c r="M682" s="25">
        <f>(Table2[[#This Row],[Away Pace]]/100)*(VLOOKUP(Table2[[#This Row],[Visitor/Neutral]],OFR_lookup,2,FALSE)+VLOOKUP(Table2[[#This Row],[Home/Neutral]],def_diff_lookup,6,FALSE))</f>
        <v>99.880888000000013</v>
      </c>
      <c r="N682" s="25"/>
      <c r="O682" s="25"/>
      <c r="P682">
        <f>VLOOKUP(Table2[[#This Row],[Home/Neutral]],pace_lookup,7,FALSE)</f>
        <v>102.2</v>
      </c>
      <c r="Q682" s="5">
        <f>VLOOKUP(Table2[[#This Row],[Visitor/Neutral]],pace_lookup,7,FALSE)</f>
        <v>94.2</v>
      </c>
      <c r="R682" s="9"/>
      <c r="V682" s="2">
        <f>-home-VLOOKUP(Table2[[#This Row],[Home/Neutral]],rtg_vlookup,4,FALSE)+VLOOKUP(Table2[[#This Row],[Visitor/Neutral]],rtg_vlookup,4,FALSE)</f>
        <v>3.494881516587669</v>
      </c>
      <c r="W682" s="25"/>
      <c r="X682" s="2"/>
      <c r="Y682" s="2">
        <f>Table2[[#This Row],[Away EV]]-Table2[[#This Row],[Home EV]]</f>
        <v>-3.8862232120962403</v>
      </c>
      <c r="Z682" s="33"/>
      <c r="AA682" s="34"/>
      <c r="AB682" s="5" t="b">
        <f>IF(VLOOKUP(Table2[[#This Row],[Home/Neutral]],division_lookup,9,FALSE)=VLOOKUP(Table2[[#This Row],[Visitor/Neutral]],division_lookup,9,FALSE),TRUE,FALSE)</f>
        <v>0</v>
      </c>
      <c r="AC682" s="19" t="str">
        <f>VLOOKUP(Table2[[#This Row],[Home/Neutral]],division_lookup,9,FALSE)</f>
        <v>A</v>
      </c>
      <c r="AD682" s="19"/>
      <c r="AE682" s="19" t="str">
        <f>IF(Table2[[#This Row],[Total EV ®]]&lt;Table2[[#This Row],[Total (V)]],"UNDER","OVER")</f>
        <v>OVER</v>
      </c>
      <c r="AF682" s="30">
        <f>Table2[[#This Row],[(A) Spread]]-Table2[[#This Row],[Spread (V)]]</f>
        <v>0</v>
      </c>
      <c r="AG682" s="19"/>
      <c r="AH682" s="2">
        <f>Table2[[#This Row],[EV]]-Table2[[#This Row],[Spread (V)]]</f>
        <v>-3.8862232120962403</v>
      </c>
      <c r="AI682" s="22">
        <f>Table2[[#This Row],[(A)]]-Table2[[#This Row],[Spread]]</f>
        <v>3.494881516587669</v>
      </c>
      <c r="AJ682" s="1">
        <f>Table2[[#This Row],[(A) Err]]^2</f>
        <v>12.214196814986126</v>
      </c>
      <c r="AK682" s="6">
        <f>Table2[[#This Row],[EV]]-Table2[[#This Row],[Spread]]</f>
        <v>-3.8862232120962403</v>
      </c>
      <c r="AL682" s="1">
        <f>Table2[[#This Row],[EV Err]]^2</f>
        <v>15.10273085423562</v>
      </c>
    </row>
    <row r="683" spans="1:38" x14ac:dyDescent="0.25">
      <c r="A683" t="s">
        <v>133</v>
      </c>
      <c r="B683" t="s">
        <v>13</v>
      </c>
      <c r="C683" t="s">
        <v>11</v>
      </c>
      <c r="K683" s="25">
        <f>(Table2[[#This Row],[Home Pace]]/100)*(VLOOKUP(Table2[[#This Row],[Home/Neutral]],home_lookup,8,FALSE)+VLOOKUP(Table2[[#This Row],[Home/Neutral]],OFR_lookup,2,FALSE)+VLOOKUP(Table2[[#This Row],[Visitor/Neutral]],def_diff_lookup,6,FALSE))</f>
        <v>98.021141084504009</v>
      </c>
      <c r="L683" s="25"/>
      <c r="M683" s="25">
        <f>(Table2[[#This Row],[Away Pace]]/100)*(VLOOKUP(Table2[[#This Row],[Visitor/Neutral]],OFR_lookup,2,FALSE)+VLOOKUP(Table2[[#This Row],[Home/Neutral]],def_diff_lookup,6,FALSE))</f>
        <v>103.82824466666668</v>
      </c>
      <c r="N683" s="25"/>
      <c r="O683" s="25"/>
      <c r="P683">
        <f>VLOOKUP(Table2[[#This Row],[Home/Neutral]],pace_lookup,7,FALSE)</f>
        <v>94.5</v>
      </c>
      <c r="Q683" s="5">
        <f>VLOOKUP(Table2[[#This Row],[Visitor/Neutral]],pace_lookup,7,FALSE)</f>
        <v>99.7</v>
      </c>
      <c r="R683" s="9"/>
      <c r="V683" s="2">
        <f>-home-VLOOKUP(Table2[[#This Row],[Home/Neutral]],rtg_vlookup,4,FALSE)+VLOOKUP(Table2[[#This Row],[Visitor/Neutral]],rtg_vlookup,4,FALSE)</f>
        <v>-2.045118483412331</v>
      </c>
      <c r="W683" s="25"/>
      <c r="X683" s="2"/>
      <c r="Y683" s="2">
        <f>Table2[[#This Row],[Away EV]]-Table2[[#This Row],[Home EV]]</f>
        <v>5.807103582162668</v>
      </c>
      <c r="Z683" s="33"/>
      <c r="AA683" s="34"/>
      <c r="AB683" s="5" t="b">
        <f>IF(VLOOKUP(Table2[[#This Row],[Home/Neutral]],division_lookup,9,FALSE)=VLOOKUP(Table2[[#This Row],[Visitor/Neutral]],division_lookup,9,FALSE),TRUE,FALSE)</f>
        <v>0</v>
      </c>
      <c r="AC683" s="19" t="str">
        <f>VLOOKUP(Table2[[#This Row],[Home/Neutral]],division_lookup,9,FALSE)</f>
        <v>C</v>
      </c>
      <c r="AD683" s="19"/>
      <c r="AE683" s="19" t="str">
        <f>IF(Table2[[#This Row],[Total EV ®]]&lt;Table2[[#This Row],[Total (V)]],"UNDER","OVER")</f>
        <v>OVER</v>
      </c>
      <c r="AF683" s="30">
        <f>Table2[[#This Row],[(A) Spread]]-Table2[[#This Row],[Spread (V)]]</f>
        <v>0</v>
      </c>
      <c r="AG683" s="19"/>
      <c r="AH683" s="2">
        <f>Table2[[#This Row],[EV]]-Table2[[#This Row],[Spread (V)]]</f>
        <v>5.807103582162668</v>
      </c>
      <c r="AI683" s="22">
        <f>Table2[[#This Row],[(A)]]-Table2[[#This Row],[Spread]]</f>
        <v>-2.045118483412331</v>
      </c>
      <c r="AJ683" s="1">
        <f>Table2[[#This Row],[(A) Err]]^2</f>
        <v>4.1825096111947531</v>
      </c>
      <c r="AK683" s="6">
        <f>Table2[[#This Row],[EV]]-Table2[[#This Row],[Spread]]</f>
        <v>5.807103582162668</v>
      </c>
      <c r="AL683" s="1">
        <f>Table2[[#This Row],[EV Err]]^2</f>
        <v>33.722452013966489</v>
      </c>
    </row>
    <row r="684" spans="1:38" x14ac:dyDescent="0.25">
      <c r="A684" t="s">
        <v>133</v>
      </c>
      <c r="B684" t="s">
        <v>16</v>
      </c>
      <c r="C684" t="s">
        <v>10</v>
      </c>
      <c r="K684" s="25">
        <f>(Table2[[#This Row],[Home Pace]]/100)*(VLOOKUP(Table2[[#This Row],[Home/Neutral]],home_lookup,8,FALSE)+VLOOKUP(Table2[[#This Row],[Home/Neutral]],OFR_lookup,2,FALSE)+VLOOKUP(Table2[[#This Row],[Visitor/Neutral]],def_diff_lookup,6,FALSE))</f>
        <v>105.2448560111595</v>
      </c>
      <c r="L684" s="25"/>
      <c r="M684" s="25">
        <f>(Table2[[#This Row],[Away Pace]]/100)*(VLOOKUP(Table2[[#This Row],[Visitor/Neutral]],OFR_lookup,2,FALSE)+VLOOKUP(Table2[[#This Row],[Home/Neutral]],def_diff_lookup,6,FALSE))</f>
        <v>114.93443866666667</v>
      </c>
      <c r="N684" s="25"/>
      <c r="O684" s="25"/>
      <c r="P684">
        <f>VLOOKUP(Table2[[#This Row],[Home/Neutral]],pace_lookup,7,FALSE)</f>
        <v>97.5</v>
      </c>
      <c r="Q684" s="5">
        <f>VLOOKUP(Table2[[#This Row],[Visitor/Neutral]],pace_lookup,7,FALSE)</f>
        <v>100.3</v>
      </c>
      <c r="R684" s="9"/>
      <c r="V684" s="2">
        <f>-home-VLOOKUP(Table2[[#This Row],[Home/Neutral]],rtg_vlookup,4,FALSE)+VLOOKUP(Table2[[#This Row],[Visitor/Neutral]],rtg_vlookup,4,FALSE)</f>
        <v>3.1348815165876696</v>
      </c>
      <c r="W684" s="25"/>
      <c r="X684" s="2"/>
      <c r="Y684" s="2">
        <f>Table2[[#This Row],[Away EV]]-Table2[[#This Row],[Home EV]]</f>
        <v>9.6895826555071665</v>
      </c>
      <c r="Z684" s="33"/>
      <c r="AA684" s="34"/>
      <c r="AB684" s="5" t="b">
        <f>IF(VLOOKUP(Table2[[#This Row],[Home/Neutral]],division_lookup,9,FALSE)=VLOOKUP(Table2[[#This Row],[Visitor/Neutral]],division_lookup,9,FALSE),TRUE,FALSE)</f>
        <v>0</v>
      </c>
      <c r="AC684" s="19" t="str">
        <f>VLOOKUP(Table2[[#This Row],[Home/Neutral]],division_lookup,9,FALSE)</f>
        <v>SE</v>
      </c>
      <c r="AD684" s="19"/>
      <c r="AE684" s="19" t="str">
        <f>IF(Table2[[#This Row],[Total EV ®]]&lt;Table2[[#This Row],[Total (V)]],"UNDER","OVER")</f>
        <v>OVER</v>
      </c>
      <c r="AF684" s="30">
        <f>Table2[[#This Row],[(A) Spread]]-Table2[[#This Row],[Spread (V)]]</f>
        <v>0</v>
      </c>
      <c r="AG684" s="19"/>
      <c r="AH684" s="2">
        <f>Table2[[#This Row],[EV]]-Table2[[#This Row],[Spread (V)]]</f>
        <v>9.6895826555071665</v>
      </c>
      <c r="AI684" s="22">
        <f>Table2[[#This Row],[(A)]]-Table2[[#This Row],[Spread]]</f>
        <v>3.1348815165876696</v>
      </c>
      <c r="AJ684" s="1">
        <f>Table2[[#This Row],[(A) Err]]^2</f>
        <v>9.8274821230430067</v>
      </c>
      <c r="AK684" s="6">
        <f>Table2[[#This Row],[EV]]-Table2[[#This Row],[Spread]]</f>
        <v>9.6895826555071665</v>
      </c>
      <c r="AL684" s="1">
        <f>Table2[[#This Row],[EV Err]]^2</f>
        <v>93.888012037905312</v>
      </c>
    </row>
    <row r="685" spans="1:38" x14ac:dyDescent="0.25">
      <c r="A685" t="s">
        <v>133</v>
      </c>
      <c r="B685" t="s">
        <v>8</v>
      </c>
      <c r="C685" t="s">
        <v>29</v>
      </c>
      <c r="K685" s="25">
        <f>(Table2[[#This Row],[Home Pace]]/100)*(VLOOKUP(Table2[[#This Row],[Home/Neutral]],home_lookup,8,FALSE)+VLOOKUP(Table2[[#This Row],[Home/Neutral]],OFR_lookup,2,FALSE)+VLOOKUP(Table2[[#This Row],[Visitor/Neutral]],def_diff_lookup,6,FALSE))</f>
        <v>108.0137403689818</v>
      </c>
      <c r="L685" s="25"/>
      <c r="M685" s="25">
        <f>(Table2[[#This Row],[Away Pace]]/100)*(VLOOKUP(Table2[[#This Row],[Visitor/Neutral]],OFR_lookup,2,FALSE)+VLOOKUP(Table2[[#This Row],[Home/Neutral]],def_diff_lookup,6,FALSE))</f>
        <v>98.847065333333347</v>
      </c>
      <c r="N685" s="25"/>
      <c r="O685" s="25"/>
      <c r="P685">
        <f>VLOOKUP(Table2[[#This Row],[Home/Neutral]],pace_lookup,7,FALSE)</f>
        <v>97.2</v>
      </c>
      <c r="Q685" s="5">
        <f>VLOOKUP(Table2[[#This Row],[Visitor/Neutral]],pace_lookup,7,FALSE)</f>
        <v>93.8</v>
      </c>
      <c r="R685" s="9"/>
      <c r="V685" s="2">
        <f>-home-VLOOKUP(Table2[[#This Row],[Home/Neutral]],rtg_vlookup,4,FALSE)+VLOOKUP(Table2[[#This Row],[Visitor/Neutral]],rtg_vlookup,4,FALSE)</f>
        <v>-11.875118483412329</v>
      </c>
      <c r="W685" s="25"/>
      <c r="X685" s="2"/>
      <c r="Y685" s="2">
        <f>Table2[[#This Row],[Away EV]]-Table2[[#This Row],[Home EV]]</f>
        <v>-9.1666750356484528</v>
      </c>
      <c r="Z685" s="33"/>
      <c r="AA685" s="34"/>
      <c r="AB685" s="5" t="b">
        <f>IF(VLOOKUP(Table2[[#This Row],[Home/Neutral]],division_lookup,9,FALSE)=VLOOKUP(Table2[[#This Row],[Visitor/Neutral]],division_lookup,9,FALSE),TRUE,FALSE)</f>
        <v>0</v>
      </c>
      <c r="AC685" s="19" t="str">
        <f>VLOOKUP(Table2[[#This Row],[Home/Neutral]],division_lookup,9,FALSE)</f>
        <v>C</v>
      </c>
      <c r="AD685" s="19"/>
      <c r="AE685" s="19" t="str">
        <f>IF(Table2[[#This Row],[Total EV ®]]&lt;Table2[[#This Row],[Total (V)]],"UNDER","OVER")</f>
        <v>OVER</v>
      </c>
      <c r="AF685" s="30">
        <f>Table2[[#This Row],[(A) Spread]]-Table2[[#This Row],[Spread (V)]]</f>
        <v>0</v>
      </c>
      <c r="AG685" s="19"/>
      <c r="AH685" s="2">
        <f>Table2[[#This Row],[EV]]-Table2[[#This Row],[Spread (V)]]</f>
        <v>-9.1666750356484528</v>
      </c>
      <c r="AI685" s="22">
        <f>Table2[[#This Row],[(A)]]-Table2[[#This Row],[Spread]]</f>
        <v>-11.875118483412329</v>
      </c>
      <c r="AJ685" s="1">
        <f>Table2[[#This Row],[(A) Err]]^2</f>
        <v>141.01843899508114</v>
      </c>
      <c r="AK685" s="6">
        <f>Table2[[#This Row],[EV]]-Table2[[#This Row],[Spread]]</f>
        <v>-9.1666750356484528</v>
      </c>
      <c r="AL685" s="1">
        <f>Table2[[#This Row],[EV Err]]^2</f>
        <v>84.027931209180565</v>
      </c>
    </row>
    <row r="686" spans="1:38" x14ac:dyDescent="0.25">
      <c r="A686" t="s">
        <v>133</v>
      </c>
      <c r="B686" t="s">
        <v>37</v>
      </c>
      <c r="C686" t="s">
        <v>31</v>
      </c>
      <c r="K686" s="25">
        <f>(Table2[[#This Row],[Home Pace]]/100)*(VLOOKUP(Table2[[#This Row],[Home/Neutral]],home_lookup,8,FALSE)+VLOOKUP(Table2[[#This Row],[Home/Neutral]],OFR_lookup,2,FALSE)+VLOOKUP(Table2[[#This Row],[Visitor/Neutral]],def_diff_lookup,6,FALSE))</f>
        <v>106.72373809362122</v>
      </c>
      <c r="L686" s="25"/>
      <c r="M686" s="25">
        <f>(Table2[[#This Row],[Away Pace]]/100)*(VLOOKUP(Table2[[#This Row],[Visitor/Neutral]],OFR_lookup,2,FALSE)+VLOOKUP(Table2[[#This Row],[Home/Neutral]],def_diff_lookup,6,FALSE))</f>
        <v>101.49184</v>
      </c>
      <c r="N686" s="25"/>
      <c r="O686" s="25"/>
      <c r="P686">
        <f>VLOOKUP(Table2[[#This Row],[Home/Neutral]],pace_lookup,7,FALSE)</f>
        <v>92.1</v>
      </c>
      <c r="Q686" s="5">
        <f>VLOOKUP(Table2[[#This Row],[Visitor/Neutral]],pace_lookup,7,FALSE)</f>
        <v>96</v>
      </c>
      <c r="R686" s="9"/>
      <c r="V686" s="2">
        <f>-home-VLOOKUP(Table2[[#This Row],[Home/Neutral]],rtg_vlookup,4,FALSE)+VLOOKUP(Table2[[#This Row],[Visitor/Neutral]],rtg_vlookup,4,FALSE)</f>
        <v>2.5148815165876695</v>
      </c>
      <c r="W686" s="25"/>
      <c r="X686" s="2"/>
      <c r="Y686" s="2">
        <f>Table2[[#This Row],[Away EV]]-Table2[[#This Row],[Home EV]]</f>
        <v>-5.2318980936212256</v>
      </c>
      <c r="Z686" s="33"/>
      <c r="AA686" s="34"/>
      <c r="AB686" s="5" t="b">
        <f>IF(VLOOKUP(Table2[[#This Row],[Home/Neutral]],division_lookup,9,FALSE)=VLOOKUP(Table2[[#This Row],[Visitor/Neutral]],division_lookup,9,FALSE),TRUE,FALSE)</f>
        <v>0</v>
      </c>
      <c r="AC686" s="19" t="str">
        <f>VLOOKUP(Table2[[#This Row],[Home/Neutral]],division_lookup,9,FALSE)</f>
        <v>SW</v>
      </c>
      <c r="AD686" s="19"/>
      <c r="AE686" s="19" t="str">
        <f>IF(Table2[[#This Row],[Total EV ®]]&lt;Table2[[#This Row],[Total (V)]],"UNDER","OVER")</f>
        <v>OVER</v>
      </c>
      <c r="AF686" s="30">
        <f>Table2[[#This Row],[(A) Spread]]-Table2[[#This Row],[Spread (V)]]</f>
        <v>0</v>
      </c>
      <c r="AG686" s="19"/>
      <c r="AH686" s="2">
        <f>Table2[[#This Row],[EV]]-Table2[[#This Row],[Spread (V)]]</f>
        <v>-5.2318980936212256</v>
      </c>
      <c r="AI686" s="22">
        <f>Table2[[#This Row],[(A)]]-Table2[[#This Row],[Spread]]</f>
        <v>2.5148815165876695</v>
      </c>
      <c r="AJ686" s="1">
        <f>Table2[[#This Row],[(A) Err]]^2</f>
        <v>6.3246290424742959</v>
      </c>
      <c r="AK686" s="6">
        <f>Table2[[#This Row],[EV]]-Table2[[#This Row],[Spread]]</f>
        <v>-5.2318980936212256</v>
      </c>
      <c r="AL686" s="1">
        <f>Table2[[#This Row],[EV Err]]^2</f>
        <v>27.372757662037415</v>
      </c>
    </row>
    <row r="687" spans="1:38" x14ac:dyDescent="0.25">
      <c r="A687" t="s">
        <v>133</v>
      </c>
      <c r="B687" t="s">
        <v>23</v>
      </c>
      <c r="C687" t="s">
        <v>14</v>
      </c>
      <c r="K687" s="25">
        <f>(Table2[[#This Row],[Home Pace]]/100)*(VLOOKUP(Table2[[#This Row],[Home/Neutral]],home_lookup,8,FALSE)+VLOOKUP(Table2[[#This Row],[Home/Neutral]],OFR_lookup,2,FALSE)+VLOOKUP(Table2[[#This Row],[Visitor/Neutral]],def_diff_lookup,6,FALSE))</f>
        <v>103.68263735871359</v>
      </c>
      <c r="L687" s="25"/>
      <c r="M687" s="25">
        <f>(Table2[[#This Row],[Away Pace]]/100)*(VLOOKUP(Table2[[#This Row],[Visitor/Neutral]],OFR_lookup,2,FALSE)+VLOOKUP(Table2[[#This Row],[Home/Neutral]],def_diff_lookup,6,FALSE))</f>
        <v>104.33983933333336</v>
      </c>
      <c r="N687" s="25"/>
      <c r="O687" s="25"/>
      <c r="P687">
        <f>VLOOKUP(Table2[[#This Row],[Home/Neutral]],pace_lookup,7,FALSE)</f>
        <v>92.5</v>
      </c>
      <c r="Q687" s="5">
        <f>VLOOKUP(Table2[[#This Row],[Visitor/Neutral]],pace_lookup,7,FALSE)</f>
        <v>95.9</v>
      </c>
      <c r="R687" s="9"/>
      <c r="V687" s="2">
        <f>-home-VLOOKUP(Table2[[#This Row],[Home/Neutral]],rtg_vlookup,4,FALSE)+VLOOKUP(Table2[[#This Row],[Visitor/Neutral]],rtg_vlookup,4,FALSE)</f>
        <v>-0.15511848341233136</v>
      </c>
      <c r="W687" s="25"/>
      <c r="X687" s="2"/>
      <c r="Y687" s="2">
        <f>Table2[[#This Row],[Away EV]]-Table2[[#This Row],[Home EV]]</f>
        <v>0.65720197461976682</v>
      </c>
      <c r="Z687" s="33"/>
      <c r="AA687" s="34"/>
      <c r="AB687" s="5" t="b">
        <f>IF(VLOOKUP(Table2[[#This Row],[Home/Neutral]],division_lookup,9,FALSE)=VLOOKUP(Table2[[#This Row],[Visitor/Neutral]],division_lookup,9,FALSE),TRUE,FALSE)</f>
        <v>0</v>
      </c>
      <c r="AC687" s="19" t="str">
        <f>VLOOKUP(Table2[[#This Row],[Home/Neutral]],division_lookup,9,FALSE)</f>
        <v>SW</v>
      </c>
      <c r="AD687" s="19"/>
      <c r="AE687" s="19" t="str">
        <f>IF(Table2[[#This Row],[Total EV ®]]&lt;Table2[[#This Row],[Total (V)]],"UNDER","OVER")</f>
        <v>OVER</v>
      </c>
      <c r="AF687" s="30">
        <f>Table2[[#This Row],[(A) Spread]]-Table2[[#This Row],[Spread (V)]]</f>
        <v>0</v>
      </c>
      <c r="AG687" s="19"/>
      <c r="AH687" s="2">
        <f>Table2[[#This Row],[EV]]-Table2[[#This Row],[Spread (V)]]</f>
        <v>0.65720197461976682</v>
      </c>
      <c r="AI687" s="22">
        <f>Table2[[#This Row],[(A)]]-Table2[[#This Row],[Spread]]</f>
        <v>-0.15511848341233136</v>
      </c>
      <c r="AJ687" s="1">
        <f>Table2[[#This Row],[(A) Err]]^2</f>
        <v>2.406174389614172E-2</v>
      </c>
      <c r="AK687" s="6">
        <f>Table2[[#This Row],[EV]]-Table2[[#This Row],[Spread]]</f>
        <v>0.65720197461976682</v>
      </c>
      <c r="AL687" s="1">
        <f>Table2[[#This Row],[EV Err]]^2</f>
        <v>0.43191443544412061</v>
      </c>
    </row>
    <row r="688" spans="1:38" x14ac:dyDescent="0.25">
      <c r="A688" t="s">
        <v>133</v>
      </c>
      <c r="B688" t="s">
        <v>30</v>
      </c>
      <c r="C688" t="s">
        <v>39</v>
      </c>
      <c r="K688" s="25">
        <f>(Table2[[#This Row],[Home Pace]]/100)*(VLOOKUP(Table2[[#This Row],[Home/Neutral]],home_lookup,8,FALSE)+VLOOKUP(Table2[[#This Row],[Home/Neutral]],OFR_lookup,2,FALSE)+VLOOKUP(Table2[[#This Row],[Visitor/Neutral]],def_diff_lookup,6,FALSE))</f>
        <v>111.03568034993644</v>
      </c>
      <c r="L688" s="25"/>
      <c r="M688" s="25">
        <f>(Table2[[#This Row],[Away Pace]]/100)*(VLOOKUP(Table2[[#This Row],[Visitor/Neutral]],OFR_lookup,2,FALSE)+VLOOKUP(Table2[[#This Row],[Home/Neutral]],def_diff_lookup,6,FALSE))</f>
        <v>99.440900000000013</v>
      </c>
      <c r="N688" s="25"/>
      <c r="O688" s="25"/>
      <c r="P688">
        <f>VLOOKUP(Table2[[#This Row],[Home/Neutral]],pace_lookup,7,FALSE)</f>
        <v>96.8</v>
      </c>
      <c r="Q688" s="5">
        <f>VLOOKUP(Table2[[#This Row],[Visitor/Neutral]],pace_lookup,7,FALSE)</f>
        <v>97.5</v>
      </c>
      <c r="R688" s="9"/>
      <c r="V688" s="2">
        <f>-home-VLOOKUP(Table2[[#This Row],[Home/Neutral]],rtg_vlookup,4,FALSE)+VLOOKUP(Table2[[#This Row],[Visitor/Neutral]],rtg_vlookup,4,FALSE)</f>
        <v>-9.4851184834123305</v>
      </c>
      <c r="W688" s="25"/>
      <c r="X688" s="2"/>
      <c r="Y688" s="2">
        <f>Table2[[#This Row],[Away EV]]-Table2[[#This Row],[Home EV]]</f>
        <v>-11.594780349936428</v>
      </c>
      <c r="Z688" s="33"/>
      <c r="AA688" s="34"/>
      <c r="AB688" s="5" t="b">
        <f>IF(VLOOKUP(Table2[[#This Row],[Home/Neutral]],division_lookup,9,FALSE)=VLOOKUP(Table2[[#This Row],[Visitor/Neutral]],division_lookup,9,FALSE),TRUE,FALSE)</f>
        <v>0</v>
      </c>
      <c r="AC688" s="19" t="str">
        <f>VLOOKUP(Table2[[#This Row],[Home/Neutral]],division_lookup,9,FALSE)</f>
        <v>C</v>
      </c>
      <c r="AD688" s="19"/>
      <c r="AE688" s="19" t="str">
        <f>IF(Table2[[#This Row],[Total EV ®]]&lt;Table2[[#This Row],[Total (V)]],"UNDER","OVER")</f>
        <v>OVER</v>
      </c>
      <c r="AF688" s="30">
        <f>Table2[[#This Row],[(A) Spread]]-Table2[[#This Row],[Spread (V)]]</f>
        <v>0</v>
      </c>
      <c r="AG688" s="19"/>
      <c r="AH688" s="2">
        <f>Table2[[#This Row],[EV]]-Table2[[#This Row],[Spread (V)]]</f>
        <v>-11.594780349936428</v>
      </c>
      <c r="AI688" s="22">
        <f>Table2[[#This Row],[(A)]]-Table2[[#This Row],[Spread]]</f>
        <v>-9.4851184834123305</v>
      </c>
      <c r="AJ688" s="1">
        <f>Table2[[#This Row],[(A) Err]]^2</f>
        <v>89.967472644370233</v>
      </c>
      <c r="AK688" s="6">
        <f>Table2[[#This Row],[EV]]-Table2[[#This Row],[Spread]]</f>
        <v>-11.594780349936428</v>
      </c>
      <c r="AL688" s="1">
        <f>Table2[[#This Row],[EV Err]]^2</f>
        <v>134.43893136327193</v>
      </c>
    </row>
    <row r="689" spans="1:38" x14ac:dyDescent="0.25">
      <c r="A689" t="s">
        <v>133</v>
      </c>
      <c r="B689" t="s">
        <v>34</v>
      </c>
      <c r="C689" t="s">
        <v>18</v>
      </c>
      <c r="K689" s="25">
        <f>(Table2[[#This Row],[Home Pace]]/100)*(VLOOKUP(Table2[[#This Row],[Home/Neutral]],home_lookup,8,FALSE)+VLOOKUP(Table2[[#This Row],[Home/Neutral]],OFR_lookup,2,FALSE)+VLOOKUP(Table2[[#This Row],[Visitor/Neutral]],def_diff_lookup,6,FALSE))</f>
        <v>100.76783864565554</v>
      </c>
      <c r="L689" s="25"/>
      <c r="M689" s="25">
        <f>(Table2[[#This Row],[Away Pace]]/100)*(VLOOKUP(Table2[[#This Row],[Visitor/Neutral]],OFR_lookup,2,FALSE)+VLOOKUP(Table2[[#This Row],[Home/Neutral]],def_diff_lookup,6,FALSE))</f>
        <v>103.67966333333334</v>
      </c>
      <c r="N689" s="25"/>
      <c r="O689" s="25"/>
      <c r="P689">
        <f>VLOOKUP(Table2[[#This Row],[Home/Neutral]],pace_lookup,7,FALSE)</f>
        <v>98.8</v>
      </c>
      <c r="Q689" s="5">
        <f>VLOOKUP(Table2[[#This Row],[Visitor/Neutral]],pace_lookup,7,FALSE)</f>
        <v>99.5</v>
      </c>
      <c r="R689" s="9"/>
      <c r="V689" s="2">
        <f>-home-VLOOKUP(Table2[[#This Row],[Home/Neutral]],rtg_vlookup,4,FALSE)+VLOOKUP(Table2[[#This Row],[Visitor/Neutral]],rtg_vlookup,4,FALSE)</f>
        <v>4.6348815165876696</v>
      </c>
      <c r="W689" s="25"/>
      <c r="X689" s="2"/>
      <c r="Y689" s="2">
        <f>Table2[[#This Row],[Away EV]]-Table2[[#This Row],[Home EV]]</f>
        <v>2.9118246876777931</v>
      </c>
      <c r="Z689" s="33"/>
      <c r="AA689" s="34"/>
      <c r="AB689" s="5" t="b">
        <f>IF(VLOOKUP(Table2[[#This Row],[Home/Neutral]],division_lookup,9,FALSE)=VLOOKUP(Table2[[#This Row],[Visitor/Neutral]],division_lookup,9,FALSE),TRUE,FALSE)</f>
        <v>0</v>
      </c>
      <c r="AC689" s="19" t="str">
        <f>VLOOKUP(Table2[[#This Row],[Home/Neutral]],division_lookup,9,FALSE)</f>
        <v>SW</v>
      </c>
      <c r="AD689" s="19"/>
      <c r="AE689" s="19" t="str">
        <f>IF(Table2[[#This Row],[Total EV ®]]&lt;Table2[[#This Row],[Total (V)]],"UNDER","OVER")</f>
        <v>OVER</v>
      </c>
      <c r="AF689" s="30">
        <f>Table2[[#This Row],[(A) Spread]]-Table2[[#This Row],[Spread (V)]]</f>
        <v>0</v>
      </c>
      <c r="AG689" s="19"/>
      <c r="AH689" s="2">
        <f>Table2[[#This Row],[EV]]-Table2[[#This Row],[Spread (V)]]</f>
        <v>2.9118246876777931</v>
      </c>
      <c r="AI689" s="22">
        <f>Table2[[#This Row],[(A)]]-Table2[[#This Row],[Spread]]</f>
        <v>4.6348815165876696</v>
      </c>
      <c r="AJ689" s="1">
        <f>Table2[[#This Row],[(A) Err]]^2</f>
        <v>21.482126672806015</v>
      </c>
      <c r="AK689" s="6">
        <f>Table2[[#This Row],[EV]]-Table2[[#This Row],[Spread]]</f>
        <v>2.9118246876777931</v>
      </c>
      <c r="AL689" s="1">
        <f>Table2[[#This Row],[EV Err]]^2</f>
        <v>8.478723011769878</v>
      </c>
    </row>
    <row r="690" spans="1:38" x14ac:dyDescent="0.25">
      <c r="A690" t="s">
        <v>133</v>
      </c>
      <c r="B690" t="s">
        <v>32</v>
      </c>
      <c r="C690" t="s">
        <v>24</v>
      </c>
      <c r="K690" s="25">
        <f>(Table2[[#This Row],[Home Pace]]/100)*(VLOOKUP(Table2[[#This Row],[Home/Neutral]],home_lookup,8,FALSE)+VLOOKUP(Table2[[#This Row],[Home/Neutral]],OFR_lookup,2,FALSE)+VLOOKUP(Table2[[#This Row],[Visitor/Neutral]],def_diff_lookup,6,FALSE))</f>
        <v>113.1228111200184</v>
      </c>
      <c r="L690" s="25"/>
      <c r="M690" s="25">
        <f>(Table2[[#This Row],[Away Pace]]/100)*(VLOOKUP(Table2[[#This Row],[Visitor/Neutral]],OFR_lookup,2,FALSE)+VLOOKUP(Table2[[#This Row],[Home/Neutral]],def_diff_lookup,6,FALSE))</f>
        <v>115.47507600000003</v>
      </c>
      <c r="N690" s="25"/>
      <c r="O690" s="25"/>
      <c r="P690">
        <f>VLOOKUP(Table2[[#This Row],[Home/Neutral]],pace_lookup,7,FALSE)</f>
        <v>98.6</v>
      </c>
      <c r="Q690" s="5">
        <f>VLOOKUP(Table2[[#This Row],[Visitor/Neutral]],pace_lookup,7,FALSE)</f>
        <v>99.9</v>
      </c>
      <c r="R690" s="9"/>
      <c r="V690" s="2">
        <f>-home-VLOOKUP(Table2[[#This Row],[Home/Neutral]],rtg_vlookup,4,FALSE)+VLOOKUP(Table2[[#This Row],[Visitor/Neutral]],rtg_vlookup,4,FALSE)</f>
        <v>0.41488151658766914</v>
      </c>
      <c r="W690" s="25"/>
      <c r="X690" s="2"/>
      <c r="Y690" s="2">
        <f>Table2[[#This Row],[Away EV]]-Table2[[#This Row],[Home EV]]</f>
        <v>2.3522648799816324</v>
      </c>
      <c r="Z690" s="33"/>
      <c r="AA690" s="34"/>
      <c r="AB690" s="5" t="b">
        <f>IF(VLOOKUP(Table2[[#This Row],[Home/Neutral]],division_lookup,9,FALSE)=VLOOKUP(Table2[[#This Row],[Visitor/Neutral]],division_lookup,9,FALSE),TRUE,FALSE)</f>
        <v>0</v>
      </c>
      <c r="AC690" s="19" t="str">
        <f>VLOOKUP(Table2[[#This Row],[Home/Neutral]],division_lookup,9,FALSE)</f>
        <v>NW</v>
      </c>
      <c r="AD690" s="19"/>
      <c r="AE690" s="19" t="str">
        <f>IF(Table2[[#This Row],[Total EV ®]]&lt;Table2[[#This Row],[Total (V)]],"UNDER","OVER")</f>
        <v>OVER</v>
      </c>
      <c r="AF690" s="30">
        <f>Table2[[#This Row],[(A) Spread]]-Table2[[#This Row],[Spread (V)]]</f>
        <v>0</v>
      </c>
      <c r="AG690" s="19"/>
      <c r="AH690" s="2">
        <f>Table2[[#This Row],[EV]]-Table2[[#This Row],[Spread (V)]]</f>
        <v>2.3522648799816324</v>
      </c>
      <c r="AI690" s="22">
        <f>Table2[[#This Row],[(A)]]-Table2[[#This Row],[Spread]]</f>
        <v>0.41488151658766914</v>
      </c>
      <c r="AJ690" s="1">
        <f>Table2[[#This Row],[(A) Err]]^2</f>
        <v>0.17212667280608437</v>
      </c>
      <c r="AK690" s="6">
        <f>Table2[[#This Row],[EV]]-Table2[[#This Row],[Spread]]</f>
        <v>2.3522648799816324</v>
      </c>
      <c r="AL690" s="1">
        <f>Table2[[#This Row],[EV Err]]^2</f>
        <v>5.5331500655950032</v>
      </c>
    </row>
    <row r="691" spans="1:38" x14ac:dyDescent="0.25">
      <c r="A691" t="s">
        <v>134</v>
      </c>
      <c r="B691" t="s">
        <v>27</v>
      </c>
      <c r="C691" t="s">
        <v>36</v>
      </c>
      <c r="K691" s="25">
        <f>(Table2[[#This Row],[Home Pace]]/100)*(VLOOKUP(Table2[[#This Row],[Home/Neutral]],home_lookup,8,FALSE)+VLOOKUP(Table2[[#This Row],[Home/Neutral]],OFR_lookup,2,FALSE)+VLOOKUP(Table2[[#This Row],[Visitor/Neutral]],def_diff_lookup,6,FALSE))</f>
        <v>107.37675642647257</v>
      </c>
      <c r="L691" s="25"/>
      <c r="M691" s="25">
        <f>(Table2[[#This Row],[Away Pace]]/100)*(VLOOKUP(Table2[[#This Row],[Visitor/Neutral]],OFR_lookup,2,FALSE)+VLOOKUP(Table2[[#This Row],[Home/Neutral]],def_diff_lookup,6,FALSE))</f>
        <v>104.79656133333334</v>
      </c>
      <c r="N691" s="25"/>
      <c r="O691" s="25"/>
      <c r="P691">
        <f>VLOOKUP(Table2[[#This Row],[Home/Neutral]],pace_lookup,7,FALSE)</f>
        <v>99</v>
      </c>
      <c r="Q691" s="5">
        <f>VLOOKUP(Table2[[#This Row],[Visitor/Neutral]],pace_lookup,7,FALSE)</f>
        <v>102.2</v>
      </c>
      <c r="R691" s="9"/>
      <c r="V691" s="2">
        <f>-home-VLOOKUP(Table2[[#This Row],[Home/Neutral]],rtg_vlookup,4,FALSE)+VLOOKUP(Table2[[#This Row],[Visitor/Neutral]],rtg_vlookup,4,FALSE)</f>
        <v>-8.3351184834123302</v>
      </c>
      <c r="W691" s="25"/>
      <c r="X691" s="2"/>
      <c r="Y691" s="2">
        <f>Table2[[#This Row],[Away EV]]-Table2[[#This Row],[Home EV]]</f>
        <v>-2.5801950931392241</v>
      </c>
      <c r="Z691" s="33"/>
      <c r="AA691" s="34"/>
      <c r="AB691" s="5" t="b">
        <f>IF(VLOOKUP(Table2[[#This Row],[Home/Neutral]],division_lookup,9,FALSE)=VLOOKUP(Table2[[#This Row],[Visitor/Neutral]],division_lookup,9,FALSE),TRUE,FALSE)</f>
        <v>0</v>
      </c>
      <c r="AC691" s="19" t="str">
        <f>VLOOKUP(Table2[[#This Row],[Home/Neutral]],division_lookup,9,FALSE)</f>
        <v>NW</v>
      </c>
      <c r="AD691" s="19"/>
      <c r="AE691" s="19" t="str">
        <f>IF(Table2[[#This Row],[Total EV ®]]&lt;Table2[[#This Row],[Total (V)]],"UNDER","OVER")</f>
        <v>OVER</v>
      </c>
      <c r="AF691" s="30">
        <f>Table2[[#This Row],[(A) Spread]]-Table2[[#This Row],[Spread (V)]]</f>
        <v>0</v>
      </c>
      <c r="AG691" s="19"/>
      <c r="AH691" s="2">
        <f>Table2[[#This Row],[EV]]-Table2[[#This Row],[Spread (V)]]</f>
        <v>-2.5801950931392241</v>
      </c>
      <c r="AI691" s="22">
        <f>Table2[[#This Row],[(A)]]-Table2[[#This Row],[Spread]]</f>
        <v>-8.3351184834123302</v>
      </c>
      <c r="AJ691" s="1">
        <f>Table2[[#This Row],[(A) Err]]^2</f>
        <v>69.474200132521858</v>
      </c>
      <c r="AK691" s="6">
        <f>Table2[[#This Row],[EV]]-Table2[[#This Row],[Spread]]</f>
        <v>-2.5801950931392241</v>
      </c>
      <c r="AL691" s="1">
        <f>Table2[[#This Row],[EV Err]]^2</f>
        <v>6.6574067186597299</v>
      </c>
    </row>
    <row r="692" spans="1:38" x14ac:dyDescent="0.25">
      <c r="A692" t="s">
        <v>134</v>
      </c>
      <c r="B692" t="s">
        <v>22</v>
      </c>
      <c r="C692" t="s">
        <v>33</v>
      </c>
      <c r="K692" s="25">
        <f>(Table2[[#This Row],[Home Pace]]/100)*(VLOOKUP(Table2[[#This Row],[Home/Neutral]],home_lookup,8,FALSE)+VLOOKUP(Table2[[#This Row],[Home/Neutral]],OFR_lookup,2,FALSE)+VLOOKUP(Table2[[#This Row],[Visitor/Neutral]],def_diff_lookup,6,FALSE))</f>
        <v>113.27396922968977</v>
      </c>
      <c r="L692" s="25"/>
      <c r="M692" s="25">
        <f>(Table2[[#This Row],[Away Pace]]/100)*(VLOOKUP(Table2[[#This Row],[Visitor/Neutral]],OFR_lookup,2,FALSE)+VLOOKUP(Table2[[#This Row],[Home/Neutral]],def_diff_lookup,6,FALSE))</f>
        <v>105.64421466666667</v>
      </c>
      <c r="N692" s="25"/>
      <c r="O692" s="25"/>
      <c r="P692">
        <f>VLOOKUP(Table2[[#This Row],[Home/Neutral]],pace_lookup,7,FALSE)</f>
        <v>94.7</v>
      </c>
      <c r="Q692" s="5">
        <f>VLOOKUP(Table2[[#This Row],[Visitor/Neutral]],pace_lookup,7,FALSE)</f>
        <v>98.2</v>
      </c>
      <c r="R692" s="9"/>
      <c r="V692" s="2">
        <f>-home-VLOOKUP(Table2[[#This Row],[Home/Neutral]],rtg_vlookup,4,FALSE)+VLOOKUP(Table2[[#This Row],[Visitor/Neutral]],rtg_vlookup,4,FALSE)</f>
        <v>-8.8751184834123311</v>
      </c>
      <c r="W692" s="25"/>
      <c r="X692" s="2"/>
      <c r="Y692" s="2">
        <f>Table2[[#This Row],[Away EV]]-Table2[[#This Row],[Home EV]]</f>
        <v>-7.6297545630230985</v>
      </c>
      <c r="Z692" s="33"/>
      <c r="AA692" s="34"/>
      <c r="AB692" s="5" t="b">
        <f>IF(VLOOKUP(Table2[[#This Row],[Home/Neutral]],division_lookup,9,FALSE)=VLOOKUP(Table2[[#This Row],[Visitor/Neutral]],division_lookup,9,FALSE),TRUE,FALSE)</f>
        <v>0</v>
      </c>
      <c r="AC692" s="19" t="str">
        <f>VLOOKUP(Table2[[#This Row],[Home/Neutral]],division_lookup,9,FALSE)</f>
        <v>NW</v>
      </c>
      <c r="AD692" s="19"/>
      <c r="AE692" s="19" t="str">
        <f>IF(Table2[[#This Row],[Total EV ®]]&lt;Table2[[#This Row],[Total (V)]],"UNDER","OVER")</f>
        <v>OVER</v>
      </c>
      <c r="AF692" s="30">
        <f>Table2[[#This Row],[(A) Spread]]-Table2[[#This Row],[Spread (V)]]</f>
        <v>0</v>
      </c>
      <c r="AG692" s="19"/>
      <c r="AH692" s="2">
        <f>Table2[[#This Row],[EV]]-Table2[[#This Row],[Spread (V)]]</f>
        <v>-7.6297545630230985</v>
      </c>
      <c r="AI692" s="22">
        <f>Table2[[#This Row],[(A)]]-Table2[[#This Row],[Spread]]</f>
        <v>-8.8751184834123311</v>
      </c>
      <c r="AJ692" s="1">
        <f>Table2[[#This Row],[(A) Err]]^2</f>
        <v>78.767728094607193</v>
      </c>
      <c r="AK692" s="6">
        <f>Table2[[#This Row],[EV]]-Table2[[#This Row],[Spread]]</f>
        <v>-7.6297545630230985</v>
      </c>
      <c r="AL692" s="1">
        <f>Table2[[#This Row],[EV Err]]^2</f>
        <v>58.213154691971795</v>
      </c>
    </row>
    <row r="693" spans="1:38" x14ac:dyDescent="0.25">
      <c r="A693" t="s">
        <v>134</v>
      </c>
      <c r="B693" t="s">
        <v>18</v>
      </c>
      <c r="C693" t="s">
        <v>37</v>
      </c>
      <c r="K693" s="25">
        <f>(Table2[[#This Row],[Home Pace]]/100)*(VLOOKUP(Table2[[#This Row],[Home/Neutral]],home_lookup,8,FALSE)+VLOOKUP(Table2[[#This Row],[Home/Neutral]],OFR_lookup,2,FALSE)+VLOOKUP(Table2[[#This Row],[Visitor/Neutral]],def_diff_lookup,6,FALSE))</f>
        <v>99.830556160211316</v>
      </c>
      <c r="L693" s="25"/>
      <c r="M693" s="25">
        <f>(Table2[[#This Row],[Away Pace]]/100)*(VLOOKUP(Table2[[#This Row],[Visitor/Neutral]],OFR_lookup,2,FALSE)+VLOOKUP(Table2[[#This Row],[Home/Neutral]],def_diff_lookup,6,FALSE))</f>
        <v>84.345793999999998</v>
      </c>
      <c r="N693" s="25"/>
      <c r="O693" s="25"/>
      <c r="P693">
        <f>VLOOKUP(Table2[[#This Row],[Home/Neutral]],pace_lookup,7,FALSE)</f>
        <v>99.5</v>
      </c>
      <c r="Q693" s="5">
        <f>VLOOKUP(Table2[[#This Row],[Visitor/Neutral]],pace_lookup,7,FALSE)</f>
        <v>92.1</v>
      </c>
      <c r="R693" s="9"/>
      <c r="V693" s="2">
        <f>-home-VLOOKUP(Table2[[#This Row],[Home/Neutral]],rtg_vlookup,4,FALSE)+VLOOKUP(Table2[[#This Row],[Visitor/Neutral]],rtg_vlookup,4,FALSE)</f>
        <v>-12.535118483412331</v>
      </c>
      <c r="W693" s="25"/>
      <c r="X693" s="2"/>
      <c r="Y693" s="2">
        <f>Table2[[#This Row],[Away EV]]-Table2[[#This Row],[Home EV]]</f>
        <v>-15.484762160211318</v>
      </c>
      <c r="Z693" s="33"/>
      <c r="AA693" s="34"/>
      <c r="AB693" s="5" t="b">
        <f>IF(VLOOKUP(Table2[[#This Row],[Home/Neutral]],division_lookup,9,FALSE)=VLOOKUP(Table2[[#This Row],[Visitor/Neutral]],division_lookup,9,FALSE),TRUE,FALSE)</f>
        <v>0</v>
      </c>
      <c r="AC693" s="19" t="str">
        <f>VLOOKUP(Table2[[#This Row],[Home/Neutral]],division_lookup,9,FALSE)</f>
        <v>NW</v>
      </c>
      <c r="AD693" s="19"/>
      <c r="AE693" s="19" t="str">
        <f>IF(Table2[[#This Row],[Total EV ®]]&lt;Table2[[#This Row],[Total (V)]],"UNDER","OVER")</f>
        <v>OVER</v>
      </c>
      <c r="AF693" s="30">
        <f>Table2[[#This Row],[(A) Spread]]-Table2[[#This Row],[Spread (V)]]</f>
        <v>0</v>
      </c>
      <c r="AG693" s="19"/>
      <c r="AH693" s="2">
        <f>Table2[[#This Row],[EV]]-Table2[[#This Row],[Spread (V)]]</f>
        <v>-15.484762160211318</v>
      </c>
      <c r="AI693" s="22">
        <f>Table2[[#This Row],[(A)]]-Table2[[#This Row],[Spread]]</f>
        <v>-12.535118483412331</v>
      </c>
      <c r="AJ693" s="1">
        <f>Table2[[#This Row],[(A) Err]]^2</f>
        <v>157.12919539318546</v>
      </c>
      <c r="AK693" s="6">
        <f>Table2[[#This Row],[EV]]-Table2[[#This Row],[Spread]]</f>
        <v>-15.484762160211318</v>
      </c>
      <c r="AL693" s="1">
        <f>Table2[[#This Row],[EV Err]]^2</f>
        <v>239.77785915831228</v>
      </c>
    </row>
    <row r="694" spans="1:38" x14ac:dyDescent="0.25">
      <c r="A694" t="s">
        <v>134</v>
      </c>
      <c r="B694" t="s">
        <v>20</v>
      </c>
      <c r="C694" t="s">
        <v>24</v>
      </c>
      <c r="K694" s="25">
        <f>(Table2[[#This Row],[Home Pace]]/100)*(VLOOKUP(Table2[[#This Row],[Home/Neutral]],home_lookup,8,FALSE)+VLOOKUP(Table2[[#This Row],[Home/Neutral]],OFR_lookup,2,FALSE)+VLOOKUP(Table2[[#This Row],[Visitor/Neutral]],def_diff_lookup,6,FALSE))</f>
        <v>107.51024528915177</v>
      </c>
      <c r="L694" s="25"/>
      <c r="M694" s="25">
        <f>(Table2[[#This Row],[Away Pace]]/100)*(VLOOKUP(Table2[[#This Row],[Visitor/Neutral]],OFR_lookup,2,FALSE)+VLOOKUP(Table2[[#This Row],[Home/Neutral]],def_diff_lookup,6,FALSE))</f>
        <v>108.96159600000003</v>
      </c>
      <c r="N694" s="25"/>
      <c r="O694" s="25"/>
      <c r="P694">
        <f>VLOOKUP(Table2[[#This Row],[Home/Neutral]],pace_lookup,7,FALSE)</f>
        <v>90.9</v>
      </c>
      <c r="Q694" s="5">
        <f>VLOOKUP(Table2[[#This Row],[Visitor/Neutral]],pace_lookup,7,FALSE)</f>
        <v>99.9</v>
      </c>
      <c r="R694" s="9"/>
      <c r="V694" s="2">
        <f>-home-VLOOKUP(Table2[[#This Row],[Home/Neutral]],rtg_vlookup,4,FALSE)+VLOOKUP(Table2[[#This Row],[Visitor/Neutral]],rtg_vlookup,4,FALSE)</f>
        <v>-4.2051184834123312</v>
      </c>
      <c r="W694" s="25"/>
      <c r="X694" s="2"/>
      <c r="Y694" s="2">
        <f>Table2[[#This Row],[Away EV]]-Table2[[#This Row],[Home EV]]</f>
        <v>1.45135071084826</v>
      </c>
      <c r="Z694" s="33"/>
      <c r="AA694" s="34"/>
      <c r="AB694" s="5" t="b">
        <f>IF(VLOOKUP(Table2[[#This Row],[Home/Neutral]],division_lookup,9,FALSE)=VLOOKUP(Table2[[#This Row],[Visitor/Neutral]],division_lookup,9,FALSE),TRUE,FALSE)</f>
        <v>0</v>
      </c>
      <c r="AC694" s="19" t="str">
        <f>VLOOKUP(Table2[[#This Row],[Home/Neutral]],division_lookup,9,FALSE)</f>
        <v>NW</v>
      </c>
      <c r="AD694" s="19"/>
      <c r="AE694" s="19" t="str">
        <f>IF(Table2[[#This Row],[Total EV ®]]&lt;Table2[[#This Row],[Total (V)]],"UNDER","OVER")</f>
        <v>OVER</v>
      </c>
      <c r="AF694" s="30">
        <f>Table2[[#This Row],[(A) Spread]]-Table2[[#This Row],[Spread (V)]]</f>
        <v>0</v>
      </c>
      <c r="AG694" s="19"/>
      <c r="AH694" s="2">
        <f>Table2[[#This Row],[EV]]-Table2[[#This Row],[Spread (V)]]</f>
        <v>1.45135071084826</v>
      </c>
      <c r="AI694" s="22">
        <f>Table2[[#This Row],[(A)]]-Table2[[#This Row],[Spread]]</f>
        <v>-4.2051184834123312</v>
      </c>
      <c r="AJ694" s="1">
        <f>Table2[[#This Row],[(A) Err]]^2</f>
        <v>17.683021459536025</v>
      </c>
      <c r="AK694" s="6">
        <f>Table2[[#This Row],[EV]]-Table2[[#This Row],[Spread]]</f>
        <v>1.45135071084826</v>
      </c>
      <c r="AL694" s="1">
        <f>Table2[[#This Row],[EV Err]]^2</f>
        <v>2.1064188858797497</v>
      </c>
    </row>
    <row r="695" spans="1:38" x14ac:dyDescent="0.25">
      <c r="A695" t="s">
        <v>135</v>
      </c>
      <c r="B695" t="s">
        <v>11</v>
      </c>
      <c r="C695" t="s">
        <v>28</v>
      </c>
      <c r="K695" s="25">
        <f>(Table2[[#This Row],[Home Pace]]/100)*(VLOOKUP(Table2[[#This Row],[Home/Neutral]],home_lookup,8,FALSE)+VLOOKUP(Table2[[#This Row],[Home/Neutral]],OFR_lookup,2,FALSE)+VLOOKUP(Table2[[#This Row],[Visitor/Neutral]],def_diff_lookup,6,FALSE))</f>
        <v>101.48143904407283</v>
      </c>
      <c r="L695" s="25"/>
      <c r="M695" s="25">
        <f>(Table2[[#This Row],[Away Pace]]/100)*(VLOOKUP(Table2[[#This Row],[Visitor/Neutral]],OFR_lookup,2,FALSE)+VLOOKUP(Table2[[#This Row],[Home/Neutral]],def_diff_lookup,6,FALSE))</f>
        <v>95.896181999999996</v>
      </c>
      <c r="N695" s="25"/>
      <c r="O695" s="25"/>
      <c r="P695">
        <f>VLOOKUP(Table2[[#This Row],[Home/Neutral]],pace_lookup,7,FALSE)</f>
        <v>99.7</v>
      </c>
      <c r="Q695" s="5">
        <f>VLOOKUP(Table2[[#This Row],[Visitor/Neutral]],pace_lookup,7,FALSE)</f>
        <v>96.3</v>
      </c>
      <c r="R695" s="9"/>
      <c r="V695" s="2">
        <f>-home-VLOOKUP(Table2[[#This Row],[Home/Neutral]],rtg_vlookup,4,FALSE)+VLOOKUP(Table2[[#This Row],[Visitor/Neutral]],rtg_vlookup,4,FALSE)</f>
        <v>-10.955118483412331</v>
      </c>
      <c r="W695" s="25"/>
      <c r="X695" s="2"/>
      <c r="Y695" s="2">
        <f>Table2[[#This Row],[Away EV]]-Table2[[#This Row],[Home EV]]</f>
        <v>-5.5852570440728329</v>
      </c>
      <c r="Z695" s="33"/>
      <c r="AA695" s="34"/>
      <c r="AB695" s="5" t="b">
        <f>IF(VLOOKUP(Table2[[#This Row],[Home/Neutral]],division_lookup,9,FALSE)=VLOOKUP(Table2[[#This Row],[Visitor/Neutral]],division_lookup,9,FALSE),TRUE,FALSE)</f>
        <v>1</v>
      </c>
      <c r="AC695" s="19" t="str">
        <f>VLOOKUP(Table2[[#This Row],[Home/Neutral]],division_lookup,9,FALSE)</f>
        <v>SE</v>
      </c>
      <c r="AD695" s="19"/>
      <c r="AE695" s="19" t="str">
        <f>IF(Table2[[#This Row],[Total EV ®]]&lt;Table2[[#This Row],[Total (V)]],"UNDER","OVER")</f>
        <v>OVER</v>
      </c>
      <c r="AF695" s="30">
        <f>Table2[[#This Row],[(A) Spread]]-Table2[[#This Row],[Spread (V)]]</f>
        <v>0</v>
      </c>
      <c r="AG695" s="19"/>
      <c r="AH695" s="2">
        <f>Table2[[#This Row],[EV]]-Table2[[#This Row],[Spread (V)]]</f>
        <v>-5.5852570440728329</v>
      </c>
      <c r="AI695" s="22">
        <f>Table2[[#This Row],[(A)]]-Table2[[#This Row],[Spread]]</f>
        <v>-10.955118483412331</v>
      </c>
      <c r="AJ695" s="1">
        <f>Table2[[#This Row],[(A) Err]]^2</f>
        <v>120.01462098560249</v>
      </c>
      <c r="AK695" s="6">
        <f>Table2[[#This Row],[EV]]-Table2[[#This Row],[Spread]]</f>
        <v>-5.5852570440728329</v>
      </c>
      <c r="AL695" s="1">
        <f>Table2[[#This Row],[EV Err]]^2</f>
        <v>31.1950962483652</v>
      </c>
    </row>
    <row r="696" spans="1:38" x14ac:dyDescent="0.25">
      <c r="A696" t="s">
        <v>135</v>
      </c>
      <c r="B696" t="s">
        <v>26</v>
      </c>
      <c r="C696" t="s">
        <v>38</v>
      </c>
      <c r="K696" s="25">
        <f>(Table2[[#This Row],[Home Pace]]/100)*(VLOOKUP(Table2[[#This Row],[Home/Neutral]],home_lookup,8,FALSE)+VLOOKUP(Table2[[#This Row],[Home/Neutral]],OFR_lookup,2,FALSE)+VLOOKUP(Table2[[#This Row],[Visitor/Neutral]],def_diff_lookup,6,FALSE))</f>
        <v>107.91696358918159</v>
      </c>
      <c r="L696" s="25"/>
      <c r="M696" s="25">
        <f>(Table2[[#This Row],[Away Pace]]/100)*(VLOOKUP(Table2[[#This Row],[Visitor/Neutral]],OFR_lookup,2,FALSE)+VLOOKUP(Table2[[#This Row],[Home/Neutral]],def_diff_lookup,6,FALSE))</f>
        <v>94.662208000000021</v>
      </c>
      <c r="N696" s="25"/>
      <c r="O696" s="25"/>
      <c r="P696">
        <f>VLOOKUP(Table2[[#This Row],[Home/Neutral]],pace_lookup,7,FALSE)</f>
        <v>96</v>
      </c>
      <c r="Q696" s="5">
        <f>VLOOKUP(Table2[[#This Row],[Visitor/Neutral]],pace_lookup,7,FALSE)</f>
        <v>94.2</v>
      </c>
      <c r="R696" s="9"/>
      <c r="V696" s="2">
        <f>-home-VLOOKUP(Table2[[#This Row],[Home/Neutral]],rtg_vlookup,4,FALSE)+VLOOKUP(Table2[[#This Row],[Visitor/Neutral]],rtg_vlookup,4,FALSE)</f>
        <v>-11.19511848341233</v>
      </c>
      <c r="W696" s="25"/>
      <c r="X696" s="2"/>
      <c r="Y696" s="2">
        <f>Table2[[#This Row],[Away EV]]-Table2[[#This Row],[Home EV]]</f>
        <v>-13.25475558918157</v>
      </c>
      <c r="Z696" s="33"/>
      <c r="AA696" s="34"/>
      <c r="AB696" s="5" t="b">
        <f>IF(VLOOKUP(Table2[[#This Row],[Home/Neutral]],division_lookup,9,FALSE)=VLOOKUP(Table2[[#This Row],[Visitor/Neutral]],division_lookup,9,FALSE),TRUE,FALSE)</f>
        <v>0</v>
      </c>
      <c r="AC696" s="19" t="str">
        <f>VLOOKUP(Table2[[#This Row],[Home/Neutral]],division_lookup,9,FALSE)</f>
        <v>A</v>
      </c>
      <c r="AD696" s="19"/>
      <c r="AE696" s="19" t="str">
        <f>IF(Table2[[#This Row],[Total EV ®]]&lt;Table2[[#This Row],[Total (V)]],"UNDER","OVER")</f>
        <v>OVER</v>
      </c>
      <c r="AF696" s="30">
        <f>Table2[[#This Row],[(A) Spread]]-Table2[[#This Row],[Spread (V)]]</f>
        <v>0</v>
      </c>
      <c r="AG696" s="19"/>
      <c r="AH696" s="2">
        <f>Table2[[#This Row],[EV]]-Table2[[#This Row],[Spread (V)]]</f>
        <v>-13.25475558918157</v>
      </c>
      <c r="AI696" s="22">
        <f>Table2[[#This Row],[(A)]]-Table2[[#This Row],[Spread]]</f>
        <v>-11.19511848341233</v>
      </c>
      <c r="AJ696" s="1">
        <f>Table2[[#This Row],[(A) Err]]^2</f>
        <v>125.33067785764038</v>
      </c>
      <c r="AK696" s="6">
        <f>Table2[[#This Row],[EV]]-Table2[[#This Row],[Spread]]</f>
        <v>-13.25475558918157</v>
      </c>
      <c r="AL696" s="1">
        <f>Table2[[#This Row],[EV Err]]^2</f>
        <v>175.68854572894008</v>
      </c>
    </row>
    <row r="697" spans="1:38" x14ac:dyDescent="0.25">
      <c r="A697" t="s">
        <v>135</v>
      </c>
      <c r="B697" t="s">
        <v>13</v>
      </c>
      <c r="C697" t="s">
        <v>21</v>
      </c>
      <c r="K697" s="25">
        <f>(Table2[[#This Row],[Home Pace]]/100)*(VLOOKUP(Table2[[#This Row],[Home/Neutral]],home_lookup,8,FALSE)+VLOOKUP(Table2[[#This Row],[Home/Neutral]],OFR_lookup,2,FALSE)+VLOOKUP(Table2[[#This Row],[Visitor/Neutral]],def_diff_lookup,6,FALSE))</f>
        <v>101.82949108450401</v>
      </c>
      <c r="L697" s="25"/>
      <c r="M697" s="25">
        <f>(Table2[[#This Row],[Away Pace]]/100)*(VLOOKUP(Table2[[#This Row],[Visitor/Neutral]],OFR_lookup,2,FALSE)+VLOOKUP(Table2[[#This Row],[Home/Neutral]],def_diff_lookup,6,FALSE))</f>
        <v>95.867968000000019</v>
      </c>
      <c r="N697" s="25"/>
      <c r="O697" s="25"/>
      <c r="P697">
        <f>VLOOKUP(Table2[[#This Row],[Home/Neutral]],pace_lookup,7,FALSE)</f>
        <v>94.5</v>
      </c>
      <c r="Q697" s="5">
        <f>VLOOKUP(Table2[[#This Row],[Visitor/Neutral]],pace_lookup,7,FALSE)</f>
        <v>94.2</v>
      </c>
      <c r="R697" s="9"/>
      <c r="V697" s="2">
        <f>-home-VLOOKUP(Table2[[#This Row],[Home/Neutral]],rtg_vlookup,4,FALSE)+VLOOKUP(Table2[[#This Row],[Visitor/Neutral]],rtg_vlookup,4,FALSE)</f>
        <v>-8.4551184834123312</v>
      </c>
      <c r="W697" s="25"/>
      <c r="X697" s="2"/>
      <c r="Y697" s="2">
        <f>Table2[[#This Row],[Away EV]]-Table2[[#This Row],[Home EV]]</f>
        <v>-5.9615230845039946</v>
      </c>
      <c r="Z697" s="33"/>
      <c r="AA697" s="34"/>
      <c r="AB697" s="5" t="b">
        <f>IF(VLOOKUP(Table2[[#This Row],[Home/Neutral]],division_lookup,9,FALSE)=VLOOKUP(Table2[[#This Row],[Visitor/Neutral]],division_lookup,9,FALSE),TRUE,FALSE)</f>
        <v>0</v>
      </c>
      <c r="AC697" s="19" t="str">
        <f>VLOOKUP(Table2[[#This Row],[Home/Neutral]],division_lookup,9,FALSE)</f>
        <v>C</v>
      </c>
      <c r="AD697" s="19"/>
      <c r="AE697" s="19" t="str">
        <f>IF(Table2[[#This Row],[Total EV ®]]&lt;Table2[[#This Row],[Total (V)]],"UNDER","OVER")</f>
        <v>OVER</v>
      </c>
      <c r="AF697" s="30">
        <f>Table2[[#This Row],[(A) Spread]]-Table2[[#This Row],[Spread (V)]]</f>
        <v>0</v>
      </c>
      <c r="AG697" s="19"/>
      <c r="AH697" s="2">
        <f>Table2[[#This Row],[EV]]-Table2[[#This Row],[Spread (V)]]</f>
        <v>-5.9615230845039946</v>
      </c>
      <c r="AI697" s="22">
        <f>Table2[[#This Row],[(A)]]-Table2[[#This Row],[Spread]]</f>
        <v>-8.4551184834123312</v>
      </c>
      <c r="AJ697" s="1">
        <f>Table2[[#This Row],[(A) Err]]^2</f>
        <v>71.489028568540846</v>
      </c>
      <c r="AK697" s="6">
        <f>Table2[[#This Row],[EV]]-Table2[[#This Row],[Spread]]</f>
        <v>-5.9615230845039946</v>
      </c>
      <c r="AL697" s="1">
        <f>Table2[[#This Row],[EV Err]]^2</f>
        <v>35.53975748707402</v>
      </c>
    </row>
    <row r="698" spans="1:38" x14ac:dyDescent="0.25">
      <c r="A698" t="s">
        <v>135</v>
      </c>
      <c r="B698" t="s">
        <v>8</v>
      </c>
      <c r="C698" t="s">
        <v>35</v>
      </c>
      <c r="K698" s="25">
        <f>(Table2[[#This Row],[Home Pace]]/100)*(VLOOKUP(Table2[[#This Row],[Home/Neutral]],home_lookup,8,FALSE)+VLOOKUP(Table2[[#This Row],[Home/Neutral]],OFR_lookup,2,FALSE)+VLOOKUP(Table2[[#This Row],[Visitor/Neutral]],def_diff_lookup,6,FALSE))</f>
        <v>108.2567403689818</v>
      </c>
      <c r="L698" s="25"/>
      <c r="M698" s="25">
        <f>(Table2[[#This Row],[Away Pace]]/100)*(VLOOKUP(Table2[[#This Row],[Visitor/Neutral]],OFR_lookup,2,FALSE)+VLOOKUP(Table2[[#This Row],[Home/Neutral]],def_diff_lookup,6,FALSE))</f>
        <v>103.83588133333335</v>
      </c>
      <c r="N698" s="25"/>
      <c r="O698" s="25"/>
      <c r="P698">
        <f>VLOOKUP(Table2[[#This Row],[Home/Neutral]],pace_lookup,7,FALSE)</f>
        <v>97.2</v>
      </c>
      <c r="Q698" s="5">
        <f>VLOOKUP(Table2[[#This Row],[Visitor/Neutral]],pace_lookup,7,FALSE)</f>
        <v>102.2</v>
      </c>
      <c r="R698" s="9"/>
      <c r="V698" s="2">
        <f>-home-VLOOKUP(Table2[[#This Row],[Home/Neutral]],rtg_vlookup,4,FALSE)+VLOOKUP(Table2[[#This Row],[Visitor/Neutral]],rtg_vlookup,4,FALSE)</f>
        <v>-15.895118483412329</v>
      </c>
      <c r="W698" s="25"/>
      <c r="X698" s="2"/>
      <c r="Y698" s="2">
        <f>Table2[[#This Row],[Away EV]]-Table2[[#This Row],[Home EV]]</f>
        <v>-4.4208590356484478</v>
      </c>
      <c r="Z698" s="33"/>
      <c r="AA698" s="34"/>
      <c r="AB698" s="5" t="b">
        <f>IF(VLOOKUP(Table2[[#This Row],[Home/Neutral]],division_lookup,9,FALSE)=VLOOKUP(Table2[[#This Row],[Visitor/Neutral]],division_lookup,9,FALSE),TRUE,FALSE)</f>
        <v>0</v>
      </c>
      <c r="AC698" s="19" t="str">
        <f>VLOOKUP(Table2[[#This Row],[Home/Neutral]],division_lookup,9,FALSE)</f>
        <v>C</v>
      </c>
      <c r="AD698" s="19"/>
      <c r="AE698" s="19" t="str">
        <f>IF(Table2[[#This Row],[Total EV ®]]&lt;Table2[[#This Row],[Total (V)]],"UNDER","OVER")</f>
        <v>OVER</v>
      </c>
      <c r="AF698" s="30">
        <f>Table2[[#This Row],[(A) Spread]]-Table2[[#This Row],[Spread (V)]]</f>
        <v>0</v>
      </c>
      <c r="AG698" s="19"/>
      <c r="AH698" s="2">
        <f>Table2[[#This Row],[EV]]-Table2[[#This Row],[Spread (V)]]</f>
        <v>-4.4208590356484478</v>
      </c>
      <c r="AI698" s="22">
        <f>Table2[[#This Row],[(A)]]-Table2[[#This Row],[Spread]]</f>
        <v>-15.895118483412329</v>
      </c>
      <c r="AJ698" s="1">
        <f>Table2[[#This Row],[(A) Err]]^2</f>
        <v>252.65479160171625</v>
      </c>
      <c r="AK698" s="6">
        <f>Table2[[#This Row],[EV]]-Table2[[#This Row],[Spread]]</f>
        <v>-4.4208590356484478</v>
      </c>
      <c r="AL698" s="1">
        <f>Table2[[#This Row],[EV Err]]^2</f>
        <v>19.543994613074524</v>
      </c>
    </row>
    <row r="699" spans="1:38" x14ac:dyDescent="0.25">
      <c r="A699" t="s">
        <v>135</v>
      </c>
      <c r="B699" t="s">
        <v>33</v>
      </c>
      <c r="C699" t="s">
        <v>29</v>
      </c>
      <c r="K699" s="25">
        <f>(Table2[[#This Row],[Home Pace]]/100)*(VLOOKUP(Table2[[#This Row],[Home/Neutral]],home_lookup,8,FALSE)+VLOOKUP(Table2[[#This Row],[Home/Neutral]],OFR_lookup,2,FALSE)+VLOOKUP(Table2[[#This Row],[Visitor/Neutral]],def_diff_lookup,6,FALSE))</f>
        <v>110.77923852057506</v>
      </c>
      <c r="L699" s="25"/>
      <c r="M699" s="25">
        <f>(Table2[[#This Row],[Away Pace]]/100)*(VLOOKUP(Table2[[#This Row],[Visitor/Neutral]],OFR_lookup,2,FALSE)+VLOOKUP(Table2[[#This Row],[Home/Neutral]],def_diff_lookup,6,FALSE))</f>
        <v>103.02116533333334</v>
      </c>
      <c r="N699" s="25"/>
      <c r="O699" s="25"/>
      <c r="P699">
        <f>VLOOKUP(Table2[[#This Row],[Home/Neutral]],pace_lookup,7,FALSE)</f>
        <v>98.2</v>
      </c>
      <c r="Q699" s="5">
        <f>VLOOKUP(Table2[[#This Row],[Visitor/Neutral]],pace_lookup,7,FALSE)</f>
        <v>93.8</v>
      </c>
      <c r="R699" s="9"/>
      <c r="V699" s="2">
        <f>-home-VLOOKUP(Table2[[#This Row],[Home/Neutral]],rtg_vlookup,4,FALSE)+VLOOKUP(Table2[[#This Row],[Visitor/Neutral]],rtg_vlookup,4,FALSE)</f>
        <v>0.22488151658766942</v>
      </c>
      <c r="W699" s="25"/>
      <c r="X699" s="2"/>
      <c r="Y699" s="2">
        <f>Table2[[#This Row],[Away EV]]-Table2[[#This Row],[Home EV]]</f>
        <v>-7.7580731872417203</v>
      </c>
      <c r="Z699" s="33"/>
      <c r="AA699" s="34"/>
      <c r="AB699" s="5" t="b">
        <f>IF(VLOOKUP(Table2[[#This Row],[Home/Neutral]],division_lookup,9,FALSE)=VLOOKUP(Table2[[#This Row],[Visitor/Neutral]],division_lookup,9,FALSE),TRUE,FALSE)</f>
        <v>0</v>
      </c>
      <c r="AC699" s="19" t="str">
        <f>VLOOKUP(Table2[[#This Row],[Home/Neutral]],division_lookup,9,FALSE)</f>
        <v>C</v>
      </c>
      <c r="AD699" s="19"/>
      <c r="AE699" s="19" t="str">
        <f>IF(Table2[[#This Row],[Total EV ®]]&lt;Table2[[#This Row],[Total (V)]],"UNDER","OVER")</f>
        <v>OVER</v>
      </c>
      <c r="AF699" s="30">
        <f>Table2[[#This Row],[(A) Spread]]-Table2[[#This Row],[Spread (V)]]</f>
        <v>0</v>
      </c>
      <c r="AG699" s="19"/>
      <c r="AH699" s="2">
        <f>Table2[[#This Row],[EV]]-Table2[[#This Row],[Spread (V)]]</f>
        <v>-7.7580731872417203</v>
      </c>
      <c r="AI699" s="22">
        <f>Table2[[#This Row],[(A)]]-Table2[[#This Row],[Spread]]</f>
        <v>0.22488151658766942</v>
      </c>
      <c r="AJ699" s="1">
        <f>Table2[[#This Row],[(A) Err]]^2</f>
        <v>5.0571696502770234E-2</v>
      </c>
      <c r="AK699" s="6">
        <f>Table2[[#This Row],[EV]]-Table2[[#This Row],[Spread]]</f>
        <v>-7.7580731872417203</v>
      </c>
      <c r="AL699" s="1">
        <f>Table2[[#This Row],[EV Err]]^2</f>
        <v>60.187699578598902</v>
      </c>
    </row>
    <row r="700" spans="1:38" x14ac:dyDescent="0.25">
      <c r="A700" t="s">
        <v>135</v>
      </c>
      <c r="B700" t="s">
        <v>34</v>
      </c>
      <c r="C700" t="s">
        <v>6</v>
      </c>
      <c r="K700" s="25">
        <f>(Table2[[#This Row],[Home Pace]]/100)*(VLOOKUP(Table2[[#This Row],[Home/Neutral]],home_lookup,8,FALSE)+VLOOKUP(Table2[[#This Row],[Home/Neutral]],OFR_lookup,2,FALSE)+VLOOKUP(Table2[[#This Row],[Visitor/Neutral]],def_diff_lookup,6,FALSE))</f>
        <v>102.62527864565556</v>
      </c>
      <c r="L700" s="25"/>
      <c r="M700" s="25">
        <f>(Table2[[#This Row],[Away Pace]]/100)*(VLOOKUP(Table2[[#This Row],[Visitor/Neutral]],OFR_lookup,2,FALSE)+VLOOKUP(Table2[[#This Row],[Home/Neutral]],def_diff_lookup,6,FALSE))</f>
        <v>103.10887066666666</v>
      </c>
      <c r="N700" s="25"/>
      <c r="O700" s="25"/>
      <c r="P700">
        <f>VLOOKUP(Table2[[#This Row],[Home/Neutral]],pace_lookup,7,FALSE)</f>
        <v>98.8</v>
      </c>
      <c r="Q700" s="5">
        <f>VLOOKUP(Table2[[#This Row],[Visitor/Neutral]],pace_lookup,7,FALSE)</f>
        <v>93.1</v>
      </c>
      <c r="R700" s="9"/>
      <c r="V700" s="2">
        <f>-home-VLOOKUP(Table2[[#This Row],[Home/Neutral]],rtg_vlookup,4,FALSE)+VLOOKUP(Table2[[#This Row],[Visitor/Neutral]],rtg_vlookup,4,FALSE)</f>
        <v>9.3048815165876704</v>
      </c>
      <c r="W700" s="25"/>
      <c r="X700" s="2"/>
      <c r="Y700" s="2">
        <f>Table2[[#This Row],[Away EV]]-Table2[[#This Row],[Home EV]]</f>
        <v>0.48359202101110554</v>
      </c>
      <c r="Z700" s="33"/>
      <c r="AA700" s="34"/>
      <c r="AB700" s="5" t="b">
        <f>IF(VLOOKUP(Table2[[#This Row],[Home/Neutral]],division_lookup,9,FALSE)=VLOOKUP(Table2[[#This Row],[Visitor/Neutral]],division_lookup,9,FALSE),TRUE,FALSE)</f>
        <v>1</v>
      </c>
      <c r="AC700" s="19" t="str">
        <f>VLOOKUP(Table2[[#This Row],[Home/Neutral]],division_lookup,9,FALSE)</f>
        <v>SW</v>
      </c>
      <c r="AD700" s="19"/>
      <c r="AE700" s="19" t="str">
        <f>IF(Table2[[#This Row],[Total EV ®]]&lt;Table2[[#This Row],[Total (V)]],"UNDER","OVER")</f>
        <v>OVER</v>
      </c>
      <c r="AF700" s="30">
        <f>Table2[[#This Row],[(A) Spread]]-Table2[[#This Row],[Spread (V)]]</f>
        <v>0</v>
      </c>
      <c r="AG700" s="19"/>
      <c r="AH700" s="2">
        <f>Table2[[#This Row],[EV]]-Table2[[#This Row],[Spread (V)]]</f>
        <v>0.48359202101110554</v>
      </c>
      <c r="AI700" s="22">
        <f>Table2[[#This Row],[(A)]]-Table2[[#This Row],[Spread]]</f>
        <v>9.3048815165876704</v>
      </c>
      <c r="AJ700" s="1">
        <f>Table2[[#This Row],[(A) Err]]^2</f>
        <v>86.580820037734867</v>
      </c>
      <c r="AK700" s="6">
        <f>Table2[[#This Row],[EV]]-Table2[[#This Row],[Spread]]</f>
        <v>0.48359202101110554</v>
      </c>
      <c r="AL700" s="1">
        <f>Table2[[#This Row],[EV Err]]^2</f>
        <v>0.23386124278560555</v>
      </c>
    </row>
    <row r="701" spans="1:38" x14ac:dyDescent="0.25">
      <c r="A701" t="s">
        <v>135</v>
      </c>
      <c r="B701" t="s">
        <v>31</v>
      </c>
      <c r="C701" t="s">
        <v>16</v>
      </c>
      <c r="K701" s="25">
        <f>(Table2[[#This Row],[Home Pace]]/100)*(VLOOKUP(Table2[[#This Row],[Home/Neutral]],home_lookup,8,FALSE)+VLOOKUP(Table2[[#This Row],[Home/Neutral]],OFR_lookup,2,FALSE)+VLOOKUP(Table2[[#This Row],[Visitor/Neutral]],def_diff_lookup,6,FALSE))</f>
        <v>108.65257430217891</v>
      </c>
      <c r="L701" s="25"/>
      <c r="M701" s="25">
        <f>(Table2[[#This Row],[Away Pace]]/100)*(VLOOKUP(Table2[[#This Row],[Visitor/Neutral]],OFR_lookup,2,FALSE)+VLOOKUP(Table2[[#This Row],[Home/Neutral]],def_diff_lookup,6,FALSE))</f>
        <v>109.08365000000001</v>
      </c>
      <c r="N701" s="25"/>
      <c r="O701" s="25"/>
      <c r="P701">
        <f>VLOOKUP(Table2[[#This Row],[Home/Neutral]],pace_lookup,7,FALSE)</f>
        <v>96</v>
      </c>
      <c r="Q701" s="5">
        <f>VLOOKUP(Table2[[#This Row],[Visitor/Neutral]],pace_lookup,7,FALSE)</f>
        <v>97.5</v>
      </c>
      <c r="R701" s="9"/>
      <c r="V701" s="2">
        <f>-home-VLOOKUP(Table2[[#This Row],[Home/Neutral]],rtg_vlookup,4,FALSE)+VLOOKUP(Table2[[#This Row],[Visitor/Neutral]],rtg_vlookup,4,FALSE)</f>
        <v>2.1348815165876696</v>
      </c>
      <c r="W701" s="25"/>
      <c r="X701" s="2"/>
      <c r="Y701" s="2">
        <f>Table2[[#This Row],[Away EV]]-Table2[[#This Row],[Home EV]]</f>
        <v>0.43107569782110033</v>
      </c>
      <c r="Z701" s="33"/>
      <c r="AA701" s="34"/>
      <c r="AB701" s="5" t="b">
        <f>IF(VLOOKUP(Table2[[#This Row],[Home/Neutral]],division_lookup,9,FALSE)=VLOOKUP(Table2[[#This Row],[Visitor/Neutral]],division_lookup,9,FALSE),TRUE,FALSE)</f>
        <v>0</v>
      </c>
      <c r="AC701" s="19" t="str">
        <f>VLOOKUP(Table2[[#This Row],[Home/Neutral]],division_lookup,9,FALSE)</f>
        <v>A</v>
      </c>
      <c r="AD701" s="19"/>
      <c r="AE701" s="19" t="str">
        <f>IF(Table2[[#This Row],[Total EV ®]]&lt;Table2[[#This Row],[Total (V)]],"UNDER","OVER")</f>
        <v>OVER</v>
      </c>
      <c r="AF701" s="30">
        <f>Table2[[#This Row],[(A) Spread]]-Table2[[#This Row],[Spread (V)]]</f>
        <v>0</v>
      </c>
      <c r="AG701" s="19"/>
      <c r="AH701" s="2">
        <f>Table2[[#This Row],[EV]]-Table2[[#This Row],[Spread (V)]]</f>
        <v>0.43107569782110033</v>
      </c>
      <c r="AI701" s="22">
        <f>Table2[[#This Row],[(A)]]-Table2[[#This Row],[Spread]]</f>
        <v>2.1348815165876696</v>
      </c>
      <c r="AJ701" s="1">
        <f>Table2[[#This Row],[(A) Err]]^2</f>
        <v>4.5577190898676676</v>
      </c>
      <c r="AK701" s="6">
        <f>Table2[[#This Row],[EV]]-Table2[[#This Row],[Spread]]</f>
        <v>0.43107569782110033</v>
      </c>
      <c r="AL701" s="1">
        <f>Table2[[#This Row],[EV Err]]^2</f>
        <v>0.1858262572519486</v>
      </c>
    </row>
    <row r="702" spans="1:38" x14ac:dyDescent="0.25">
      <c r="A702" t="s">
        <v>135</v>
      </c>
      <c r="B702" t="s">
        <v>39</v>
      </c>
      <c r="C702" t="s">
        <v>17</v>
      </c>
      <c r="K702" s="25">
        <f>(Table2[[#This Row],[Home Pace]]/100)*(VLOOKUP(Table2[[#This Row],[Home/Neutral]],home_lookup,8,FALSE)+VLOOKUP(Table2[[#This Row],[Home/Neutral]],OFR_lookup,2,FALSE)+VLOOKUP(Table2[[#This Row],[Visitor/Neutral]],def_diff_lookup,6,FALSE))</f>
        <v>110.53577211468578</v>
      </c>
      <c r="L702" s="25"/>
      <c r="M702" s="25">
        <f>(Table2[[#This Row],[Away Pace]]/100)*(VLOOKUP(Table2[[#This Row],[Visitor/Neutral]],OFR_lookup,2,FALSE)+VLOOKUP(Table2[[#This Row],[Home/Neutral]],def_diff_lookup,6,FALSE))</f>
        <v>112.99459466666667</v>
      </c>
      <c r="N702" s="25"/>
      <c r="O702" s="25"/>
      <c r="P702">
        <f>VLOOKUP(Table2[[#This Row],[Home/Neutral]],pace_lookup,7,FALSE)</f>
        <v>97.5</v>
      </c>
      <c r="Q702" s="5">
        <f>VLOOKUP(Table2[[#This Row],[Visitor/Neutral]],pace_lookup,7,FALSE)</f>
        <v>96.7</v>
      </c>
      <c r="R702" s="9"/>
      <c r="V702" s="2">
        <f>-home-VLOOKUP(Table2[[#This Row],[Home/Neutral]],rtg_vlookup,4,FALSE)+VLOOKUP(Table2[[#This Row],[Visitor/Neutral]],rtg_vlookup,4,FALSE)</f>
        <v>10.784881516587669</v>
      </c>
      <c r="W702" s="25"/>
      <c r="X702" s="2"/>
      <c r="Y702" s="2">
        <f>Table2[[#This Row],[Away EV]]-Table2[[#This Row],[Home EV]]</f>
        <v>2.4588225519808873</v>
      </c>
      <c r="Z702" s="33"/>
      <c r="AA702" s="34"/>
      <c r="AB702" s="5" t="b">
        <f>IF(VLOOKUP(Table2[[#This Row],[Home/Neutral]],division_lookup,9,FALSE)=VLOOKUP(Table2[[#This Row],[Visitor/Neutral]],division_lookup,9,FALSE),TRUE,FALSE)</f>
        <v>0</v>
      </c>
      <c r="AC702" s="19" t="str">
        <f>VLOOKUP(Table2[[#This Row],[Home/Neutral]],division_lookup,9,FALSE)</f>
        <v>A</v>
      </c>
      <c r="AD702" s="19"/>
      <c r="AE702" s="19" t="str">
        <f>IF(Table2[[#This Row],[Total EV ®]]&lt;Table2[[#This Row],[Total (V)]],"UNDER","OVER")</f>
        <v>OVER</v>
      </c>
      <c r="AF702" s="30">
        <f>Table2[[#This Row],[(A) Spread]]-Table2[[#This Row],[Spread (V)]]</f>
        <v>0</v>
      </c>
      <c r="AG702" s="19"/>
      <c r="AH702" s="2">
        <f>Table2[[#This Row],[EV]]-Table2[[#This Row],[Spread (V)]]</f>
        <v>2.4588225519808873</v>
      </c>
      <c r="AI702" s="22">
        <f>Table2[[#This Row],[(A)]]-Table2[[#This Row],[Spread]]</f>
        <v>10.784881516587669</v>
      </c>
      <c r="AJ702" s="1">
        <f>Table2[[#This Row],[(A) Err]]^2</f>
        <v>116.31366932683434</v>
      </c>
      <c r="AK702" s="6">
        <f>Table2[[#This Row],[EV]]-Table2[[#This Row],[Spread]]</f>
        <v>2.4588225519808873</v>
      </c>
      <c r="AL702" s="1">
        <f>Table2[[#This Row],[EV Err]]^2</f>
        <v>6.0458083421298028</v>
      </c>
    </row>
    <row r="703" spans="1:38" x14ac:dyDescent="0.25">
      <c r="A703" t="s">
        <v>135</v>
      </c>
      <c r="B703" t="s">
        <v>32</v>
      </c>
      <c r="C703" t="s">
        <v>23</v>
      </c>
      <c r="K703" s="25">
        <f>(Table2[[#This Row],[Home Pace]]/100)*(VLOOKUP(Table2[[#This Row],[Home/Neutral]],home_lookup,8,FALSE)+VLOOKUP(Table2[[#This Row],[Home/Neutral]],OFR_lookup,2,FALSE)+VLOOKUP(Table2[[#This Row],[Visitor/Neutral]],def_diff_lookup,6,FALSE))</f>
        <v>104.89957112001841</v>
      </c>
      <c r="L703" s="25"/>
      <c r="M703" s="25">
        <f>(Table2[[#This Row],[Away Pace]]/100)*(VLOOKUP(Table2[[#This Row],[Visitor/Neutral]],OFR_lookup,2,FALSE)+VLOOKUP(Table2[[#This Row],[Home/Neutral]],def_diff_lookup,6,FALSE))</f>
        <v>101.17711666666669</v>
      </c>
      <c r="N703" s="25"/>
      <c r="O703" s="25"/>
      <c r="P703">
        <f>VLOOKUP(Table2[[#This Row],[Home/Neutral]],pace_lookup,7,FALSE)</f>
        <v>98.6</v>
      </c>
      <c r="Q703" s="5">
        <f>VLOOKUP(Table2[[#This Row],[Visitor/Neutral]],pace_lookup,7,FALSE)</f>
        <v>92.5</v>
      </c>
      <c r="R703" s="9"/>
      <c r="V703" s="2">
        <f>-home-VLOOKUP(Table2[[#This Row],[Home/Neutral]],rtg_vlookup,4,FALSE)+VLOOKUP(Table2[[#This Row],[Visitor/Neutral]],rtg_vlookup,4,FALSE)</f>
        <v>2.554881516587669</v>
      </c>
      <c r="W703" s="25"/>
      <c r="X703" s="2"/>
      <c r="Y703" s="2">
        <f>Table2[[#This Row],[Away EV]]-Table2[[#This Row],[Home EV]]</f>
        <v>-3.7224544533517161</v>
      </c>
      <c r="Z703" s="33"/>
      <c r="AA703" s="34"/>
      <c r="AB703" s="5" t="b">
        <f>IF(VLOOKUP(Table2[[#This Row],[Home/Neutral]],division_lookup,9,FALSE)=VLOOKUP(Table2[[#This Row],[Visitor/Neutral]],division_lookup,9,FALSE),TRUE,FALSE)</f>
        <v>0</v>
      </c>
      <c r="AC703" s="19" t="str">
        <f>VLOOKUP(Table2[[#This Row],[Home/Neutral]],division_lookup,9,FALSE)</f>
        <v>NW</v>
      </c>
      <c r="AD703" s="19"/>
      <c r="AE703" s="19" t="str">
        <f>IF(Table2[[#This Row],[Total EV ®]]&lt;Table2[[#This Row],[Total (V)]],"UNDER","OVER")</f>
        <v>OVER</v>
      </c>
      <c r="AF703" s="30">
        <f>Table2[[#This Row],[(A) Spread]]-Table2[[#This Row],[Spread (V)]]</f>
        <v>0</v>
      </c>
      <c r="AG703" s="19"/>
      <c r="AH703" s="2">
        <f>Table2[[#This Row],[EV]]-Table2[[#This Row],[Spread (V)]]</f>
        <v>-3.7224544533517161</v>
      </c>
      <c r="AI703" s="22">
        <f>Table2[[#This Row],[(A)]]-Table2[[#This Row],[Spread]]</f>
        <v>2.554881516587669</v>
      </c>
      <c r="AJ703" s="1">
        <f>Table2[[#This Row],[(A) Err]]^2</f>
        <v>6.5274195638013079</v>
      </c>
      <c r="AK703" s="6">
        <f>Table2[[#This Row],[EV]]-Table2[[#This Row],[Spread]]</f>
        <v>-3.7224544533517161</v>
      </c>
      <c r="AL703" s="1">
        <f>Table2[[#This Row],[EV Err]]^2</f>
        <v>13.856667157278023</v>
      </c>
    </row>
    <row r="704" spans="1:38" x14ac:dyDescent="0.25">
      <c r="A704" t="s">
        <v>135</v>
      </c>
      <c r="B704" t="s">
        <v>14</v>
      </c>
      <c r="C704" t="s">
        <v>30</v>
      </c>
      <c r="K704" s="25">
        <f>(Table2[[#This Row],[Home Pace]]/100)*(VLOOKUP(Table2[[#This Row],[Home/Neutral]],home_lookup,8,FALSE)+VLOOKUP(Table2[[#This Row],[Home/Neutral]],OFR_lookup,2,FALSE)+VLOOKUP(Table2[[#This Row],[Visitor/Neutral]],def_diff_lookup,6,FALSE))</f>
        <v>109.01865414241452</v>
      </c>
      <c r="L704" s="25"/>
      <c r="M704" s="25">
        <f>(Table2[[#This Row],[Away Pace]]/100)*(VLOOKUP(Table2[[#This Row],[Visitor/Neutral]],OFR_lookup,2,FALSE)+VLOOKUP(Table2[[#This Row],[Home/Neutral]],def_diff_lookup,6,FALSE))</f>
        <v>104.17680533333335</v>
      </c>
      <c r="N704" s="25"/>
      <c r="O704" s="25"/>
      <c r="P704">
        <f>VLOOKUP(Table2[[#This Row],[Home/Neutral]],pace_lookup,7,FALSE)</f>
        <v>95.9</v>
      </c>
      <c r="Q704" s="5">
        <f>VLOOKUP(Table2[[#This Row],[Visitor/Neutral]],pace_lookup,7,FALSE)</f>
        <v>96.8</v>
      </c>
      <c r="R704" s="9"/>
      <c r="V704" s="2">
        <f>-home-VLOOKUP(Table2[[#This Row],[Home/Neutral]],rtg_vlookup,4,FALSE)+VLOOKUP(Table2[[#This Row],[Visitor/Neutral]],rtg_vlookup,4,FALSE)</f>
        <v>-10.205118483412331</v>
      </c>
      <c r="W704" s="25"/>
      <c r="X704" s="2"/>
      <c r="Y704" s="2">
        <f>Table2[[#This Row],[Away EV]]-Table2[[#This Row],[Home EV]]</f>
        <v>-4.8418488090811707</v>
      </c>
      <c r="Z704" s="33"/>
      <c r="AA704" s="34"/>
      <c r="AB704" s="5" t="b">
        <f>IF(VLOOKUP(Table2[[#This Row],[Home/Neutral]],division_lookup,9,FALSE)=VLOOKUP(Table2[[#This Row],[Visitor/Neutral]],division_lookup,9,FALSE),TRUE,FALSE)</f>
        <v>0</v>
      </c>
      <c r="AC704" s="19" t="str">
        <f>VLOOKUP(Table2[[#This Row],[Home/Neutral]],division_lookup,9,FALSE)</f>
        <v>A</v>
      </c>
      <c r="AD704" s="19"/>
      <c r="AE704" s="19" t="str">
        <f>IF(Table2[[#This Row],[Total EV ®]]&lt;Table2[[#This Row],[Total (V)]],"UNDER","OVER")</f>
        <v>OVER</v>
      </c>
      <c r="AF704" s="30">
        <f>Table2[[#This Row],[(A) Spread]]-Table2[[#This Row],[Spread (V)]]</f>
        <v>0</v>
      </c>
      <c r="AG704" s="19"/>
      <c r="AH704" s="2">
        <f>Table2[[#This Row],[EV]]-Table2[[#This Row],[Spread (V)]]</f>
        <v>-4.8418488090811707</v>
      </c>
      <c r="AI704" s="22">
        <f>Table2[[#This Row],[(A)]]-Table2[[#This Row],[Spread]]</f>
        <v>-10.205118483412331</v>
      </c>
      <c r="AJ704" s="1">
        <f>Table2[[#This Row],[(A) Err]]^2</f>
        <v>104.144443260484</v>
      </c>
      <c r="AK704" s="6">
        <f>Table2[[#This Row],[EV]]-Table2[[#This Row],[Spread]]</f>
        <v>-4.8418488090811707</v>
      </c>
      <c r="AL704" s="1">
        <f>Table2[[#This Row],[EV Err]]^2</f>
        <v>23.443499890000751</v>
      </c>
    </row>
    <row r="705" spans="1:38" x14ac:dyDescent="0.25">
      <c r="A705" t="s">
        <v>136</v>
      </c>
      <c r="B705" t="s">
        <v>16</v>
      </c>
      <c r="C705" t="s">
        <v>29</v>
      </c>
      <c r="K705" s="25">
        <f>(Table2[[#This Row],[Home Pace]]/100)*(VLOOKUP(Table2[[#This Row],[Home/Neutral]],home_lookup,8,FALSE)+VLOOKUP(Table2[[#This Row],[Home/Neutral]],OFR_lookup,2,FALSE)+VLOOKUP(Table2[[#This Row],[Visitor/Neutral]],def_diff_lookup,6,FALSE))</f>
        <v>106.95110601115951</v>
      </c>
      <c r="L705" s="25"/>
      <c r="M705" s="25">
        <f>(Table2[[#This Row],[Away Pace]]/100)*(VLOOKUP(Table2[[#This Row],[Visitor/Neutral]],OFR_lookup,2,FALSE)+VLOOKUP(Table2[[#This Row],[Home/Neutral]],def_diff_lookup,6,FALSE))</f>
        <v>99.034665333333351</v>
      </c>
      <c r="N705" s="25"/>
      <c r="O705" s="25"/>
      <c r="P705">
        <f>VLOOKUP(Table2[[#This Row],[Home/Neutral]],pace_lookup,7,FALSE)</f>
        <v>97.5</v>
      </c>
      <c r="Q705" s="5">
        <f>VLOOKUP(Table2[[#This Row],[Visitor/Neutral]],pace_lookup,7,FALSE)</f>
        <v>93.8</v>
      </c>
      <c r="R705" s="9"/>
      <c r="V705" s="2">
        <f>-home-VLOOKUP(Table2[[#This Row],[Home/Neutral]],rtg_vlookup,4,FALSE)+VLOOKUP(Table2[[#This Row],[Visitor/Neutral]],rtg_vlookup,4,FALSE)</f>
        <v>-7.6351184834123309</v>
      </c>
      <c r="W705" s="25"/>
      <c r="X705" s="2"/>
      <c r="Y705" s="2">
        <f>Table2[[#This Row],[Away EV]]-Table2[[#This Row],[Home EV]]</f>
        <v>-7.9164406778261593</v>
      </c>
      <c r="Z705" s="33"/>
      <c r="AA705" s="34"/>
      <c r="AB705" s="5" t="b">
        <f>IF(VLOOKUP(Table2[[#This Row],[Home/Neutral]],division_lookup,9,FALSE)=VLOOKUP(Table2[[#This Row],[Visitor/Neutral]],division_lookup,9,FALSE),TRUE,FALSE)</f>
        <v>0</v>
      </c>
      <c r="AC705" s="19" t="str">
        <f>VLOOKUP(Table2[[#This Row],[Home/Neutral]],division_lookup,9,FALSE)</f>
        <v>SE</v>
      </c>
      <c r="AD705" s="19"/>
      <c r="AE705" s="19" t="str">
        <f>IF(Table2[[#This Row],[Total EV ®]]&lt;Table2[[#This Row],[Total (V)]],"UNDER","OVER")</f>
        <v>OVER</v>
      </c>
      <c r="AF705" s="30">
        <f>Table2[[#This Row],[(A) Spread]]-Table2[[#This Row],[Spread (V)]]</f>
        <v>0</v>
      </c>
      <c r="AG705" s="19"/>
      <c r="AH705" s="2">
        <f>Table2[[#This Row],[EV]]-Table2[[#This Row],[Spread (V)]]</f>
        <v>-7.9164406778261593</v>
      </c>
      <c r="AI705" s="22">
        <f>Table2[[#This Row],[(A)]]-Table2[[#This Row],[Spread]]</f>
        <v>-7.6351184834123309</v>
      </c>
      <c r="AJ705" s="1">
        <f>Table2[[#This Row],[(A) Err]]^2</f>
        <v>58.295034255744611</v>
      </c>
      <c r="AK705" s="6">
        <f>Table2[[#This Row],[EV]]-Table2[[#This Row],[Spread]]</f>
        <v>-7.9164406778261593</v>
      </c>
      <c r="AL705" s="1">
        <f>Table2[[#This Row],[EV Err]]^2</f>
        <v>62.670033005540702</v>
      </c>
    </row>
    <row r="706" spans="1:38" x14ac:dyDescent="0.25">
      <c r="A706" t="s">
        <v>136</v>
      </c>
      <c r="B706" t="s">
        <v>10</v>
      </c>
      <c r="C706" t="s">
        <v>4</v>
      </c>
      <c r="K706" s="25">
        <f>(Table2[[#This Row],[Home Pace]]/100)*(VLOOKUP(Table2[[#This Row],[Home/Neutral]],home_lookup,8,FALSE)+VLOOKUP(Table2[[#This Row],[Home/Neutral]],OFR_lookup,2,FALSE)+VLOOKUP(Table2[[#This Row],[Visitor/Neutral]],def_diff_lookup,6,FALSE))</f>
        <v>101.08806853790561</v>
      </c>
      <c r="L706" s="25"/>
      <c r="M706" s="25">
        <f>(Table2[[#This Row],[Away Pace]]/100)*(VLOOKUP(Table2[[#This Row],[Visitor/Neutral]],OFR_lookup,2,FALSE)+VLOOKUP(Table2[[#This Row],[Home/Neutral]],def_diff_lookup,6,FALSE))</f>
        <v>112.47202399999999</v>
      </c>
      <c r="N706" s="25"/>
      <c r="O706" s="25"/>
      <c r="P706">
        <f>VLOOKUP(Table2[[#This Row],[Home/Neutral]],pace_lookup,7,FALSE)</f>
        <v>100.3</v>
      </c>
      <c r="Q706" s="5">
        <f>VLOOKUP(Table2[[#This Row],[Visitor/Neutral]],pace_lookup,7,FALSE)</f>
        <v>96.6</v>
      </c>
      <c r="R706" s="9"/>
      <c r="V706" s="2">
        <f>-home-VLOOKUP(Table2[[#This Row],[Home/Neutral]],rtg_vlookup,4,FALSE)+VLOOKUP(Table2[[#This Row],[Visitor/Neutral]],rtg_vlookup,4,FALSE)</f>
        <v>3.4348815165876694</v>
      </c>
      <c r="W706" s="25"/>
      <c r="X706" s="2"/>
      <c r="Y706" s="2">
        <f>Table2[[#This Row],[Away EV]]-Table2[[#This Row],[Home EV]]</f>
        <v>11.383955462094377</v>
      </c>
      <c r="Z706" s="33"/>
      <c r="AA706" s="34"/>
      <c r="AB706" s="5" t="b">
        <f>IF(VLOOKUP(Table2[[#This Row],[Home/Neutral]],division_lookup,9,FALSE)=VLOOKUP(Table2[[#This Row],[Visitor/Neutral]],division_lookup,9,FALSE),TRUE,FALSE)</f>
        <v>1</v>
      </c>
      <c r="AC706" s="19" t="str">
        <f>VLOOKUP(Table2[[#This Row],[Home/Neutral]],division_lookup,9,FALSE)</f>
        <v>P</v>
      </c>
      <c r="AD706" s="19"/>
      <c r="AE706" s="19" t="str">
        <f>IF(Table2[[#This Row],[Total EV ®]]&lt;Table2[[#This Row],[Total (V)]],"UNDER","OVER")</f>
        <v>OVER</v>
      </c>
      <c r="AF706" s="30">
        <f>Table2[[#This Row],[(A) Spread]]-Table2[[#This Row],[Spread (V)]]</f>
        <v>0</v>
      </c>
      <c r="AG706" s="19"/>
      <c r="AH706" s="2">
        <f>Table2[[#This Row],[EV]]-Table2[[#This Row],[Spread (V)]]</f>
        <v>11.383955462094377</v>
      </c>
      <c r="AI706" s="22">
        <f>Table2[[#This Row],[(A)]]-Table2[[#This Row],[Spread]]</f>
        <v>3.4348815165876694</v>
      </c>
      <c r="AJ706" s="1">
        <f>Table2[[#This Row],[(A) Err]]^2</f>
        <v>11.798411032995608</v>
      </c>
      <c r="AK706" s="6">
        <f>Table2[[#This Row],[EV]]-Table2[[#This Row],[Spread]]</f>
        <v>11.383955462094377</v>
      </c>
      <c r="AL706" s="1">
        <f>Table2[[#This Row],[EV Err]]^2</f>
        <v>129.59444196294839</v>
      </c>
    </row>
    <row r="707" spans="1:38" x14ac:dyDescent="0.25">
      <c r="A707" t="s">
        <v>136</v>
      </c>
      <c r="B707" t="s">
        <v>21</v>
      </c>
      <c r="C707" t="s">
        <v>25</v>
      </c>
      <c r="K707" s="25">
        <f>(Table2[[#This Row],[Home Pace]]/100)*(VLOOKUP(Table2[[#This Row],[Home/Neutral]],home_lookup,8,FALSE)+VLOOKUP(Table2[[#This Row],[Home/Neutral]],OFR_lookup,2,FALSE)+VLOOKUP(Table2[[#This Row],[Visitor/Neutral]],def_diff_lookup,6,FALSE))</f>
        <v>98.002631175243906</v>
      </c>
      <c r="L707" s="25"/>
      <c r="M707" s="25">
        <f>(Table2[[#This Row],[Away Pace]]/100)*(VLOOKUP(Table2[[#This Row],[Visitor/Neutral]],OFR_lookup,2,FALSE)+VLOOKUP(Table2[[#This Row],[Home/Neutral]],def_diff_lookup,6,FALSE))</f>
        <v>93.305589333333344</v>
      </c>
      <c r="N707" s="25"/>
      <c r="O707" s="25"/>
      <c r="P707">
        <f>VLOOKUP(Table2[[#This Row],[Home/Neutral]],pace_lookup,7,FALSE)</f>
        <v>94.2</v>
      </c>
      <c r="Q707" s="5">
        <f>VLOOKUP(Table2[[#This Row],[Visitor/Neutral]],pace_lookup,7,FALSE)</f>
        <v>94.4</v>
      </c>
      <c r="R707" s="9"/>
      <c r="V707" s="2">
        <f>-home-VLOOKUP(Table2[[#This Row],[Home/Neutral]],rtg_vlookup,4,FALSE)+VLOOKUP(Table2[[#This Row],[Visitor/Neutral]],rtg_vlookup,4,FALSE)</f>
        <v>-2.6451184834123307</v>
      </c>
      <c r="W707" s="25"/>
      <c r="X707" s="2"/>
      <c r="Y707" s="2">
        <f>Table2[[#This Row],[Away EV]]-Table2[[#This Row],[Home EV]]</f>
        <v>-4.6970418419105613</v>
      </c>
      <c r="Z707" s="33"/>
      <c r="AA707" s="34"/>
      <c r="AB707" s="5" t="b">
        <f>IF(VLOOKUP(Table2[[#This Row],[Home/Neutral]],division_lookup,9,FALSE)=VLOOKUP(Table2[[#This Row],[Visitor/Neutral]],division_lookup,9,FALSE),TRUE,FALSE)</f>
        <v>0</v>
      </c>
      <c r="AC707" s="19" t="str">
        <f>VLOOKUP(Table2[[#This Row],[Home/Neutral]],division_lookup,9,FALSE)</f>
        <v>SE</v>
      </c>
      <c r="AD707" s="19"/>
      <c r="AE707" s="19" t="str">
        <f>IF(Table2[[#This Row],[Total EV ®]]&lt;Table2[[#This Row],[Total (V)]],"UNDER","OVER")</f>
        <v>OVER</v>
      </c>
      <c r="AF707" s="30">
        <f>Table2[[#This Row],[(A) Spread]]-Table2[[#This Row],[Spread (V)]]</f>
        <v>0</v>
      </c>
      <c r="AG707" s="19"/>
      <c r="AH707" s="2">
        <f>Table2[[#This Row],[EV]]-Table2[[#This Row],[Spread (V)]]</f>
        <v>-4.6970418419105613</v>
      </c>
      <c r="AI707" s="22">
        <f>Table2[[#This Row],[(A)]]-Table2[[#This Row],[Spread]]</f>
        <v>-2.6451184834123307</v>
      </c>
      <c r="AJ707" s="1">
        <f>Table2[[#This Row],[(A) Err]]^2</f>
        <v>6.9966517912895485</v>
      </c>
      <c r="AK707" s="6">
        <f>Table2[[#This Row],[EV]]-Table2[[#This Row],[Spread]]</f>
        <v>-4.6970418419105613</v>
      </c>
      <c r="AL707" s="1">
        <f>Table2[[#This Row],[EV Err]]^2</f>
        <v>22.062202064658557</v>
      </c>
    </row>
    <row r="708" spans="1:38" x14ac:dyDescent="0.25">
      <c r="A708" t="s">
        <v>136</v>
      </c>
      <c r="B708" t="s">
        <v>30</v>
      </c>
      <c r="C708" t="s">
        <v>26</v>
      </c>
      <c r="K708" s="25">
        <f>(Table2[[#This Row],[Home Pace]]/100)*(VLOOKUP(Table2[[#This Row],[Home/Neutral]],home_lookup,8,FALSE)+VLOOKUP(Table2[[#This Row],[Home/Neutral]],OFR_lookup,2,FALSE)+VLOOKUP(Table2[[#This Row],[Visitor/Neutral]],def_diff_lookup,6,FALSE))</f>
        <v>109.80632034993644</v>
      </c>
      <c r="L708" s="25"/>
      <c r="M708" s="25">
        <f>(Table2[[#This Row],[Away Pace]]/100)*(VLOOKUP(Table2[[#This Row],[Visitor/Neutral]],OFR_lookup,2,FALSE)+VLOOKUP(Table2[[#This Row],[Home/Neutral]],def_diff_lookup,6,FALSE))</f>
        <v>105.37984000000002</v>
      </c>
      <c r="N708" s="25"/>
      <c r="O708" s="25"/>
      <c r="P708">
        <f>VLOOKUP(Table2[[#This Row],[Home/Neutral]],pace_lookup,7,FALSE)</f>
        <v>96.8</v>
      </c>
      <c r="Q708" s="5">
        <f>VLOOKUP(Table2[[#This Row],[Visitor/Neutral]],pace_lookup,7,FALSE)</f>
        <v>96</v>
      </c>
      <c r="R708" s="9"/>
      <c r="V708" s="2">
        <f>-home-VLOOKUP(Table2[[#This Row],[Home/Neutral]],rtg_vlookup,4,FALSE)+VLOOKUP(Table2[[#This Row],[Visitor/Neutral]],rtg_vlookup,4,FALSE)</f>
        <v>-0.43511848341233095</v>
      </c>
      <c r="W708" s="25"/>
      <c r="X708" s="2"/>
      <c r="Y708" s="2">
        <f>Table2[[#This Row],[Away EV]]-Table2[[#This Row],[Home EV]]</f>
        <v>-4.4264803499364263</v>
      </c>
      <c r="Z708" s="33"/>
      <c r="AA708" s="34"/>
      <c r="AB708" s="5" t="b">
        <f>IF(VLOOKUP(Table2[[#This Row],[Home/Neutral]],division_lookup,9,FALSE)=VLOOKUP(Table2[[#This Row],[Visitor/Neutral]],division_lookup,9,FALSE),TRUE,FALSE)</f>
        <v>0</v>
      </c>
      <c r="AC708" s="19" t="str">
        <f>VLOOKUP(Table2[[#This Row],[Home/Neutral]],division_lookup,9,FALSE)</f>
        <v>C</v>
      </c>
      <c r="AD708" s="19"/>
      <c r="AE708" s="19" t="str">
        <f>IF(Table2[[#This Row],[Total EV ®]]&lt;Table2[[#This Row],[Total (V)]],"UNDER","OVER")</f>
        <v>OVER</v>
      </c>
      <c r="AF708" s="30">
        <f>Table2[[#This Row],[(A) Spread]]-Table2[[#This Row],[Spread (V)]]</f>
        <v>0</v>
      </c>
      <c r="AG708" s="19"/>
      <c r="AH708" s="2">
        <f>Table2[[#This Row],[EV]]-Table2[[#This Row],[Spread (V)]]</f>
        <v>-4.4264803499364263</v>
      </c>
      <c r="AI708" s="22">
        <f>Table2[[#This Row],[(A)]]-Table2[[#This Row],[Spread]]</f>
        <v>-0.43511848341233095</v>
      </c>
      <c r="AJ708" s="1">
        <f>Table2[[#This Row],[(A) Err]]^2</f>
        <v>0.18932809460704692</v>
      </c>
      <c r="AK708" s="6">
        <f>Table2[[#This Row],[EV]]-Table2[[#This Row],[Spread]]</f>
        <v>-4.4264803499364263</v>
      </c>
      <c r="AL708" s="1">
        <f>Table2[[#This Row],[EV Err]]^2</f>
        <v>19.593728288373306</v>
      </c>
    </row>
    <row r="709" spans="1:38" x14ac:dyDescent="0.25">
      <c r="A709" t="s">
        <v>136</v>
      </c>
      <c r="B709" t="s">
        <v>22</v>
      </c>
      <c r="C709" t="s">
        <v>35</v>
      </c>
      <c r="K709" s="25">
        <f>(Table2[[#This Row],[Home Pace]]/100)*(VLOOKUP(Table2[[#This Row],[Home/Neutral]],home_lookup,8,FALSE)+VLOOKUP(Table2[[#This Row],[Home/Neutral]],OFR_lookup,2,FALSE)+VLOOKUP(Table2[[#This Row],[Visitor/Neutral]],def_diff_lookup,6,FALSE))</f>
        <v>114.30619922968975</v>
      </c>
      <c r="L709" s="25"/>
      <c r="M709" s="25">
        <f>(Table2[[#This Row],[Away Pace]]/100)*(VLOOKUP(Table2[[#This Row],[Visitor/Neutral]],OFR_lookup,2,FALSE)+VLOOKUP(Table2[[#This Row],[Home/Neutral]],def_diff_lookup,6,FALSE))</f>
        <v>109.96788133333335</v>
      </c>
      <c r="N709" s="25"/>
      <c r="O709" s="25"/>
      <c r="P709">
        <f>VLOOKUP(Table2[[#This Row],[Home/Neutral]],pace_lookup,7,FALSE)</f>
        <v>94.7</v>
      </c>
      <c r="Q709" s="5">
        <f>VLOOKUP(Table2[[#This Row],[Visitor/Neutral]],pace_lookup,7,FALSE)</f>
        <v>102.2</v>
      </c>
      <c r="R709" s="9"/>
      <c r="V709" s="2">
        <f>-home-VLOOKUP(Table2[[#This Row],[Home/Neutral]],rtg_vlookup,4,FALSE)+VLOOKUP(Table2[[#This Row],[Visitor/Neutral]],rtg_vlookup,4,FALSE)</f>
        <v>-9.9451184834123296</v>
      </c>
      <c r="W709" s="25"/>
      <c r="X709" s="2"/>
      <c r="Y709" s="2">
        <f>Table2[[#This Row],[Away EV]]-Table2[[#This Row],[Home EV]]</f>
        <v>-4.3383178963564006</v>
      </c>
      <c r="Z709" s="33"/>
      <c r="AA709" s="34"/>
      <c r="AB709" s="5" t="b">
        <f>IF(VLOOKUP(Table2[[#This Row],[Home/Neutral]],division_lookup,9,FALSE)=VLOOKUP(Table2[[#This Row],[Visitor/Neutral]],division_lookup,9,FALSE),TRUE,FALSE)</f>
        <v>0</v>
      </c>
      <c r="AC709" s="19" t="str">
        <f>VLOOKUP(Table2[[#This Row],[Home/Neutral]],division_lookup,9,FALSE)</f>
        <v>NW</v>
      </c>
      <c r="AD709" s="19"/>
      <c r="AE709" s="19" t="str">
        <f>IF(Table2[[#This Row],[Total EV ®]]&lt;Table2[[#This Row],[Total (V)]],"UNDER","OVER")</f>
        <v>OVER</v>
      </c>
      <c r="AF709" s="30">
        <f>Table2[[#This Row],[(A) Spread]]-Table2[[#This Row],[Spread (V)]]</f>
        <v>0</v>
      </c>
      <c r="AG709" s="19"/>
      <c r="AH709" s="2">
        <f>Table2[[#This Row],[EV]]-Table2[[#This Row],[Spread (V)]]</f>
        <v>-4.3383178963564006</v>
      </c>
      <c r="AI709" s="22">
        <f>Table2[[#This Row],[(A)]]-Table2[[#This Row],[Spread]]</f>
        <v>-9.9451184834123296</v>
      </c>
      <c r="AJ709" s="1">
        <f>Table2[[#This Row],[(A) Err]]^2</f>
        <v>98.905381649109557</v>
      </c>
      <c r="AK709" s="6">
        <f>Table2[[#This Row],[EV]]-Table2[[#This Row],[Spread]]</f>
        <v>-4.3383178963564006</v>
      </c>
      <c r="AL709" s="1">
        <f>Table2[[#This Row],[EV Err]]^2</f>
        <v>18.821002169846224</v>
      </c>
    </row>
    <row r="710" spans="1:38" x14ac:dyDescent="0.25">
      <c r="A710" t="s">
        <v>136</v>
      </c>
      <c r="B710" t="s">
        <v>36</v>
      </c>
      <c r="C710" t="s">
        <v>27</v>
      </c>
      <c r="K710" s="25">
        <f>(Table2[[#This Row],[Home Pace]]/100)*(VLOOKUP(Table2[[#This Row],[Home/Neutral]],home_lookup,8,FALSE)+VLOOKUP(Table2[[#This Row],[Home/Neutral]],OFR_lookup,2,FALSE)+VLOOKUP(Table2[[#This Row],[Visitor/Neutral]],def_diff_lookup,6,FALSE))</f>
        <v>107.05315156604043</v>
      </c>
      <c r="L710" s="25"/>
      <c r="M710" s="25">
        <f>(Table2[[#This Row],[Away Pace]]/100)*(VLOOKUP(Table2[[#This Row],[Visitor/Neutral]],OFR_lookup,2,FALSE)+VLOOKUP(Table2[[#This Row],[Home/Neutral]],def_diff_lookup,6,FALSE))</f>
        <v>107.06916</v>
      </c>
      <c r="N710" s="25"/>
      <c r="O710" s="25"/>
      <c r="P710">
        <f>VLOOKUP(Table2[[#This Row],[Home/Neutral]],pace_lookup,7,FALSE)</f>
        <v>102.2</v>
      </c>
      <c r="Q710" s="5">
        <f>VLOOKUP(Table2[[#This Row],[Visitor/Neutral]],pace_lookup,7,FALSE)</f>
        <v>99</v>
      </c>
      <c r="R710" s="9"/>
      <c r="V710" s="2">
        <f>-home-VLOOKUP(Table2[[#This Row],[Home/Neutral]],rtg_vlookup,4,FALSE)+VLOOKUP(Table2[[#This Row],[Visitor/Neutral]],rtg_vlookup,4,FALSE)</f>
        <v>2.8848815165876696</v>
      </c>
      <c r="W710" s="25"/>
      <c r="X710" s="2"/>
      <c r="Y710" s="2">
        <f>Table2[[#This Row],[Away EV]]-Table2[[#This Row],[Home EV]]</f>
        <v>1.6008433959569857E-2</v>
      </c>
      <c r="Z710" s="33"/>
      <c r="AA710" s="34"/>
      <c r="AB710" s="5" t="b">
        <f>IF(VLOOKUP(Table2[[#This Row],[Home/Neutral]],division_lookup,9,FALSE)=VLOOKUP(Table2[[#This Row],[Visitor/Neutral]],division_lookup,9,FALSE),TRUE,FALSE)</f>
        <v>0</v>
      </c>
      <c r="AC710" s="19" t="str">
        <f>VLOOKUP(Table2[[#This Row],[Home/Neutral]],division_lookup,9,FALSE)</f>
        <v>P</v>
      </c>
      <c r="AD710" s="19"/>
      <c r="AE710" s="19" t="str">
        <f>IF(Table2[[#This Row],[Total EV ®]]&lt;Table2[[#This Row],[Total (V)]],"UNDER","OVER")</f>
        <v>OVER</v>
      </c>
      <c r="AF710" s="30">
        <f>Table2[[#This Row],[(A) Spread]]-Table2[[#This Row],[Spread (V)]]</f>
        <v>0</v>
      </c>
      <c r="AG710" s="19"/>
      <c r="AH710" s="2">
        <f>Table2[[#This Row],[EV]]-Table2[[#This Row],[Spread (V)]]</f>
        <v>1.6008433959569857E-2</v>
      </c>
      <c r="AI710" s="22">
        <f>Table2[[#This Row],[(A)]]-Table2[[#This Row],[Spread]]</f>
        <v>2.8848815165876696</v>
      </c>
      <c r="AJ710" s="1">
        <f>Table2[[#This Row],[(A) Err]]^2</f>
        <v>8.3225413647491724</v>
      </c>
      <c r="AK710" s="6">
        <f>Table2[[#This Row],[EV]]-Table2[[#This Row],[Spread]]</f>
        <v>1.6008433959569857E-2</v>
      </c>
      <c r="AL710" s="1">
        <f>Table2[[#This Row],[EV Err]]^2</f>
        <v>2.5626995783790946E-4</v>
      </c>
    </row>
    <row r="711" spans="1:38" x14ac:dyDescent="0.25">
      <c r="A711" t="s">
        <v>136</v>
      </c>
      <c r="B711" t="s">
        <v>20</v>
      </c>
      <c r="C711" t="s">
        <v>23</v>
      </c>
      <c r="K711" s="25">
        <f>(Table2[[#This Row],[Home Pace]]/100)*(VLOOKUP(Table2[[#This Row],[Home/Neutral]],home_lookup,8,FALSE)+VLOOKUP(Table2[[#This Row],[Home/Neutral]],OFR_lookup,2,FALSE)+VLOOKUP(Table2[[#This Row],[Visitor/Neutral]],def_diff_lookup,6,FALSE))</f>
        <v>99.929185289151775</v>
      </c>
      <c r="L711" s="25"/>
      <c r="M711" s="25">
        <f>(Table2[[#This Row],[Away Pace]]/100)*(VLOOKUP(Table2[[#This Row],[Visitor/Neutral]],OFR_lookup,2,FALSE)+VLOOKUP(Table2[[#This Row],[Home/Neutral]],def_diff_lookup,6,FALSE))</f>
        <v>95.146116666666686</v>
      </c>
      <c r="N711" s="25"/>
      <c r="O711" s="25"/>
      <c r="P711">
        <f>VLOOKUP(Table2[[#This Row],[Home/Neutral]],pace_lookup,7,FALSE)</f>
        <v>90.9</v>
      </c>
      <c r="Q711" s="5">
        <f>VLOOKUP(Table2[[#This Row],[Visitor/Neutral]],pace_lookup,7,FALSE)</f>
        <v>92.5</v>
      </c>
      <c r="R711" s="9"/>
      <c r="V711" s="2">
        <f>-home-VLOOKUP(Table2[[#This Row],[Home/Neutral]],rtg_vlookup,4,FALSE)+VLOOKUP(Table2[[#This Row],[Visitor/Neutral]],rtg_vlookup,4,FALSE)</f>
        <v>-2.0651184834123311</v>
      </c>
      <c r="W711" s="25"/>
      <c r="X711" s="2"/>
      <c r="Y711" s="2">
        <f>Table2[[#This Row],[Away EV]]-Table2[[#This Row],[Home EV]]</f>
        <v>-4.7830686224850893</v>
      </c>
      <c r="Z711" s="33"/>
      <c r="AA711" s="34"/>
      <c r="AB711" s="5" t="b">
        <f>IF(VLOOKUP(Table2[[#This Row],[Home/Neutral]],division_lookup,9,FALSE)=VLOOKUP(Table2[[#This Row],[Visitor/Neutral]],division_lookup,9,FALSE),TRUE,FALSE)</f>
        <v>0</v>
      </c>
      <c r="AC711" s="19" t="str">
        <f>VLOOKUP(Table2[[#This Row],[Home/Neutral]],division_lookup,9,FALSE)</f>
        <v>NW</v>
      </c>
      <c r="AD711" s="19"/>
      <c r="AE711" s="19" t="str">
        <f>IF(Table2[[#This Row],[Total EV ®]]&lt;Table2[[#This Row],[Total (V)]],"UNDER","OVER")</f>
        <v>OVER</v>
      </c>
      <c r="AF711" s="30">
        <f>Table2[[#This Row],[(A) Spread]]-Table2[[#This Row],[Spread (V)]]</f>
        <v>0</v>
      </c>
      <c r="AG711" s="19"/>
      <c r="AH711" s="2">
        <f>Table2[[#This Row],[EV]]-Table2[[#This Row],[Spread (V)]]</f>
        <v>-4.7830686224850893</v>
      </c>
      <c r="AI711" s="22">
        <f>Table2[[#This Row],[(A)]]-Table2[[#This Row],[Spread]]</f>
        <v>-2.0651184834123311</v>
      </c>
      <c r="AJ711" s="1">
        <f>Table2[[#This Row],[(A) Err]]^2</f>
        <v>4.2647143505312464</v>
      </c>
      <c r="AK711" s="6">
        <f>Table2[[#This Row],[EV]]-Table2[[#This Row],[Spread]]</f>
        <v>-4.7830686224850893</v>
      </c>
      <c r="AL711" s="1">
        <f>Table2[[#This Row],[EV Err]]^2</f>
        <v>22.877745447401409</v>
      </c>
    </row>
    <row r="712" spans="1:38" x14ac:dyDescent="0.25">
      <c r="A712" t="s">
        <v>137</v>
      </c>
      <c r="B712" t="s">
        <v>11</v>
      </c>
      <c r="C712" t="s">
        <v>31</v>
      </c>
      <c r="K712" s="25">
        <f>(Table2[[#This Row],[Home Pace]]/100)*(VLOOKUP(Table2[[#This Row],[Home/Neutral]],home_lookup,8,FALSE)+VLOOKUP(Table2[[#This Row],[Home/Neutral]],OFR_lookup,2,FALSE)+VLOOKUP(Table2[[#This Row],[Visitor/Neutral]],def_diff_lookup,6,FALSE))</f>
        <v>103.21621904407282</v>
      </c>
      <c r="L712" s="25"/>
      <c r="M712" s="25">
        <f>(Table2[[#This Row],[Away Pace]]/100)*(VLOOKUP(Table2[[#This Row],[Visitor/Neutral]],OFR_lookup,2,FALSE)+VLOOKUP(Table2[[#This Row],[Home/Neutral]],def_diff_lookup,6,FALSE))</f>
        <v>96.941440000000014</v>
      </c>
      <c r="N712" s="25"/>
      <c r="O712" s="25"/>
      <c r="P712">
        <f>VLOOKUP(Table2[[#This Row],[Home/Neutral]],pace_lookup,7,FALSE)</f>
        <v>99.7</v>
      </c>
      <c r="Q712" s="5">
        <f>VLOOKUP(Table2[[#This Row],[Visitor/Neutral]],pace_lookup,7,FALSE)</f>
        <v>96</v>
      </c>
      <c r="R712" s="9"/>
      <c r="V712" s="2">
        <f>-home-VLOOKUP(Table2[[#This Row],[Home/Neutral]],rtg_vlookup,4,FALSE)+VLOOKUP(Table2[[#This Row],[Visitor/Neutral]],rtg_vlookup,4,FALSE)</f>
        <v>-11.285118483412331</v>
      </c>
      <c r="W712" s="25"/>
      <c r="X712" s="2"/>
      <c r="Y712" s="2">
        <f>Table2[[#This Row],[Away EV]]-Table2[[#This Row],[Home EV]]</f>
        <v>-6.2747790440728011</v>
      </c>
      <c r="Z712" s="33"/>
      <c r="AA712" s="34"/>
      <c r="AB712" s="5" t="b">
        <f>IF(VLOOKUP(Table2[[#This Row],[Home/Neutral]],division_lookup,9,FALSE)=VLOOKUP(Table2[[#This Row],[Visitor/Neutral]],division_lookup,9,FALSE),TRUE,FALSE)</f>
        <v>0</v>
      </c>
      <c r="AC712" s="19" t="str">
        <f>VLOOKUP(Table2[[#This Row],[Home/Neutral]],division_lookup,9,FALSE)</f>
        <v>SE</v>
      </c>
      <c r="AD712" s="19"/>
      <c r="AE712" s="19" t="str">
        <f>IF(Table2[[#This Row],[Total EV ®]]&lt;Table2[[#This Row],[Total (V)]],"UNDER","OVER")</f>
        <v>OVER</v>
      </c>
      <c r="AF712" s="30">
        <f>Table2[[#This Row],[(A) Spread]]-Table2[[#This Row],[Spread (V)]]</f>
        <v>0</v>
      </c>
      <c r="AG712" s="19"/>
      <c r="AH712" s="2">
        <f>Table2[[#This Row],[EV]]-Table2[[#This Row],[Spread (V)]]</f>
        <v>-6.2747790440728011</v>
      </c>
      <c r="AI712" s="22">
        <f>Table2[[#This Row],[(A)]]-Table2[[#This Row],[Spread]]</f>
        <v>-11.285118483412331</v>
      </c>
      <c r="AJ712" s="1">
        <f>Table2[[#This Row],[(A) Err]]^2</f>
        <v>127.35389918465464</v>
      </c>
      <c r="AK712" s="6">
        <f>Table2[[#This Row],[EV]]-Table2[[#This Row],[Spread]]</f>
        <v>-6.2747790440728011</v>
      </c>
      <c r="AL712" s="1">
        <f>Table2[[#This Row],[EV Err]]^2</f>
        <v>39.372852051935176</v>
      </c>
    </row>
    <row r="713" spans="1:38" x14ac:dyDescent="0.25">
      <c r="A713" t="s">
        <v>137</v>
      </c>
      <c r="B713" t="s">
        <v>13</v>
      </c>
      <c r="C713" t="s">
        <v>39</v>
      </c>
      <c r="K713" s="25">
        <f>(Table2[[#This Row],[Home Pace]]/100)*(VLOOKUP(Table2[[#This Row],[Home/Neutral]],home_lookup,8,FALSE)+VLOOKUP(Table2[[#This Row],[Home/Neutral]],OFR_lookup,2,FALSE)+VLOOKUP(Table2[[#This Row],[Visitor/Neutral]],def_diff_lookup,6,FALSE))</f>
        <v>108.246041084504</v>
      </c>
      <c r="L713" s="25"/>
      <c r="M713" s="25">
        <f>(Table2[[#This Row],[Away Pace]]/100)*(VLOOKUP(Table2[[#This Row],[Visitor/Neutral]],OFR_lookup,2,FALSE)+VLOOKUP(Table2[[#This Row],[Home/Neutral]],def_diff_lookup,6,FALSE))</f>
        <v>96.886400000000009</v>
      </c>
      <c r="N713" s="25"/>
      <c r="O713" s="25"/>
      <c r="P713">
        <f>VLOOKUP(Table2[[#This Row],[Home/Neutral]],pace_lookup,7,FALSE)</f>
        <v>94.5</v>
      </c>
      <c r="Q713" s="5">
        <f>VLOOKUP(Table2[[#This Row],[Visitor/Neutral]],pace_lookup,7,FALSE)</f>
        <v>97.5</v>
      </c>
      <c r="R713" s="9"/>
      <c r="V713" s="2">
        <f>-home-VLOOKUP(Table2[[#This Row],[Home/Neutral]],rtg_vlookup,4,FALSE)+VLOOKUP(Table2[[#This Row],[Visitor/Neutral]],rtg_vlookup,4,FALSE)</f>
        <v>-17.635118483412331</v>
      </c>
      <c r="W713" s="25"/>
      <c r="X713" s="2"/>
      <c r="Y713" s="2">
        <f>Table2[[#This Row],[Away EV]]-Table2[[#This Row],[Home EV]]</f>
        <v>-11.359641084503991</v>
      </c>
      <c r="Z713" s="33"/>
      <c r="AA713" s="34"/>
      <c r="AB713" s="5" t="b">
        <f>IF(VLOOKUP(Table2[[#This Row],[Home/Neutral]],division_lookup,9,FALSE)=VLOOKUP(Table2[[#This Row],[Visitor/Neutral]],division_lookup,9,FALSE),TRUE,FALSE)</f>
        <v>0</v>
      </c>
      <c r="AC713" s="19" t="str">
        <f>VLOOKUP(Table2[[#This Row],[Home/Neutral]],division_lookup,9,FALSE)</f>
        <v>C</v>
      </c>
      <c r="AD713" s="19"/>
      <c r="AE713" s="19" t="str">
        <f>IF(Table2[[#This Row],[Total EV ®]]&lt;Table2[[#This Row],[Total (V)]],"UNDER","OVER")</f>
        <v>OVER</v>
      </c>
      <c r="AF713" s="30">
        <f>Table2[[#This Row],[(A) Spread]]-Table2[[#This Row],[Spread (V)]]</f>
        <v>0</v>
      </c>
      <c r="AG713" s="19"/>
      <c r="AH713" s="2">
        <f>Table2[[#This Row],[EV]]-Table2[[#This Row],[Spread (V)]]</f>
        <v>-11.359641084503991</v>
      </c>
      <c r="AI713" s="22">
        <f>Table2[[#This Row],[(A)]]-Table2[[#This Row],[Spread]]</f>
        <v>-17.635118483412331</v>
      </c>
      <c r="AJ713" s="1">
        <f>Table2[[#This Row],[(A) Err]]^2</f>
        <v>310.99740392399121</v>
      </c>
      <c r="AK713" s="6">
        <f>Table2[[#This Row],[EV]]-Table2[[#This Row],[Spread]]</f>
        <v>-11.359641084503991</v>
      </c>
      <c r="AL713" s="1">
        <f>Table2[[#This Row],[EV Err]]^2</f>
        <v>129.04144556875102</v>
      </c>
    </row>
    <row r="714" spans="1:38" x14ac:dyDescent="0.25">
      <c r="A714" t="s">
        <v>137</v>
      </c>
      <c r="B714" t="s">
        <v>8</v>
      </c>
      <c r="C714" t="s">
        <v>18</v>
      </c>
      <c r="K714" s="25">
        <f>(Table2[[#This Row],[Home Pace]]/100)*(VLOOKUP(Table2[[#This Row],[Home/Neutral]],home_lookup,8,FALSE)+VLOOKUP(Table2[[#This Row],[Home/Neutral]],OFR_lookup,2,FALSE)+VLOOKUP(Table2[[#This Row],[Visitor/Neutral]],def_diff_lookup,6,FALSE))</f>
        <v>100.72374036898179</v>
      </c>
      <c r="L714" s="25"/>
      <c r="M714" s="25">
        <f>(Table2[[#This Row],[Away Pace]]/100)*(VLOOKUP(Table2[[#This Row],[Visitor/Neutral]],OFR_lookup,2,FALSE)+VLOOKUP(Table2[[#This Row],[Home/Neutral]],def_diff_lookup,6,FALSE))</f>
        <v>101.97821333333334</v>
      </c>
      <c r="N714" s="25"/>
      <c r="O714" s="25"/>
      <c r="P714">
        <f>VLOOKUP(Table2[[#This Row],[Home/Neutral]],pace_lookup,7,FALSE)</f>
        <v>97.2</v>
      </c>
      <c r="Q714" s="5">
        <f>VLOOKUP(Table2[[#This Row],[Visitor/Neutral]],pace_lookup,7,FALSE)</f>
        <v>99.5</v>
      </c>
      <c r="R714" s="9"/>
      <c r="V714" s="2">
        <f>-home-VLOOKUP(Table2[[#This Row],[Home/Neutral]],rtg_vlookup,4,FALSE)+VLOOKUP(Table2[[#This Row],[Visitor/Neutral]],rtg_vlookup,4,FALSE)</f>
        <v>-7.2551184834123301</v>
      </c>
      <c r="W714" s="25"/>
      <c r="X714" s="2"/>
      <c r="Y714" s="2">
        <f>Table2[[#This Row],[Away EV]]-Table2[[#This Row],[Home EV]]</f>
        <v>1.2544729643515495</v>
      </c>
      <c r="Z714" s="33"/>
      <c r="AA714" s="34"/>
      <c r="AB714" s="5" t="b">
        <f>IF(VLOOKUP(Table2[[#This Row],[Home/Neutral]],division_lookup,9,FALSE)=VLOOKUP(Table2[[#This Row],[Visitor/Neutral]],division_lookup,9,FALSE),TRUE,FALSE)</f>
        <v>0</v>
      </c>
      <c r="AC714" s="19" t="str">
        <f>VLOOKUP(Table2[[#This Row],[Home/Neutral]],division_lookup,9,FALSE)</f>
        <v>C</v>
      </c>
      <c r="AD714" s="19"/>
      <c r="AE714" s="19" t="str">
        <f>IF(Table2[[#This Row],[Total EV ®]]&lt;Table2[[#This Row],[Total (V)]],"UNDER","OVER")</f>
        <v>OVER</v>
      </c>
      <c r="AF714" s="30">
        <f>Table2[[#This Row],[(A) Spread]]-Table2[[#This Row],[Spread (V)]]</f>
        <v>0</v>
      </c>
      <c r="AG714" s="19"/>
      <c r="AH714" s="2">
        <f>Table2[[#This Row],[EV]]-Table2[[#This Row],[Spread (V)]]</f>
        <v>1.2544729643515495</v>
      </c>
      <c r="AI714" s="22">
        <f>Table2[[#This Row],[(A)]]-Table2[[#This Row],[Spread]]</f>
        <v>-7.2551184834123301</v>
      </c>
      <c r="AJ714" s="1">
        <f>Table2[[#This Row],[(A) Err]]^2</f>
        <v>52.636744208351232</v>
      </c>
      <c r="AK714" s="6">
        <f>Table2[[#This Row],[EV]]-Table2[[#This Row],[Spread]]</f>
        <v>1.2544729643515495</v>
      </c>
      <c r="AL714" s="1">
        <f>Table2[[#This Row],[EV Err]]^2</f>
        <v>1.5737024182889641</v>
      </c>
    </row>
    <row r="715" spans="1:38" x14ac:dyDescent="0.25">
      <c r="A715" t="s">
        <v>137</v>
      </c>
      <c r="B715" t="s">
        <v>33</v>
      </c>
      <c r="C715" t="s">
        <v>17</v>
      </c>
      <c r="K715" s="25">
        <f>(Table2[[#This Row],[Home Pace]]/100)*(VLOOKUP(Table2[[#This Row],[Home/Neutral]],home_lookup,8,FALSE)+VLOOKUP(Table2[[#This Row],[Home/Neutral]],OFR_lookup,2,FALSE)+VLOOKUP(Table2[[#This Row],[Visitor/Neutral]],def_diff_lookup,6,FALSE))</f>
        <v>110.73995852057507</v>
      </c>
      <c r="L715" s="25"/>
      <c r="M715" s="25">
        <f>(Table2[[#This Row],[Away Pace]]/100)*(VLOOKUP(Table2[[#This Row],[Visitor/Neutral]],OFR_lookup,2,FALSE)+VLOOKUP(Table2[[#This Row],[Home/Neutral]],def_diff_lookup,6,FALSE))</f>
        <v>112.47241466666668</v>
      </c>
      <c r="N715" s="25"/>
      <c r="O715" s="25"/>
      <c r="P715">
        <f>VLOOKUP(Table2[[#This Row],[Home/Neutral]],pace_lookup,7,FALSE)</f>
        <v>98.2</v>
      </c>
      <c r="Q715" s="5">
        <f>VLOOKUP(Table2[[#This Row],[Visitor/Neutral]],pace_lookup,7,FALSE)</f>
        <v>96.7</v>
      </c>
      <c r="R715" s="9"/>
      <c r="V715" s="2">
        <f>-home-VLOOKUP(Table2[[#This Row],[Home/Neutral]],rtg_vlookup,4,FALSE)+VLOOKUP(Table2[[#This Row],[Visitor/Neutral]],rtg_vlookup,4,FALSE)</f>
        <v>6.7548815165876697</v>
      </c>
      <c r="W715" s="25"/>
      <c r="X715" s="2"/>
      <c r="Y715" s="2">
        <f>Table2[[#This Row],[Away EV]]-Table2[[#This Row],[Home EV]]</f>
        <v>1.7324561460916073</v>
      </c>
      <c r="Z715" s="33"/>
      <c r="AA715" s="34"/>
      <c r="AB715" s="5" t="b">
        <f>IF(VLOOKUP(Table2[[#This Row],[Home/Neutral]],division_lookup,9,FALSE)=VLOOKUP(Table2[[#This Row],[Visitor/Neutral]],division_lookup,9,FALSE),TRUE,FALSE)</f>
        <v>0</v>
      </c>
      <c r="AC715" s="19" t="str">
        <f>VLOOKUP(Table2[[#This Row],[Home/Neutral]],division_lookup,9,FALSE)</f>
        <v>C</v>
      </c>
      <c r="AD715" s="19"/>
      <c r="AE715" s="19" t="str">
        <f>IF(Table2[[#This Row],[Total EV ®]]&lt;Table2[[#This Row],[Total (V)]],"UNDER","OVER")</f>
        <v>OVER</v>
      </c>
      <c r="AF715" s="30">
        <f>Table2[[#This Row],[(A) Spread]]-Table2[[#This Row],[Spread (V)]]</f>
        <v>0</v>
      </c>
      <c r="AG715" s="19"/>
      <c r="AH715" s="2">
        <f>Table2[[#This Row],[EV]]-Table2[[#This Row],[Spread (V)]]</f>
        <v>1.7324561460916073</v>
      </c>
      <c r="AI715" s="22">
        <f>Table2[[#This Row],[(A)]]-Table2[[#This Row],[Spread]]</f>
        <v>6.7548815165876697</v>
      </c>
      <c r="AJ715" s="1">
        <f>Table2[[#This Row],[(A) Err]]^2</f>
        <v>45.628424303137734</v>
      </c>
      <c r="AK715" s="6">
        <f>Table2[[#This Row],[EV]]-Table2[[#This Row],[Spread]]</f>
        <v>1.7324561460916073</v>
      </c>
      <c r="AL715" s="1">
        <f>Table2[[#This Row],[EV Err]]^2</f>
        <v>3.0014042981305846</v>
      </c>
    </row>
    <row r="716" spans="1:38" x14ac:dyDescent="0.25">
      <c r="A716" t="s">
        <v>137</v>
      </c>
      <c r="B716" t="s">
        <v>34</v>
      </c>
      <c r="C716" t="s">
        <v>28</v>
      </c>
      <c r="K716" s="25">
        <f>(Table2[[#This Row],[Home Pace]]/100)*(VLOOKUP(Table2[[#This Row],[Home/Neutral]],home_lookup,8,FALSE)+VLOOKUP(Table2[[#This Row],[Home/Neutral]],OFR_lookup,2,FALSE)+VLOOKUP(Table2[[#This Row],[Visitor/Neutral]],def_diff_lookup,6,FALSE))</f>
        <v>107.84191864565555</v>
      </c>
      <c r="L716" s="25"/>
      <c r="M716" s="25">
        <f>(Table2[[#This Row],[Away Pace]]/100)*(VLOOKUP(Table2[[#This Row],[Visitor/Neutral]],OFR_lookup,2,FALSE)+VLOOKUP(Table2[[#This Row],[Home/Neutral]],def_diff_lookup,6,FALSE))</f>
        <v>103.157202</v>
      </c>
      <c r="N716" s="25"/>
      <c r="O716" s="25"/>
      <c r="P716">
        <f>VLOOKUP(Table2[[#This Row],[Home/Neutral]],pace_lookup,7,FALSE)</f>
        <v>98.8</v>
      </c>
      <c r="Q716" s="5">
        <f>VLOOKUP(Table2[[#This Row],[Visitor/Neutral]],pace_lookup,7,FALSE)</f>
        <v>96.3</v>
      </c>
      <c r="R716" s="9"/>
      <c r="V716" s="2">
        <f>-home-VLOOKUP(Table2[[#This Row],[Home/Neutral]],rtg_vlookup,4,FALSE)+VLOOKUP(Table2[[#This Row],[Visitor/Neutral]],rtg_vlookup,4,FALSE)</f>
        <v>0.39488151658766935</v>
      </c>
      <c r="W716" s="25"/>
      <c r="X716" s="2"/>
      <c r="Y716" s="2">
        <f>Table2[[#This Row],[Away EV]]-Table2[[#This Row],[Home EV]]</f>
        <v>-4.6847166456555556</v>
      </c>
      <c r="Z716" s="33"/>
      <c r="AA716" s="34"/>
      <c r="AB716" s="5" t="b">
        <f>IF(VLOOKUP(Table2[[#This Row],[Home/Neutral]],division_lookup,9,FALSE)=VLOOKUP(Table2[[#This Row],[Visitor/Neutral]],division_lookup,9,FALSE),TRUE,FALSE)</f>
        <v>0</v>
      </c>
      <c r="AC716" s="19" t="str">
        <f>VLOOKUP(Table2[[#This Row],[Home/Neutral]],division_lookup,9,FALSE)</f>
        <v>SW</v>
      </c>
      <c r="AD716" s="19"/>
      <c r="AE716" s="19" t="str">
        <f>IF(Table2[[#This Row],[Total EV ®]]&lt;Table2[[#This Row],[Total (V)]],"UNDER","OVER")</f>
        <v>OVER</v>
      </c>
      <c r="AF716" s="30">
        <f>Table2[[#This Row],[(A) Spread]]-Table2[[#This Row],[Spread (V)]]</f>
        <v>0</v>
      </c>
      <c r="AG716" s="19"/>
      <c r="AH716" s="2">
        <f>Table2[[#This Row],[EV]]-Table2[[#This Row],[Spread (V)]]</f>
        <v>-4.6847166456555556</v>
      </c>
      <c r="AI716" s="22">
        <f>Table2[[#This Row],[(A)]]-Table2[[#This Row],[Spread]]</f>
        <v>0.39488151658766935</v>
      </c>
      <c r="AJ716" s="1">
        <f>Table2[[#This Row],[(A) Err]]^2</f>
        <v>0.15593141214257777</v>
      </c>
      <c r="AK716" s="6">
        <f>Table2[[#This Row],[EV]]-Table2[[#This Row],[Spread]]</f>
        <v>-4.6847166456555556</v>
      </c>
      <c r="AL716" s="1">
        <f>Table2[[#This Row],[EV Err]]^2</f>
        <v>21.94657005008224</v>
      </c>
    </row>
    <row r="717" spans="1:38" x14ac:dyDescent="0.25">
      <c r="A717" t="s">
        <v>137</v>
      </c>
      <c r="B717" t="s">
        <v>32</v>
      </c>
      <c r="C717" t="s">
        <v>10</v>
      </c>
      <c r="K717" s="25">
        <f>(Table2[[#This Row],[Home Pace]]/100)*(VLOOKUP(Table2[[#This Row],[Home/Neutral]],home_lookup,8,FALSE)+VLOOKUP(Table2[[#This Row],[Home/Neutral]],OFR_lookup,2,FALSE)+VLOOKUP(Table2[[#This Row],[Visitor/Neutral]],def_diff_lookup,6,FALSE))</f>
        <v>110.76627112001839</v>
      </c>
      <c r="L717" s="25"/>
      <c r="M717" s="25">
        <f>(Table2[[#This Row],[Away Pace]]/100)*(VLOOKUP(Table2[[#This Row],[Visitor/Neutral]],OFR_lookup,2,FALSE)+VLOOKUP(Table2[[#This Row],[Home/Neutral]],def_diff_lookup,6,FALSE))</f>
        <v>121.78492866666666</v>
      </c>
      <c r="N717" s="25"/>
      <c r="O717" s="25"/>
      <c r="P717">
        <f>VLOOKUP(Table2[[#This Row],[Home/Neutral]],pace_lookup,7,FALSE)</f>
        <v>98.6</v>
      </c>
      <c r="Q717" s="5">
        <f>VLOOKUP(Table2[[#This Row],[Visitor/Neutral]],pace_lookup,7,FALSE)</f>
        <v>100.3</v>
      </c>
      <c r="R717" s="9"/>
      <c r="V717" s="2">
        <f>-home-VLOOKUP(Table2[[#This Row],[Home/Neutral]],rtg_vlookup,4,FALSE)+VLOOKUP(Table2[[#This Row],[Visitor/Neutral]],rtg_vlookup,4,FALSE)</f>
        <v>8.6348815165876687</v>
      </c>
      <c r="W717" s="25"/>
      <c r="X717" s="2"/>
      <c r="Y717" s="2">
        <f>Table2[[#This Row],[Away EV]]-Table2[[#This Row],[Home EV]]</f>
        <v>11.018657546648271</v>
      </c>
      <c r="Z717" s="33"/>
      <c r="AA717" s="34"/>
      <c r="AB717" s="5" t="b">
        <f>IF(VLOOKUP(Table2[[#This Row],[Home/Neutral]],division_lookup,9,FALSE)=VLOOKUP(Table2[[#This Row],[Visitor/Neutral]],division_lookup,9,FALSE),TRUE,FALSE)</f>
        <v>0</v>
      </c>
      <c r="AC717" s="19" t="str">
        <f>VLOOKUP(Table2[[#This Row],[Home/Neutral]],division_lookup,9,FALSE)</f>
        <v>NW</v>
      </c>
      <c r="AD717" s="19"/>
      <c r="AE717" s="19" t="str">
        <f>IF(Table2[[#This Row],[Total EV ®]]&lt;Table2[[#This Row],[Total (V)]],"UNDER","OVER")</f>
        <v>OVER</v>
      </c>
      <c r="AF717" s="30">
        <f>Table2[[#This Row],[(A) Spread]]-Table2[[#This Row],[Spread (V)]]</f>
        <v>0</v>
      </c>
      <c r="AG717" s="19"/>
      <c r="AH717" s="2">
        <f>Table2[[#This Row],[EV]]-Table2[[#This Row],[Spread (V)]]</f>
        <v>11.018657546648271</v>
      </c>
      <c r="AI717" s="22">
        <f>Table2[[#This Row],[(A)]]-Table2[[#This Row],[Spread]]</f>
        <v>8.6348815165876687</v>
      </c>
      <c r="AJ717" s="1">
        <f>Table2[[#This Row],[(A) Err]]^2</f>
        <v>74.561178805507353</v>
      </c>
      <c r="AK717" s="6">
        <f>Table2[[#This Row],[EV]]-Table2[[#This Row],[Spread]]</f>
        <v>11.018657546648271</v>
      </c>
      <c r="AL717" s="1">
        <f>Table2[[#This Row],[EV Err]]^2</f>
        <v>121.41081413030889</v>
      </c>
    </row>
    <row r="718" spans="1:38" x14ac:dyDescent="0.25">
      <c r="A718" t="s">
        <v>137</v>
      </c>
      <c r="B718" t="s">
        <v>6</v>
      </c>
      <c r="C718" t="s">
        <v>37</v>
      </c>
      <c r="K718" s="25">
        <f>(Table2[[#This Row],[Home Pace]]/100)*(VLOOKUP(Table2[[#This Row],[Home/Neutral]],home_lookup,8,FALSE)+VLOOKUP(Table2[[#This Row],[Home/Neutral]],OFR_lookup,2,FALSE)+VLOOKUP(Table2[[#This Row],[Visitor/Neutral]],def_diff_lookup,6,FALSE))</f>
        <v>100.18270787062244</v>
      </c>
      <c r="L718" s="25"/>
      <c r="M718" s="25">
        <f>(Table2[[#This Row],[Away Pace]]/100)*(VLOOKUP(Table2[[#This Row],[Visitor/Neutral]],OFR_lookup,2,FALSE)+VLOOKUP(Table2[[#This Row],[Home/Neutral]],def_diff_lookup,6,FALSE))</f>
        <v>86.077274000000003</v>
      </c>
      <c r="N718" s="25"/>
      <c r="O718" s="25"/>
      <c r="P718">
        <f>VLOOKUP(Table2[[#This Row],[Home/Neutral]],pace_lookup,7,FALSE)</f>
        <v>93.1</v>
      </c>
      <c r="Q718" s="5">
        <f>VLOOKUP(Table2[[#This Row],[Visitor/Neutral]],pace_lookup,7,FALSE)</f>
        <v>92.1</v>
      </c>
      <c r="R718" s="9"/>
      <c r="V718" s="2">
        <f>-home-VLOOKUP(Table2[[#This Row],[Home/Neutral]],rtg_vlookup,4,FALSE)+VLOOKUP(Table2[[#This Row],[Visitor/Neutral]],rtg_vlookup,4,FALSE)</f>
        <v>-17.205118483412331</v>
      </c>
      <c r="W718" s="25"/>
      <c r="X718" s="2"/>
      <c r="Y718" s="2">
        <f>Table2[[#This Row],[Away EV]]-Table2[[#This Row],[Home EV]]</f>
        <v>-14.105433870622434</v>
      </c>
      <c r="Z718" s="33"/>
      <c r="AA718" s="34"/>
      <c r="AB718" s="5" t="b">
        <f>IF(VLOOKUP(Table2[[#This Row],[Home/Neutral]],division_lookup,9,FALSE)=VLOOKUP(Table2[[#This Row],[Visitor/Neutral]],division_lookup,9,FALSE),TRUE,FALSE)</f>
        <v>1</v>
      </c>
      <c r="AC718" s="19" t="str">
        <f>VLOOKUP(Table2[[#This Row],[Home/Neutral]],division_lookup,9,FALSE)</f>
        <v>SW</v>
      </c>
      <c r="AD718" s="19"/>
      <c r="AE718" s="19" t="str">
        <f>IF(Table2[[#This Row],[Total EV ®]]&lt;Table2[[#This Row],[Total (V)]],"UNDER","OVER")</f>
        <v>OVER</v>
      </c>
      <c r="AF718" s="30">
        <f>Table2[[#This Row],[(A) Spread]]-Table2[[#This Row],[Spread (V)]]</f>
        <v>0</v>
      </c>
      <c r="AG718" s="19"/>
      <c r="AH718" s="2">
        <f>Table2[[#This Row],[EV]]-Table2[[#This Row],[Spread (V)]]</f>
        <v>-14.105433870622434</v>
      </c>
      <c r="AI718" s="22">
        <f>Table2[[#This Row],[(A)]]-Table2[[#This Row],[Spread]]</f>
        <v>-17.205118483412331</v>
      </c>
      <c r="AJ718" s="1">
        <f>Table2[[#This Row],[(A) Err]]^2</f>
        <v>296.01610202825663</v>
      </c>
      <c r="AK718" s="6">
        <f>Table2[[#This Row],[EV]]-Table2[[#This Row],[Spread]]</f>
        <v>-14.105433870622434</v>
      </c>
      <c r="AL718" s="1">
        <f>Table2[[#This Row],[EV Err]]^2</f>
        <v>198.96326467850258</v>
      </c>
    </row>
    <row r="719" spans="1:38" x14ac:dyDescent="0.25">
      <c r="A719" t="s">
        <v>137</v>
      </c>
      <c r="B719" t="s">
        <v>14</v>
      </c>
      <c r="C719" t="s">
        <v>38</v>
      </c>
      <c r="K719" s="25">
        <f>(Table2[[#This Row],[Home Pace]]/100)*(VLOOKUP(Table2[[#This Row],[Home/Neutral]],home_lookup,8,FALSE)+VLOOKUP(Table2[[#This Row],[Home/Neutral]],OFR_lookup,2,FALSE)+VLOOKUP(Table2[[#This Row],[Visitor/Neutral]],def_diff_lookup,6,FALSE))</f>
        <v>108.23227414241451</v>
      </c>
      <c r="L719" s="25"/>
      <c r="M719" s="25">
        <f>(Table2[[#This Row],[Away Pace]]/100)*(VLOOKUP(Table2[[#This Row],[Visitor/Neutral]],OFR_lookup,2,FALSE)+VLOOKUP(Table2[[#This Row],[Home/Neutral]],def_diff_lookup,6,FALSE))</f>
        <v>94.794088000000016</v>
      </c>
      <c r="N719" s="25"/>
      <c r="O719" s="25"/>
      <c r="P719">
        <f>VLOOKUP(Table2[[#This Row],[Home/Neutral]],pace_lookup,7,FALSE)</f>
        <v>95.9</v>
      </c>
      <c r="Q719" s="5">
        <f>VLOOKUP(Table2[[#This Row],[Visitor/Neutral]],pace_lookup,7,FALSE)</f>
        <v>94.2</v>
      </c>
      <c r="R719" s="9"/>
      <c r="V719" s="2">
        <f>-home-VLOOKUP(Table2[[#This Row],[Home/Neutral]],rtg_vlookup,4,FALSE)+VLOOKUP(Table2[[#This Row],[Visitor/Neutral]],rtg_vlookup,4,FALSE)</f>
        <v>-16.385118483412331</v>
      </c>
      <c r="W719" s="25"/>
      <c r="X719" s="2"/>
      <c r="Y719" s="2">
        <f>Table2[[#This Row],[Away EV]]-Table2[[#This Row],[Home EV]]</f>
        <v>-13.438186142414494</v>
      </c>
      <c r="Z719" s="33"/>
      <c r="AA719" s="34"/>
      <c r="AB719" s="5" t="b">
        <f>IF(VLOOKUP(Table2[[#This Row],[Home/Neutral]],division_lookup,9,FALSE)=VLOOKUP(Table2[[#This Row],[Visitor/Neutral]],division_lookup,9,FALSE),TRUE,FALSE)</f>
        <v>0</v>
      </c>
      <c r="AC719" s="19" t="str">
        <f>VLOOKUP(Table2[[#This Row],[Home/Neutral]],division_lookup,9,FALSE)</f>
        <v>A</v>
      </c>
      <c r="AD719" s="19"/>
      <c r="AE719" s="19" t="str">
        <f>IF(Table2[[#This Row],[Total EV ®]]&lt;Table2[[#This Row],[Total (V)]],"UNDER","OVER")</f>
        <v>OVER</v>
      </c>
      <c r="AF719" s="30">
        <f>Table2[[#This Row],[(A) Spread]]-Table2[[#This Row],[Spread (V)]]</f>
        <v>0</v>
      </c>
      <c r="AG719" s="19"/>
      <c r="AH719" s="2">
        <f>Table2[[#This Row],[EV]]-Table2[[#This Row],[Spread (V)]]</f>
        <v>-13.438186142414494</v>
      </c>
      <c r="AI719" s="22">
        <f>Table2[[#This Row],[(A)]]-Table2[[#This Row],[Spread]]</f>
        <v>-16.385118483412331</v>
      </c>
      <c r="AJ719" s="1">
        <f>Table2[[#This Row],[(A) Err]]^2</f>
        <v>268.47210771546042</v>
      </c>
      <c r="AK719" s="6">
        <f>Table2[[#This Row],[EV]]-Table2[[#This Row],[Spread]]</f>
        <v>-13.438186142414494</v>
      </c>
      <c r="AL719" s="1">
        <f>Table2[[#This Row],[EV Err]]^2</f>
        <v>180.58484679818096</v>
      </c>
    </row>
    <row r="720" spans="1:38" x14ac:dyDescent="0.25">
      <c r="A720" t="s">
        <v>138</v>
      </c>
      <c r="B720" t="s">
        <v>26</v>
      </c>
      <c r="C720" t="s">
        <v>25</v>
      </c>
      <c r="K720" s="25">
        <f>(Table2[[#This Row],[Home Pace]]/100)*(VLOOKUP(Table2[[#This Row],[Home/Neutral]],home_lookup,8,FALSE)+VLOOKUP(Table2[[#This Row],[Home/Neutral]],OFR_lookup,2,FALSE)+VLOOKUP(Table2[[#This Row],[Visitor/Neutral]],def_diff_lookup,6,FALSE))</f>
        <v>103.30896358918159</v>
      </c>
      <c r="L720" s="25"/>
      <c r="M720" s="25">
        <f>(Table2[[#This Row],[Away Pace]]/100)*(VLOOKUP(Table2[[#This Row],[Visitor/Neutral]],OFR_lookup,2,FALSE)+VLOOKUP(Table2[[#This Row],[Home/Neutral]],def_diff_lookup,6,FALSE))</f>
        <v>98.516469333333347</v>
      </c>
      <c r="N720" s="25"/>
      <c r="O720" s="25"/>
      <c r="P720">
        <f>VLOOKUP(Table2[[#This Row],[Home/Neutral]],pace_lookup,7,FALSE)</f>
        <v>96</v>
      </c>
      <c r="Q720" s="5">
        <f>VLOOKUP(Table2[[#This Row],[Visitor/Neutral]],pace_lookup,7,FALSE)</f>
        <v>94.4</v>
      </c>
      <c r="R720" s="9"/>
      <c r="V720" s="2">
        <f>-home-VLOOKUP(Table2[[#This Row],[Home/Neutral]],rtg_vlookup,4,FALSE)+VLOOKUP(Table2[[#This Row],[Visitor/Neutral]],rtg_vlookup,4,FALSE)</f>
        <v>-2.5151184834123308</v>
      </c>
      <c r="W720" s="25"/>
      <c r="X720" s="2"/>
      <c r="Y720" s="2">
        <f>Table2[[#This Row],[Away EV]]-Table2[[#This Row],[Home EV]]</f>
        <v>-4.79249425584824</v>
      </c>
      <c r="Z720" s="33"/>
      <c r="AA720" s="34"/>
      <c r="AB720" s="5" t="b">
        <f>IF(VLOOKUP(Table2[[#This Row],[Home/Neutral]],division_lookup,9,FALSE)=VLOOKUP(Table2[[#This Row],[Visitor/Neutral]],division_lookup,9,FALSE),TRUE,FALSE)</f>
        <v>0</v>
      </c>
      <c r="AC720" s="19" t="str">
        <f>VLOOKUP(Table2[[#This Row],[Home/Neutral]],division_lookup,9,FALSE)</f>
        <v>A</v>
      </c>
      <c r="AD720" s="19"/>
      <c r="AE720" s="19" t="str">
        <f>IF(Table2[[#This Row],[Total EV ®]]&lt;Table2[[#This Row],[Total (V)]],"UNDER","OVER")</f>
        <v>OVER</v>
      </c>
      <c r="AF720" s="30">
        <f>Table2[[#This Row],[(A) Spread]]-Table2[[#This Row],[Spread (V)]]</f>
        <v>0</v>
      </c>
      <c r="AG720" s="19"/>
      <c r="AH720" s="2">
        <f>Table2[[#This Row],[EV]]-Table2[[#This Row],[Spread (V)]]</f>
        <v>-4.79249425584824</v>
      </c>
      <c r="AI720" s="22">
        <f>Table2[[#This Row],[(A)]]-Table2[[#This Row],[Spread]]</f>
        <v>-2.5151184834123308</v>
      </c>
      <c r="AJ720" s="1">
        <f>Table2[[#This Row],[(A) Err]]^2</f>
        <v>6.3258209856023431</v>
      </c>
      <c r="AK720" s="6">
        <f>Table2[[#This Row],[EV]]-Table2[[#This Row],[Spread]]</f>
        <v>-4.79249425584824</v>
      </c>
      <c r="AL720" s="1">
        <f>Table2[[#This Row],[EV Err]]^2</f>
        <v>22.968001192338374</v>
      </c>
    </row>
    <row r="721" spans="1:38" x14ac:dyDescent="0.25">
      <c r="A721" t="s">
        <v>138</v>
      </c>
      <c r="B721" t="s">
        <v>37</v>
      </c>
      <c r="C721" t="s">
        <v>8</v>
      </c>
      <c r="K721" s="25">
        <f>(Table2[[#This Row],[Home Pace]]/100)*(VLOOKUP(Table2[[#This Row],[Home/Neutral]],home_lookup,8,FALSE)+VLOOKUP(Table2[[#This Row],[Home/Neutral]],OFR_lookup,2,FALSE)+VLOOKUP(Table2[[#This Row],[Visitor/Neutral]],def_diff_lookup,6,FALSE))</f>
        <v>100.56224809362122</v>
      </c>
      <c r="L721" s="25"/>
      <c r="M721" s="25">
        <f>(Table2[[#This Row],[Away Pace]]/100)*(VLOOKUP(Table2[[#This Row],[Visitor/Neutral]],OFR_lookup,2,FALSE)+VLOOKUP(Table2[[#This Row],[Home/Neutral]],def_diff_lookup,6,FALSE))</f>
        <v>105.103008</v>
      </c>
      <c r="N721" s="25"/>
      <c r="O721" s="25"/>
      <c r="P721">
        <f>VLOOKUP(Table2[[#This Row],[Home/Neutral]],pace_lookup,7,FALSE)</f>
        <v>92.1</v>
      </c>
      <c r="Q721" s="5">
        <f>VLOOKUP(Table2[[#This Row],[Visitor/Neutral]],pace_lookup,7,FALSE)</f>
        <v>97.2</v>
      </c>
      <c r="R721" s="9"/>
      <c r="V721" s="2">
        <f>-home-VLOOKUP(Table2[[#This Row],[Home/Neutral]],rtg_vlookup,4,FALSE)+VLOOKUP(Table2[[#This Row],[Visitor/Neutral]],rtg_vlookup,4,FALSE)</f>
        <v>11.614881516587669</v>
      </c>
      <c r="W721" s="25"/>
      <c r="X721" s="2"/>
      <c r="Y721" s="2">
        <f>Table2[[#This Row],[Away EV]]-Table2[[#This Row],[Home EV]]</f>
        <v>4.5407599063787814</v>
      </c>
      <c r="Z721" s="33"/>
      <c r="AA721" s="34"/>
      <c r="AB721" s="5" t="b">
        <f>IF(VLOOKUP(Table2[[#This Row],[Home/Neutral]],division_lookup,9,FALSE)=VLOOKUP(Table2[[#This Row],[Visitor/Neutral]],division_lookup,9,FALSE),TRUE,FALSE)</f>
        <v>0</v>
      </c>
      <c r="AC721" s="19" t="str">
        <f>VLOOKUP(Table2[[#This Row],[Home/Neutral]],division_lookup,9,FALSE)</f>
        <v>SW</v>
      </c>
      <c r="AD721" s="19"/>
      <c r="AE721" s="19" t="str">
        <f>IF(Table2[[#This Row],[Total EV ®]]&lt;Table2[[#This Row],[Total (V)]],"UNDER","OVER")</f>
        <v>OVER</v>
      </c>
      <c r="AF721" s="30">
        <f>Table2[[#This Row],[(A) Spread]]-Table2[[#This Row],[Spread (V)]]</f>
        <v>0</v>
      </c>
      <c r="AG721" s="19"/>
      <c r="AH721" s="2">
        <f>Table2[[#This Row],[EV]]-Table2[[#This Row],[Spread (V)]]</f>
        <v>4.5407599063787814</v>
      </c>
      <c r="AI721" s="22">
        <f>Table2[[#This Row],[(A)]]-Table2[[#This Row],[Spread]]</f>
        <v>11.614881516587669</v>
      </c>
      <c r="AJ721" s="1">
        <f>Table2[[#This Row],[(A) Err]]^2</f>
        <v>134.90547264436987</v>
      </c>
      <c r="AK721" s="6">
        <f>Table2[[#This Row],[EV]]-Table2[[#This Row],[Spread]]</f>
        <v>4.5407599063787814</v>
      </c>
      <c r="AL721" s="1">
        <f>Table2[[#This Row],[EV Err]]^2</f>
        <v>20.618500527377041</v>
      </c>
    </row>
    <row r="722" spans="1:38" x14ac:dyDescent="0.25">
      <c r="A722" t="s">
        <v>138</v>
      </c>
      <c r="B722" t="s">
        <v>21</v>
      </c>
      <c r="C722" t="s">
        <v>35</v>
      </c>
      <c r="K722" s="25">
        <f>(Table2[[#This Row],[Home Pace]]/100)*(VLOOKUP(Table2[[#This Row],[Home/Neutral]],home_lookup,8,FALSE)+VLOOKUP(Table2[[#This Row],[Home/Neutral]],OFR_lookup,2,FALSE)+VLOOKUP(Table2[[#This Row],[Visitor/Neutral]],def_diff_lookup,6,FALSE))</f>
        <v>104.84155117524389</v>
      </c>
      <c r="L722" s="25"/>
      <c r="M722" s="25">
        <f>(Table2[[#This Row],[Away Pace]]/100)*(VLOOKUP(Table2[[#This Row],[Visitor/Neutral]],OFR_lookup,2,FALSE)+VLOOKUP(Table2[[#This Row],[Home/Neutral]],def_diff_lookup,6,FALSE))</f>
        <v>101.99628133333336</v>
      </c>
      <c r="N722" s="25"/>
      <c r="O722" s="25"/>
      <c r="P722">
        <f>VLOOKUP(Table2[[#This Row],[Home/Neutral]],pace_lookup,7,FALSE)</f>
        <v>94.2</v>
      </c>
      <c r="Q722" s="5">
        <f>VLOOKUP(Table2[[#This Row],[Visitor/Neutral]],pace_lookup,7,FALSE)</f>
        <v>102.2</v>
      </c>
      <c r="R722" s="9"/>
      <c r="V722" s="2">
        <f>-home-VLOOKUP(Table2[[#This Row],[Home/Neutral]],rtg_vlookup,4,FALSE)+VLOOKUP(Table2[[#This Row],[Visitor/Neutral]],rtg_vlookup,4,FALSE)</f>
        <v>-8.9451184834123296</v>
      </c>
      <c r="W722" s="25"/>
      <c r="X722" s="2"/>
      <c r="Y722" s="2">
        <f>Table2[[#This Row],[Away EV]]-Table2[[#This Row],[Home EV]]</f>
        <v>-2.845269841910536</v>
      </c>
      <c r="Z722" s="33"/>
      <c r="AA722" s="34"/>
      <c r="AB722" s="5" t="b">
        <f>IF(VLOOKUP(Table2[[#This Row],[Home/Neutral]],division_lookup,9,FALSE)=VLOOKUP(Table2[[#This Row],[Visitor/Neutral]],division_lookup,9,FALSE),TRUE,FALSE)</f>
        <v>0</v>
      </c>
      <c r="AC722" s="19" t="str">
        <f>VLOOKUP(Table2[[#This Row],[Home/Neutral]],division_lookup,9,FALSE)</f>
        <v>SE</v>
      </c>
      <c r="AD722" s="19"/>
      <c r="AE722" s="19" t="str">
        <f>IF(Table2[[#This Row],[Total EV ®]]&lt;Table2[[#This Row],[Total (V)]],"UNDER","OVER")</f>
        <v>OVER</v>
      </c>
      <c r="AF722" s="30">
        <f>Table2[[#This Row],[(A) Spread]]-Table2[[#This Row],[Spread (V)]]</f>
        <v>0</v>
      </c>
      <c r="AG722" s="19"/>
      <c r="AH722" s="2">
        <f>Table2[[#This Row],[EV]]-Table2[[#This Row],[Spread (V)]]</f>
        <v>-2.845269841910536</v>
      </c>
      <c r="AI722" s="22">
        <f>Table2[[#This Row],[(A)]]-Table2[[#This Row],[Spread]]</f>
        <v>-8.9451184834123296</v>
      </c>
      <c r="AJ722" s="1">
        <f>Table2[[#This Row],[(A) Err]]^2</f>
        <v>80.015144682284898</v>
      </c>
      <c r="AK722" s="6">
        <f>Table2[[#This Row],[EV]]-Table2[[#This Row],[Spread]]</f>
        <v>-2.845269841910536</v>
      </c>
      <c r="AL722" s="1">
        <f>Table2[[#This Row],[EV Err]]^2</f>
        <v>8.095560473285607</v>
      </c>
    </row>
    <row r="723" spans="1:38" x14ac:dyDescent="0.25">
      <c r="A723" t="s">
        <v>138</v>
      </c>
      <c r="B723" t="s">
        <v>22</v>
      </c>
      <c r="C723" t="s">
        <v>38</v>
      </c>
      <c r="K723" s="25">
        <f>(Table2[[#This Row],[Home Pace]]/100)*(VLOOKUP(Table2[[#This Row],[Home/Neutral]],home_lookup,8,FALSE)+VLOOKUP(Table2[[#This Row],[Home/Neutral]],OFR_lookup,2,FALSE)+VLOOKUP(Table2[[#This Row],[Visitor/Neutral]],def_diff_lookup,6,FALSE))</f>
        <v>111.97657922968976</v>
      </c>
      <c r="L723" s="25"/>
      <c r="M723" s="25">
        <f>(Table2[[#This Row],[Away Pace]]/100)*(VLOOKUP(Table2[[#This Row],[Visitor/Neutral]],OFR_lookup,2,FALSE)+VLOOKUP(Table2[[#This Row],[Home/Neutral]],def_diff_lookup,6,FALSE))</f>
        <v>96.809968000000026</v>
      </c>
      <c r="N723" s="25"/>
      <c r="O723" s="25"/>
      <c r="P723">
        <f>VLOOKUP(Table2[[#This Row],[Home/Neutral]],pace_lookup,7,FALSE)</f>
        <v>94.7</v>
      </c>
      <c r="Q723" s="5">
        <f>VLOOKUP(Table2[[#This Row],[Visitor/Neutral]],pace_lookup,7,FALSE)</f>
        <v>94.2</v>
      </c>
      <c r="R723" s="9"/>
      <c r="V723" s="2">
        <f>-home-VLOOKUP(Table2[[#This Row],[Home/Neutral]],rtg_vlookup,4,FALSE)+VLOOKUP(Table2[[#This Row],[Visitor/Neutral]],rtg_vlookup,4,FALSE)</f>
        <v>-12.32511848341233</v>
      </c>
      <c r="W723" s="25"/>
      <c r="X723" s="2"/>
      <c r="Y723" s="2">
        <f>Table2[[#This Row],[Away EV]]-Table2[[#This Row],[Home EV]]</f>
        <v>-15.166611229689735</v>
      </c>
      <c r="Z723" s="33"/>
      <c r="AA723" s="34"/>
      <c r="AB723" s="5" t="b">
        <f>IF(VLOOKUP(Table2[[#This Row],[Home/Neutral]],division_lookup,9,FALSE)=VLOOKUP(Table2[[#This Row],[Visitor/Neutral]],division_lookup,9,FALSE),TRUE,FALSE)</f>
        <v>0</v>
      </c>
      <c r="AC723" s="19" t="str">
        <f>VLOOKUP(Table2[[#This Row],[Home/Neutral]],division_lookup,9,FALSE)</f>
        <v>NW</v>
      </c>
      <c r="AD723" s="19"/>
      <c r="AE723" s="19" t="str">
        <f>IF(Table2[[#This Row],[Total EV ®]]&lt;Table2[[#This Row],[Total (V)]],"UNDER","OVER")</f>
        <v>OVER</v>
      </c>
      <c r="AF723" s="30">
        <f>Table2[[#This Row],[(A) Spread]]-Table2[[#This Row],[Spread (V)]]</f>
        <v>0</v>
      </c>
      <c r="AG723" s="19"/>
      <c r="AH723" s="2">
        <f>Table2[[#This Row],[EV]]-Table2[[#This Row],[Spread (V)]]</f>
        <v>-15.166611229689735</v>
      </c>
      <c r="AI723" s="22">
        <f>Table2[[#This Row],[(A)]]-Table2[[#This Row],[Spread]]</f>
        <v>-12.32511848341233</v>
      </c>
      <c r="AJ723" s="1">
        <f>Table2[[#This Row],[(A) Err]]^2</f>
        <v>151.90854563015228</v>
      </c>
      <c r="AK723" s="6">
        <f>Table2[[#This Row],[EV]]-Table2[[#This Row],[Spread]]</f>
        <v>-15.166611229689735</v>
      </c>
      <c r="AL723" s="1">
        <f>Table2[[#This Row],[EV Err]]^2</f>
        <v>230.0260961925508</v>
      </c>
    </row>
    <row r="724" spans="1:38" x14ac:dyDescent="0.25">
      <c r="A724" t="s">
        <v>138</v>
      </c>
      <c r="B724" t="s">
        <v>36</v>
      </c>
      <c r="C724" t="s">
        <v>23</v>
      </c>
      <c r="K724" s="25">
        <f>(Table2[[#This Row],[Home Pace]]/100)*(VLOOKUP(Table2[[#This Row],[Home/Neutral]],home_lookup,8,FALSE)+VLOOKUP(Table2[[#This Row],[Home/Neutral]],OFR_lookup,2,FALSE)+VLOOKUP(Table2[[#This Row],[Visitor/Neutral]],def_diff_lookup,6,FALSE))</f>
        <v>103.00603156604043</v>
      </c>
      <c r="L724" s="25"/>
      <c r="M724" s="25">
        <f>(Table2[[#This Row],[Away Pace]]/100)*(VLOOKUP(Table2[[#This Row],[Visitor/Neutral]],OFR_lookup,2,FALSE)+VLOOKUP(Table2[[#This Row],[Home/Neutral]],def_diff_lookup,6,FALSE))</f>
        <v>99.132866666666686</v>
      </c>
      <c r="N724" s="25"/>
      <c r="O724" s="25"/>
      <c r="P724">
        <f>VLOOKUP(Table2[[#This Row],[Home/Neutral]],pace_lookup,7,FALSE)</f>
        <v>102.2</v>
      </c>
      <c r="Q724" s="5">
        <f>VLOOKUP(Table2[[#This Row],[Visitor/Neutral]],pace_lookup,7,FALSE)</f>
        <v>92.5</v>
      </c>
      <c r="R724" s="9"/>
      <c r="V724" s="2">
        <f>-home-VLOOKUP(Table2[[#This Row],[Home/Neutral]],rtg_vlookup,4,FALSE)+VLOOKUP(Table2[[#This Row],[Visitor/Neutral]],rtg_vlookup,4,FALSE)</f>
        <v>5.8748815165876689</v>
      </c>
      <c r="W724" s="25"/>
      <c r="X724" s="2"/>
      <c r="Y724" s="2">
        <f>Table2[[#This Row],[Away EV]]-Table2[[#This Row],[Home EV]]</f>
        <v>-3.873164899373748</v>
      </c>
      <c r="Z724" s="33"/>
      <c r="AA724" s="34"/>
      <c r="AB724" s="5" t="b">
        <f>IF(VLOOKUP(Table2[[#This Row],[Home/Neutral]],division_lookup,9,FALSE)=VLOOKUP(Table2[[#This Row],[Visitor/Neutral]],division_lookup,9,FALSE),TRUE,FALSE)</f>
        <v>0</v>
      </c>
      <c r="AC724" s="19" t="str">
        <f>VLOOKUP(Table2[[#This Row],[Home/Neutral]],division_lookup,9,FALSE)</f>
        <v>P</v>
      </c>
      <c r="AD724" s="19"/>
      <c r="AE724" s="19" t="str">
        <f>IF(Table2[[#This Row],[Total EV ®]]&lt;Table2[[#This Row],[Total (V)]],"UNDER","OVER")</f>
        <v>OVER</v>
      </c>
      <c r="AF724" s="30">
        <f>Table2[[#This Row],[(A) Spread]]-Table2[[#This Row],[Spread (V)]]</f>
        <v>0</v>
      </c>
      <c r="AG724" s="19"/>
      <c r="AH724" s="2">
        <f>Table2[[#This Row],[EV]]-Table2[[#This Row],[Spread (V)]]</f>
        <v>-3.873164899373748</v>
      </c>
      <c r="AI724" s="22">
        <f>Table2[[#This Row],[(A)]]-Table2[[#This Row],[Spread]]</f>
        <v>5.8748815165876689</v>
      </c>
      <c r="AJ724" s="1">
        <f>Table2[[#This Row],[(A) Err]]^2</f>
        <v>34.514232833943431</v>
      </c>
      <c r="AK724" s="6">
        <f>Table2[[#This Row],[EV]]-Table2[[#This Row],[Spread]]</f>
        <v>-3.873164899373748</v>
      </c>
      <c r="AL724" s="1">
        <f>Table2[[#This Row],[EV Err]]^2</f>
        <v>15.001406337740855</v>
      </c>
    </row>
    <row r="725" spans="1:38" x14ac:dyDescent="0.25">
      <c r="A725" t="s">
        <v>139</v>
      </c>
      <c r="B725" t="s">
        <v>17</v>
      </c>
      <c r="C725" t="s">
        <v>29</v>
      </c>
      <c r="K725" s="25">
        <f>(Table2[[#This Row],[Home Pace]]/100)*(VLOOKUP(Table2[[#This Row],[Home/Neutral]],home_lookup,8,FALSE)+VLOOKUP(Table2[[#This Row],[Home/Neutral]],OFR_lookup,2,FALSE)+VLOOKUP(Table2[[#This Row],[Visitor/Neutral]],def_diff_lookup,6,FALSE))</f>
        <v>112.50796692873544</v>
      </c>
      <c r="L725" s="25"/>
      <c r="M725" s="25">
        <f>(Table2[[#This Row],[Away Pace]]/100)*(VLOOKUP(Table2[[#This Row],[Visitor/Neutral]],OFR_lookup,2,FALSE)+VLOOKUP(Table2[[#This Row],[Home/Neutral]],def_diff_lookup,6,FALSE))</f>
        <v>103.77156533333334</v>
      </c>
      <c r="N725" s="25"/>
      <c r="O725" s="25"/>
      <c r="P725">
        <f>VLOOKUP(Table2[[#This Row],[Home/Neutral]],pace_lookup,7,FALSE)</f>
        <v>96.7</v>
      </c>
      <c r="Q725" s="5">
        <f>VLOOKUP(Table2[[#This Row],[Visitor/Neutral]],pace_lookup,7,FALSE)</f>
        <v>93.8</v>
      </c>
      <c r="R725" s="9"/>
      <c r="V725" s="2">
        <f>-home-VLOOKUP(Table2[[#This Row],[Home/Neutral]],rtg_vlookup,4,FALSE)+VLOOKUP(Table2[[#This Row],[Visitor/Neutral]],rtg_vlookup,4,FALSE)</f>
        <v>-9.2551184834123319</v>
      </c>
      <c r="W725" s="25"/>
      <c r="X725" s="2"/>
      <c r="Y725" s="2">
        <f>Table2[[#This Row],[Away EV]]-Table2[[#This Row],[Home EV]]</f>
        <v>-8.7364015954020999</v>
      </c>
      <c r="Z725" s="33"/>
      <c r="AA725" s="34"/>
      <c r="AB725" s="5" t="b">
        <f>IF(VLOOKUP(Table2[[#This Row],[Home/Neutral]],division_lookup,9,FALSE)=VLOOKUP(Table2[[#This Row],[Visitor/Neutral]],division_lookup,9,FALSE),TRUE,FALSE)</f>
        <v>0</v>
      </c>
      <c r="AC725" s="19" t="str">
        <f>VLOOKUP(Table2[[#This Row],[Home/Neutral]],division_lookup,9,FALSE)</f>
        <v>SW</v>
      </c>
      <c r="AD725" s="19"/>
      <c r="AE725" s="19" t="str">
        <f>IF(Table2[[#This Row],[Total EV ®]]&lt;Table2[[#This Row],[Total (V)]],"UNDER","OVER")</f>
        <v>OVER</v>
      </c>
      <c r="AF725" s="30">
        <f>Table2[[#This Row],[(A) Spread]]-Table2[[#This Row],[Spread (V)]]</f>
        <v>0</v>
      </c>
      <c r="AG725" s="19"/>
      <c r="AH725" s="2">
        <f>Table2[[#This Row],[EV]]-Table2[[#This Row],[Spread (V)]]</f>
        <v>-8.7364015954020999</v>
      </c>
      <c r="AI725" s="22">
        <f>Table2[[#This Row],[(A)]]-Table2[[#This Row],[Spread]]</f>
        <v>-9.2551184834123319</v>
      </c>
      <c r="AJ725" s="1">
        <f>Table2[[#This Row],[(A) Err]]^2</f>
        <v>85.657218142000588</v>
      </c>
      <c r="AK725" s="6">
        <f>Table2[[#This Row],[EV]]-Table2[[#This Row],[Spread]]</f>
        <v>-8.7364015954020999</v>
      </c>
      <c r="AL725" s="1">
        <f>Table2[[#This Row],[EV Err]]^2</f>
        <v>76.324712836144357</v>
      </c>
    </row>
    <row r="726" spans="1:38" x14ac:dyDescent="0.25">
      <c r="A726" t="s">
        <v>139</v>
      </c>
      <c r="B726" t="s">
        <v>24</v>
      </c>
      <c r="C726" t="s">
        <v>27</v>
      </c>
      <c r="K726" s="25">
        <f>(Table2[[#This Row],[Home Pace]]/100)*(VLOOKUP(Table2[[#This Row],[Home/Neutral]],home_lookup,8,FALSE)+VLOOKUP(Table2[[#This Row],[Home/Neutral]],OFR_lookup,2,FALSE)+VLOOKUP(Table2[[#This Row],[Visitor/Neutral]],def_diff_lookup,6,FALSE))</f>
        <v>108.7669243283094</v>
      </c>
      <c r="L726" s="25"/>
      <c r="M726" s="25">
        <f>(Table2[[#This Row],[Away Pace]]/100)*(VLOOKUP(Table2[[#This Row],[Visitor/Neutral]],OFR_lookup,2,FALSE)+VLOOKUP(Table2[[#This Row],[Home/Neutral]],def_diff_lookup,6,FALSE))</f>
        <v>108.16806</v>
      </c>
      <c r="N726" s="25"/>
      <c r="O726" s="25"/>
      <c r="P726">
        <f>VLOOKUP(Table2[[#This Row],[Home/Neutral]],pace_lookup,7,FALSE)</f>
        <v>99.9</v>
      </c>
      <c r="Q726" s="5">
        <f>VLOOKUP(Table2[[#This Row],[Visitor/Neutral]],pace_lookup,7,FALSE)</f>
        <v>99</v>
      </c>
      <c r="R726" s="9"/>
      <c r="V726" s="2">
        <f>-home-VLOOKUP(Table2[[#This Row],[Home/Neutral]],rtg_vlookup,4,FALSE)+VLOOKUP(Table2[[#This Row],[Visitor/Neutral]],rtg_vlookup,4,FALSE)</f>
        <v>-3.5751184834123304</v>
      </c>
      <c r="W726" s="25"/>
      <c r="X726" s="2"/>
      <c r="Y726" s="2">
        <f>Table2[[#This Row],[Away EV]]-Table2[[#This Row],[Home EV]]</f>
        <v>-0.5988643283094035</v>
      </c>
      <c r="Z726" s="33"/>
      <c r="AA726" s="34"/>
      <c r="AB726" s="5" t="b">
        <f>IF(VLOOKUP(Table2[[#This Row],[Home/Neutral]],division_lookup,9,FALSE)=VLOOKUP(Table2[[#This Row],[Visitor/Neutral]],division_lookup,9,FALSE),TRUE,FALSE)</f>
        <v>0</v>
      </c>
      <c r="AC726" s="19" t="str">
        <f>VLOOKUP(Table2[[#This Row],[Home/Neutral]],division_lookup,9,FALSE)</f>
        <v>P</v>
      </c>
      <c r="AD726" s="19"/>
      <c r="AE726" s="19" t="str">
        <f>IF(Table2[[#This Row],[Total EV ®]]&lt;Table2[[#This Row],[Total (V)]],"UNDER","OVER")</f>
        <v>OVER</v>
      </c>
      <c r="AF726" s="30">
        <f>Table2[[#This Row],[(A) Spread]]-Table2[[#This Row],[Spread (V)]]</f>
        <v>0</v>
      </c>
      <c r="AG726" s="19"/>
      <c r="AH726" s="2">
        <f>Table2[[#This Row],[EV]]-Table2[[#This Row],[Spread (V)]]</f>
        <v>-0.5988643283094035</v>
      </c>
      <c r="AI726" s="22">
        <f>Table2[[#This Row],[(A)]]-Table2[[#This Row],[Spread]]</f>
        <v>-3.5751184834123304</v>
      </c>
      <c r="AJ726" s="1">
        <f>Table2[[#This Row],[(A) Err]]^2</f>
        <v>12.781472170436482</v>
      </c>
      <c r="AK726" s="6">
        <f>Table2[[#This Row],[EV]]-Table2[[#This Row],[Spread]]</f>
        <v>-0.5988643283094035</v>
      </c>
      <c r="AL726" s="1">
        <f>Table2[[#This Row],[EV Err]]^2</f>
        <v>0.358638483721473</v>
      </c>
    </row>
    <row r="727" spans="1:38" x14ac:dyDescent="0.25">
      <c r="A727" t="s">
        <v>139</v>
      </c>
      <c r="B727" t="s">
        <v>32</v>
      </c>
      <c r="C727" t="s">
        <v>16</v>
      </c>
      <c r="K727" s="25">
        <f>(Table2[[#This Row],[Home Pace]]/100)*(VLOOKUP(Table2[[#This Row],[Home/Neutral]],home_lookup,8,FALSE)+VLOOKUP(Table2[[#This Row],[Home/Neutral]],OFR_lookup,2,FALSE)+VLOOKUP(Table2[[#This Row],[Visitor/Neutral]],def_diff_lookup,6,FALSE))</f>
        <v>107.4730311200184</v>
      </c>
      <c r="L727" s="25"/>
      <c r="M727" s="25">
        <f>(Table2[[#This Row],[Away Pace]]/100)*(VLOOKUP(Table2[[#This Row],[Visitor/Neutral]],OFR_lookup,2,FALSE)+VLOOKUP(Table2[[#This Row],[Home/Neutral]],def_diff_lookup,6,FALSE))</f>
        <v>109.41515</v>
      </c>
      <c r="N727" s="25"/>
      <c r="O727" s="25"/>
      <c r="P727">
        <f>VLOOKUP(Table2[[#This Row],[Home/Neutral]],pace_lookup,7,FALSE)</f>
        <v>98.6</v>
      </c>
      <c r="Q727" s="5">
        <f>VLOOKUP(Table2[[#This Row],[Visitor/Neutral]],pace_lookup,7,FALSE)</f>
        <v>97.5</v>
      </c>
      <c r="R727" s="9"/>
      <c r="V727" s="2">
        <f>-home-VLOOKUP(Table2[[#This Row],[Home/Neutral]],rtg_vlookup,4,FALSE)+VLOOKUP(Table2[[#This Row],[Visitor/Neutral]],rtg_vlookup,4,FALSE)</f>
        <v>2.7748815165876692</v>
      </c>
      <c r="W727" s="25"/>
      <c r="X727" s="2"/>
      <c r="Y727" s="2">
        <f>Table2[[#This Row],[Away EV]]-Table2[[#This Row],[Home EV]]</f>
        <v>1.9421188799815923</v>
      </c>
      <c r="Z727" s="33"/>
      <c r="AA727" s="34"/>
      <c r="AB727" s="5" t="b">
        <f>IF(VLOOKUP(Table2[[#This Row],[Home/Neutral]],division_lookup,9,FALSE)=VLOOKUP(Table2[[#This Row],[Visitor/Neutral]],division_lookup,9,FALSE),TRUE,FALSE)</f>
        <v>0</v>
      </c>
      <c r="AC727" s="19" t="str">
        <f>VLOOKUP(Table2[[#This Row],[Home/Neutral]],division_lookup,9,FALSE)</f>
        <v>NW</v>
      </c>
      <c r="AD727" s="19"/>
      <c r="AE727" s="19" t="str">
        <f>IF(Table2[[#This Row],[Total EV ®]]&lt;Table2[[#This Row],[Total (V)]],"UNDER","OVER")</f>
        <v>OVER</v>
      </c>
      <c r="AF727" s="30">
        <f>Table2[[#This Row],[(A) Spread]]-Table2[[#This Row],[Spread (V)]]</f>
        <v>0</v>
      </c>
      <c r="AG727" s="19"/>
      <c r="AH727" s="2">
        <f>Table2[[#This Row],[EV]]-Table2[[#This Row],[Spread (V)]]</f>
        <v>1.9421188799815923</v>
      </c>
      <c r="AI727" s="22">
        <f>Table2[[#This Row],[(A)]]-Table2[[#This Row],[Spread]]</f>
        <v>2.7748815165876692</v>
      </c>
      <c r="AJ727" s="1">
        <f>Table2[[#This Row],[(A) Err]]^2</f>
        <v>7.6999674310998829</v>
      </c>
      <c r="AK727" s="6">
        <f>Table2[[#This Row],[EV]]-Table2[[#This Row],[Spread]]</f>
        <v>1.9421188799815923</v>
      </c>
      <c r="AL727" s="1">
        <f>Table2[[#This Row],[EV Err]]^2</f>
        <v>3.7718257439809544</v>
      </c>
    </row>
    <row r="728" spans="1:38" x14ac:dyDescent="0.25">
      <c r="A728" t="s">
        <v>139</v>
      </c>
      <c r="B728" t="s">
        <v>6</v>
      </c>
      <c r="C728" t="s">
        <v>18</v>
      </c>
      <c r="K728" s="25">
        <f>(Table2[[#This Row],[Home Pace]]/100)*(VLOOKUP(Table2[[#This Row],[Home/Neutral]],home_lookup,8,FALSE)+VLOOKUP(Table2[[#This Row],[Home/Neutral]],OFR_lookup,2,FALSE)+VLOOKUP(Table2[[#This Row],[Visitor/Neutral]],def_diff_lookup,6,FALSE))</f>
        <v>99.139987870622434</v>
      </c>
      <c r="L728" s="25"/>
      <c r="M728" s="25">
        <f>(Table2[[#This Row],[Away Pace]]/100)*(VLOOKUP(Table2[[#This Row],[Visitor/Neutral]],OFR_lookup,2,FALSE)+VLOOKUP(Table2[[#This Row],[Home/Neutral]],def_diff_lookup,6,FALSE))</f>
        <v>101.64986333333336</v>
      </c>
      <c r="N728" s="25"/>
      <c r="O728" s="25"/>
      <c r="P728">
        <f>VLOOKUP(Table2[[#This Row],[Home/Neutral]],pace_lookup,7,FALSE)</f>
        <v>93.1</v>
      </c>
      <c r="Q728" s="5">
        <f>VLOOKUP(Table2[[#This Row],[Visitor/Neutral]],pace_lookup,7,FALSE)</f>
        <v>99.5</v>
      </c>
      <c r="R728" s="9"/>
      <c r="V728" s="2">
        <f>-home-VLOOKUP(Table2[[#This Row],[Home/Neutral]],rtg_vlookup,4,FALSE)+VLOOKUP(Table2[[#This Row],[Visitor/Neutral]],rtg_vlookup,4,FALSE)</f>
        <v>-7.3951184834123307</v>
      </c>
      <c r="W728" s="25"/>
      <c r="X728" s="2"/>
      <c r="Y728" s="2">
        <f>Table2[[#This Row],[Away EV]]-Table2[[#This Row],[Home EV]]</f>
        <v>2.509875462710923</v>
      </c>
      <c r="Z728" s="33"/>
      <c r="AA728" s="34"/>
      <c r="AB728" s="5" t="b">
        <f>IF(VLOOKUP(Table2[[#This Row],[Home/Neutral]],division_lookup,9,FALSE)=VLOOKUP(Table2[[#This Row],[Visitor/Neutral]],division_lookup,9,FALSE),TRUE,FALSE)</f>
        <v>0</v>
      </c>
      <c r="AC728" s="19" t="str">
        <f>VLOOKUP(Table2[[#This Row],[Home/Neutral]],division_lookup,9,FALSE)</f>
        <v>SW</v>
      </c>
      <c r="AD728" s="19"/>
      <c r="AE728" s="19" t="str">
        <f>IF(Table2[[#This Row],[Total EV ®]]&lt;Table2[[#This Row],[Total (V)]],"UNDER","OVER")</f>
        <v>OVER</v>
      </c>
      <c r="AF728" s="30">
        <f>Table2[[#This Row],[(A) Spread]]-Table2[[#This Row],[Spread (V)]]</f>
        <v>0</v>
      </c>
      <c r="AG728" s="19"/>
      <c r="AH728" s="2">
        <f>Table2[[#This Row],[EV]]-Table2[[#This Row],[Spread (V)]]</f>
        <v>2.509875462710923</v>
      </c>
      <c r="AI728" s="22">
        <f>Table2[[#This Row],[(A)]]-Table2[[#This Row],[Spread]]</f>
        <v>-7.3951184834123307</v>
      </c>
      <c r="AJ728" s="1">
        <f>Table2[[#This Row],[(A) Err]]^2</f>
        <v>54.687777383706688</v>
      </c>
      <c r="AK728" s="6">
        <f>Table2[[#This Row],[EV]]-Table2[[#This Row],[Spread]]</f>
        <v>2.509875462710923</v>
      </c>
      <c r="AL728" s="1">
        <f>Table2[[#This Row],[EV Err]]^2</f>
        <v>6.2994748383183694</v>
      </c>
    </row>
    <row r="729" spans="1:38" x14ac:dyDescent="0.25">
      <c r="A729" t="s">
        <v>139</v>
      </c>
      <c r="B729" t="s">
        <v>14</v>
      </c>
      <c r="C729" t="s">
        <v>34</v>
      </c>
      <c r="K729" s="25">
        <f>(Table2[[#This Row],[Home Pace]]/100)*(VLOOKUP(Table2[[#This Row],[Home/Neutral]],home_lookup,8,FALSE)+VLOOKUP(Table2[[#This Row],[Home/Neutral]],OFR_lookup,2,FALSE)+VLOOKUP(Table2[[#This Row],[Visitor/Neutral]],def_diff_lookup,6,FALSE))</f>
        <v>106.9184441424145</v>
      </c>
      <c r="L729" s="25"/>
      <c r="M729" s="25">
        <f>(Table2[[#This Row],[Away Pace]]/100)*(VLOOKUP(Table2[[#This Row],[Visitor/Neutral]],OFR_lookup,2,FALSE)+VLOOKUP(Table2[[#This Row],[Home/Neutral]],def_diff_lookup,6,FALSE))</f>
        <v>101.67573866666667</v>
      </c>
      <c r="N729" s="25"/>
      <c r="O729" s="25"/>
      <c r="P729">
        <f>VLOOKUP(Table2[[#This Row],[Home/Neutral]],pace_lookup,7,FALSE)</f>
        <v>95.9</v>
      </c>
      <c r="Q729" s="5">
        <f>VLOOKUP(Table2[[#This Row],[Visitor/Neutral]],pace_lookup,7,FALSE)</f>
        <v>98.8</v>
      </c>
      <c r="R729" s="9"/>
      <c r="V729" s="2">
        <f>-home-VLOOKUP(Table2[[#This Row],[Home/Neutral]],rtg_vlookup,4,FALSE)+VLOOKUP(Table2[[#This Row],[Visitor/Neutral]],rtg_vlookup,4,FALSE)</f>
        <v>-12.725118483412331</v>
      </c>
      <c r="W729" s="25"/>
      <c r="X729" s="2"/>
      <c r="Y729" s="2">
        <f>Table2[[#This Row],[Away EV]]-Table2[[#This Row],[Home EV]]</f>
        <v>-5.242705475747826</v>
      </c>
      <c r="Z729" s="33"/>
      <c r="AA729" s="34"/>
      <c r="AB729" s="5" t="b">
        <f>IF(VLOOKUP(Table2[[#This Row],[Home/Neutral]],division_lookup,9,FALSE)=VLOOKUP(Table2[[#This Row],[Visitor/Neutral]],division_lookup,9,FALSE),TRUE,FALSE)</f>
        <v>0</v>
      </c>
      <c r="AC729" s="19" t="str">
        <f>VLOOKUP(Table2[[#This Row],[Home/Neutral]],division_lookup,9,FALSE)</f>
        <v>A</v>
      </c>
      <c r="AD729" s="19"/>
      <c r="AE729" s="19" t="str">
        <f>IF(Table2[[#This Row],[Total EV ®]]&lt;Table2[[#This Row],[Total (V)]],"UNDER","OVER")</f>
        <v>OVER</v>
      </c>
      <c r="AF729" s="30">
        <f>Table2[[#This Row],[(A) Spread]]-Table2[[#This Row],[Spread (V)]]</f>
        <v>0</v>
      </c>
      <c r="AG729" s="19"/>
      <c r="AH729" s="2">
        <f>Table2[[#This Row],[EV]]-Table2[[#This Row],[Spread (V)]]</f>
        <v>-5.242705475747826</v>
      </c>
      <c r="AI729" s="22">
        <f>Table2[[#This Row],[(A)]]-Table2[[#This Row],[Spread]]</f>
        <v>-12.725118483412331</v>
      </c>
      <c r="AJ729" s="1">
        <f>Table2[[#This Row],[(A) Err]]^2</f>
        <v>161.92864041688213</v>
      </c>
      <c r="AK729" s="6">
        <f>Table2[[#This Row],[EV]]-Table2[[#This Row],[Spread]]</f>
        <v>-5.242705475747826</v>
      </c>
      <c r="AL729" s="1">
        <f>Table2[[#This Row],[EV Err]]^2</f>
        <v>27.485960705436238</v>
      </c>
    </row>
    <row r="730" spans="1:38" x14ac:dyDescent="0.25">
      <c r="A730" t="s">
        <v>139</v>
      </c>
      <c r="B730" t="s">
        <v>28</v>
      </c>
      <c r="C730" t="s">
        <v>31</v>
      </c>
      <c r="K730" s="25">
        <f>(Table2[[#This Row],[Home Pace]]/100)*(VLOOKUP(Table2[[#This Row],[Home/Neutral]],home_lookup,8,FALSE)+VLOOKUP(Table2[[#This Row],[Home/Neutral]],OFR_lookup,2,FALSE)+VLOOKUP(Table2[[#This Row],[Visitor/Neutral]],def_diff_lookup,6,FALSE))</f>
        <v>112.87040553204274</v>
      </c>
      <c r="L730" s="25"/>
      <c r="M730" s="25">
        <f>(Table2[[#This Row],[Away Pace]]/100)*(VLOOKUP(Table2[[#This Row],[Visitor/Neutral]],OFR_lookup,2,FALSE)+VLOOKUP(Table2[[#This Row],[Home/Neutral]],def_diff_lookup,6,FALSE))</f>
        <v>107.29024000000001</v>
      </c>
      <c r="N730" s="25"/>
      <c r="O730" s="25"/>
      <c r="P730">
        <f>VLOOKUP(Table2[[#This Row],[Home/Neutral]],pace_lookup,7,FALSE)</f>
        <v>96.3</v>
      </c>
      <c r="Q730" s="5">
        <f>VLOOKUP(Table2[[#This Row],[Visitor/Neutral]],pace_lookup,7,FALSE)</f>
        <v>96</v>
      </c>
      <c r="R730" s="9"/>
      <c r="V730" s="2">
        <f>-home-VLOOKUP(Table2[[#This Row],[Home/Neutral]],rtg_vlookup,4,FALSE)+VLOOKUP(Table2[[#This Row],[Visitor/Neutral]],rtg_vlookup,4,FALSE)</f>
        <v>-3.0551184834123308</v>
      </c>
      <c r="W730" s="25"/>
      <c r="X730" s="2"/>
      <c r="Y730" s="2">
        <f>Table2[[#This Row],[Away EV]]-Table2[[#This Row],[Home EV]]</f>
        <v>-5.5801655320427272</v>
      </c>
      <c r="Z730" s="33"/>
      <c r="AA730" s="34"/>
      <c r="AB730" s="5" t="b">
        <f>IF(VLOOKUP(Table2[[#This Row],[Home/Neutral]],division_lookup,9,FALSE)=VLOOKUP(Table2[[#This Row],[Visitor/Neutral]],division_lookup,9,FALSE),TRUE,FALSE)</f>
        <v>0</v>
      </c>
      <c r="AC730" s="19" t="str">
        <f>VLOOKUP(Table2[[#This Row],[Home/Neutral]],division_lookup,9,FALSE)</f>
        <v>SE</v>
      </c>
      <c r="AD730" s="19"/>
      <c r="AE730" s="19" t="str">
        <f>IF(Table2[[#This Row],[Total EV ®]]&lt;Table2[[#This Row],[Total (V)]],"UNDER","OVER")</f>
        <v>OVER</v>
      </c>
      <c r="AF730" s="30">
        <f>Table2[[#This Row],[(A) Spread]]-Table2[[#This Row],[Spread (V)]]</f>
        <v>0</v>
      </c>
      <c r="AG730" s="19"/>
      <c r="AH730" s="2">
        <f>Table2[[#This Row],[EV]]-Table2[[#This Row],[Spread (V)]]</f>
        <v>-5.5801655320427272</v>
      </c>
      <c r="AI730" s="22">
        <f>Table2[[#This Row],[(A)]]-Table2[[#This Row],[Spread]]</f>
        <v>-3.0551184834123308</v>
      </c>
      <c r="AJ730" s="1">
        <f>Table2[[#This Row],[(A) Err]]^2</f>
        <v>9.3337489476876598</v>
      </c>
      <c r="AK730" s="6">
        <f>Table2[[#This Row],[EV]]-Table2[[#This Row],[Spread]]</f>
        <v>-5.5801655320427272</v>
      </c>
      <c r="AL730" s="1">
        <f>Table2[[#This Row],[EV Err]]^2</f>
        <v>31.138247364997692</v>
      </c>
    </row>
    <row r="731" spans="1:38" x14ac:dyDescent="0.25">
      <c r="A731" t="s">
        <v>140</v>
      </c>
      <c r="B731" t="s">
        <v>26</v>
      </c>
      <c r="C731" t="s">
        <v>14</v>
      </c>
      <c r="K731" s="25">
        <f>(Table2[[#This Row],[Home Pace]]/100)*(VLOOKUP(Table2[[#This Row],[Home/Neutral]],home_lookup,8,FALSE)+VLOOKUP(Table2[[#This Row],[Home/Neutral]],OFR_lookup,2,FALSE)+VLOOKUP(Table2[[#This Row],[Visitor/Neutral]],def_diff_lookup,6,FALSE))</f>
        <v>108.66576358918159</v>
      </c>
      <c r="L731" s="25"/>
      <c r="M731" s="25">
        <f>(Table2[[#This Row],[Away Pace]]/100)*(VLOOKUP(Table2[[#This Row],[Visitor/Neutral]],OFR_lookup,2,FALSE)+VLOOKUP(Table2[[#This Row],[Home/Neutral]],def_diff_lookup,6,FALSE))</f>
        <v>110.21850933333336</v>
      </c>
      <c r="N731" s="25"/>
      <c r="O731" s="25"/>
      <c r="P731">
        <f>VLOOKUP(Table2[[#This Row],[Home/Neutral]],pace_lookup,7,FALSE)</f>
        <v>96</v>
      </c>
      <c r="Q731" s="5">
        <f>VLOOKUP(Table2[[#This Row],[Visitor/Neutral]],pace_lookup,7,FALSE)</f>
        <v>95.9</v>
      </c>
      <c r="R731" s="9"/>
      <c r="V731" s="2">
        <f>-home-VLOOKUP(Table2[[#This Row],[Home/Neutral]],rtg_vlookup,4,FALSE)+VLOOKUP(Table2[[#This Row],[Visitor/Neutral]],rtg_vlookup,4,FALSE)</f>
        <v>2.4648815165876687</v>
      </c>
      <c r="W731" s="25"/>
      <c r="X731" s="2"/>
      <c r="Y731" s="2">
        <f>Table2[[#This Row],[Away EV]]-Table2[[#This Row],[Home EV]]</f>
        <v>1.552745744151764</v>
      </c>
      <c r="Z731" s="33"/>
      <c r="AA731" s="34"/>
      <c r="AB731" s="5" t="b">
        <f>IF(VLOOKUP(Table2[[#This Row],[Home/Neutral]],division_lookup,9,FALSE)=VLOOKUP(Table2[[#This Row],[Visitor/Neutral]],division_lookup,9,FALSE),TRUE,FALSE)</f>
        <v>1</v>
      </c>
      <c r="AC731" s="19" t="str">
        <f>VLOOKUP(Table2[[#This Row],[Home/Neutral]],division_lookup,9,FALSE)</f>
        <v>A</v>
      </c>
      <c r="AD731" s="19"/>
      <c r="AE731" s="19" t="str">
        <f>IF(Table2[[#This Row],[Total EV ®]]&lt;Table2[[#This Row],[Total (V)]],"UNDER","OVER")</f>
        <v>OVER</v>
      </c>
      <c r="AF731" s="30">
        <f>Table2[[#This Row],[(A) Spread]]-Table2[[#This Row],[Spread (V)]]</f>
        <v>0</v>
      </c>
      <c r="AG731" s="19"/>
      <c r="AH731" s="2">
        <f>Table2[[#This Row],[EV]]-Table2[[#This Row],[Spread (V)]]</f>
        <v>1.552745744151764</v>
      </c>
      <c r="AI731" s="22">
        <f>Table2[[#This Row],[(A)]]-Table2[[#This Row],[Spread]]</f>
        <v>2.4648815165876687</v>
      </c>
      <c r="AJ731" s="1">
        <f>Table2[[#This Row],[(A) Err]]^2</f>
        <v>6.0756408908155262</v>
      </c>
      <c r="AK731" s="6">
        <f>Table2[[#This Row],[EV]]-Table2[[#This Row],[Spread]]</f>
        <v>1.552745744151764</v>
      </c>
      <c r="AL731" s="1">
        <f>Table2[[#This Row],[EV Err]]^2</f>
        <v>2.4110193459814155</v>
      </c>
    </row>
    <row r="732" spans="1:38" x14ac:dyDescent="0.25">
      <c r="A732" t="s">
        <v>140</v>
      </c>
      <c r="B732" t="s">
        <v>35</v>
      </c>
      <c r="C732" t="s">
        <v>31</v>
      </c>
      <c r="K732" s="25">
        <f>(Table2[[#This Row],[Home Pace]]/100)*(VLOOKUP(Table2[[#This Row],[Home/Neutral]],home_lookup,8,FALSE)+VLOOKUP(Table2[[#This Row],[Home/Neutral]],OFR_lookup,2,FALSE)+VLOOKUP(Table2[[#This Row],[Visitor/Neutral]],def_diff_lookup,6,FALSE))</f>
        <v>112.44389121209625</v>
      </c>
      <c r="L732" s="25"/>
      <c r="M732" s="25">
        <f>(Table2[[#This Row],[Away Pace]]/100)*(VLOOKUP(Table2[[#This Row],[Visitor/Neutral]],OFR_lookup,2,FALSE)+VLOOKUP(Table2[[#This Row],[Home/Neutral]],def_diff_lookup,6,FALSE))</f>
        <v>107.85664</v>
      </c>
      <c r="N732" s="25"/>
      <c r="O732" s="25"/>
      <c r="P732">
        <f>VLOOKUP(Table2[[#This Row],[Home/Neutral]],pace_lookup,7,FALSE)</f>
        <v>102.2</v>
      </c>
      <c r="Q732" s="5">
        <f>VLOOKUP(Table2[[#This Row],[Visitor/Neutral]],pace_lookup,7,FALSE)</f>
        <v>96</v>
      </c>
      <c r="R732" s="9"/>
      <c r="V732" s="2">
        <f>-home-VLOOKUP(Table2[[#This Row],[Home/Neutral]],rtg_vlookup,4,FALSE)+VLOOKUP(Table2[[#This Row],[Visitor/Neutral]],rtg_vlookup,4,FALSE)</f>
        <v>1.3448815165876686</v>
      </c>
      <c r="W732" s="25"/>
      <c r="X732" s="2"/>
      <c r="Y732" s="2">
        <f>Table2[[#This Row],[Away EV]]-Table2[[#This Row],[Home EV]]</f>
        <v>-4.5872512120962483</v>
      </c>
      <c r="Z732" s="33"/>
      <c r="AA732" s="34"/>
      <c r="AB732" s="5" t="b">
        <f>IF(VLOOKUP(Table2[[#This Row],[Home/Neutral]],division_lookup,9,FALSE)=VLOOKUP(Table2[[#This Row],[Visitor/Neutral]],division_lookup,9,FALSE),TRUE,FALSE)</f>
        <v>1</v>
      </c>
      <c r="AC732" s="19" t="str">
        <f>VLOOKUP(Table2[[#This Row],[Home/Neutral]],division_lookup,9,FALSE)</f>
        <v>A</v>
      </c>
      <c r="AD732" s="19"/>
      <c r="AE732" s="19" t="str">
        <f>IF(Table2[[#This Row],[Total EV ®]]&lt;Table2[[#This Row],[Total (V)]],"UNDER","OVER")</f>
        <v>OVER</v>
      </c>
      <c r="AF732" s="30">
        <f>Table2[[#This Row],[(A) Spread]]-Table2[[#This Row],[Spread (V)]]</f>
        <v>0</v>
      </c>
      <c r="AG732" s="19"/>
      <c r="AH732" s="2">
        <f>Table2[[#This Row],[EV]]-Table2[[#This Row],[Spread (V)]]</f>
        <v>-4.5872512120962483</v>
      </c>
      <c r="AI732" s="22">
        <f>Table2[[#This Row],[(A)]]-Table2[[#This Row],[Spread]]</f>
        <v>1.3448815165876686</v>
      </c>
      <c r="AJ732" s="1">
        <f>Table2[[#This Row],[(A) Err]]^2</f>
        <v>1.8087062936591476</v>
      </c>
      <c r="AK732" s="6">
        <f>Table2[[#This Row],[EV]]-Table2[[#This Row],[Spread]]</f>
        <v>-4.5872512120962483</v>
      </c>
      <c r="AL732" s="1">
        <f>Table2[[#This Row],[EV Err]]^2</f>
        <v>21.042873682878501</v>
      </c>
    </row>
    <row r="733" spans="1:38" x14ac:dyDescent="0.25">
      <c r="A733" t="s">
        <v>140</v>
      </c>
      <c r="B733" t="s">
        <v>8</v>
      </c>
      <c r="C733" t="s">
        <v>22</v>
      </c>
      <c r="K733" s="25">
        <f>(Table2[[#This Row],[Home Pace]]/100)*(VLOOKUP(Table2[[#This Row],[Home/Neutral]],home_lookup,8,FALSE)+VLOOKUP(Table2[[#This Row],[Home/Neutral]],OFR_lookup,2,FALSE)+VLOOKUP(Table2[[#This Row],[Visitor/Neutral]],def_diff_lookup,6,FALSE))</f>
        <v>108.70386036898181</v>
      </c>
      <c r="L733" s="25"/>
      <c r="M733" s="25">
        <f>(Table2[[#This Row],[Away Pace]]/100)*(VLOOKUP(Table2[[#This Row],[Visitor/Neutral]],OFR_lookup,2,FALSE)+VLOOKUP(Table2[[#This Row],[Home/Neutral]],def_diff_lookup,6,FALSE))</f>
        <v>103.47932133333336</v>
      </c>
      <c r="N733" s="25"/>
      <c r="O733" s="25"/>
      <c r="P733">
        <f>VLOOKUP(Table2[[#This Row],[Home/Neutral]],pace_lookup,7,FALSE)</f>
        <v>97.2</v>
      </c>
      <c r="Q733" s="5">
        <f>VLOOKUP(Table2[[#This Row],[Visitor/Neutral]],pace_lookup,7,FALSE)</f>
        <v>94.7</v>
      </c>
      <c r="R733" s="9"/>
      <c r="V733" s="2">
        <f>-home-VLOOKUP(Table2[[#This Row],[Home/Neutral]],rtg_vlookup,4,FALSE)+VLOOKUP(Table2[[#This Row],[Visitor/Neutral]],rtg_vlookup,4,FALSE)</f>
        <v>-8.6751184834123301</v>
      </c>
      <c r="W733" s="25"/>
      <c r="X733" s="2"/>
      <c r="Y733" s="2">
        <f>Table2[[#This Row],[Away EV]]-Table2[[#This Row],[Home EV]]</f>
        <v>-5.2245390356484478</v>
      </c>
      <c r="Z733" s="33"/>
      <c r="AA733" s="34"/>
      <c r="AB733" s="5" t="b">
        <f>IF(VLOOKUP(Table2[[#This Row],[Home/Neutral]],division_lookup,9,FALSE)=VLOOKUP(Table2[[#This Row],[Visitor/Neutral]],division_lookup,9,FALSE),TRUE,FALSE)</f>
        <v>0</v>
      </c>
      <c r="AC733" s="19" t="str">
        <f>VLOOKUP(Table2[[#This Row],[Home/Neutral]],division_lookup,9,FALSE)</f>
        <v>C</v>
      </c>
      <c r="AD733" s="19"/>
      <c r="AE733" s="19" t="str">
        <f>IF(Table2[[#This Row],[Total EV ®]]&lt;Table2[[#This Row],[Total (V)]],"UNDER","OVER")</f>
        <v>OVER</v>
      </c>
      <c r="AF733" s="30">
        <f>Table2[[#This Row],[(A) Spread]]-Table2[[#This Row],[Spread (V)]]</f>
        <v>0</v>
      </c>
      <c r="AG733" s="19"/>
      <c r="AH733" s="2">
        <f>Table2[[#This Row],[EV]]-Table2[[#This Row],[Spread (V)]]</f>
        <v>-5.2245390356484478</v>
      </c>
      <c r="AI733" s="22">
        <f>Table2[[#This Row],[(A)]]-Table2[[#This Row],[Spread]]</f>
        <v>-8.6751184834123301</v>
      </c>
      <c r="AJ733" s="1">
        <f>Table2[[#This Row],[(A) Err]]^2</f>
        <v>75.257680701242251</v>
      </c>
      <c r="AK733" s="6">
        <f>Table2[[#This Row],[EV]]-Table2[[#This Row],[Spread]]</f>
        <v>-5.2245390356484478</v>
      </c>
      <c r="AL733" s="1">
        <f>Table2[[#This Row],[EV Err]]^2</f>
        <v>27.295808135014411</v>
      </c>
    </row>
    <row r="734" spans="1:38" x14ac:dyDescent="0.25">
      <c r="A734" t="s">
        <v>140</v>
      </c>
      <c r="B734" t="s">
        <v>37</v>
      </c>
      <c r="C734" t="s">
        <v>39</v>
      </c>
      <c r="K734" s="25">
        <f>(Table2[[#This Row],[Home Pace]]/100)*(VLOOKUP(Table2[[#This Row],[Home/Neutral]],home_lookup,8,FALSE)+VLOOKUP(Table2[[#This Row],[Home/Neutral]],OFR_lookup,2,FALSE)+VLOOKUP(Table2[[#This Row],[Visitor/Neutral]],def_diff_lookup,6,FALSE))</f>
        <v>105.15803809362122</v>
      </c>
      <c r="L734" s="25"/>
      <c r="M734" s="25">
        <f>(Table2[[#This Row],[Away Pace]]/100)*(VLOOKUP(Table2[[#This Row],[Visitor/Neutral]],OFR_lookup,2,FALSE)+VLOOKUP(Table2[[#This Row],[Home/Neutral]],def_diff_lookup,6,FALSE))</f>
        <v>94.57565000000001</v>
      </c>
      <c r="N734" s="25"/>
      <c r="O734" s="25"/>
      <c r="P734">
        <f>VLOOKUP(Table2[[#This Row],[Home/Neutral]],pace_lookup,7,FALSE)</f>
        <v>92.1</v>
      </c>
      <c r="Q734" s="5">
        <f>VLOOKUP(Table2[[#This Row],[Visitor/Neutral]],pace_lookup,7,FALSE)</f>
        <v>97.5</v>
      </c>
      <c r="R734" s="9"/>
      <c r="V734" s="2">
        <f>-home-VLOOKUP(Table2[[#This Row],[Home/Neutral]],rtg_vlookup,4,FALSE)+VLOOKUP(Table2[[#This Row],[Visitor/Neutral]],rtg_vlookup,4,FALSE)</f>
        <v>-4.5151184834123299</v>
      </c>
      <c r="W734" s="25"/>
      <c r="X734" s="2"/>
      <c r="Y734" s="2">
        <f>Table2[[#This Row],[Away EV]]-Table2[[#This Row],[Home EV]]</f>
        <v>-10.582388093621205</v>
      </c>
      <c r="Z734" s="33"/>
      <c r="AA734" s="34"/>
      <c r="AB734" s="5" t="b">
        <f>IF(VLOOKUP(Table2[[#This Row],[Home/Neutral]],division_lookup,9,FALSE)=VLOOKUP(Table2[[#This Row],[Visitor/Neutral]],division_lookup,9,FALSE),TRUE,FALSE)</f>
        <v>0</v>
      </c>
      <c r="AC734" s="19" t="str">
        <f>VLOOKUP(Table2[[#This Row],[Home/Neutral]],division_lookup,9,FALSE)</f>
        <v>SW</v>
      </c>
      <c r="AD734" s="19"/>
      <c r="AE734" s="19" t="str">
        <f>IF(Table2[[#This Row],[Total EV ®]]&lt;Table2[[#This Row],[Total (V)]],"UNDER","OVER")</f>
        <v>OVER</v>
      </c>
      <c r="AF734" s="30">
        <f>Table2[[#This Row],[(A) Spread]]-Table2[[#This Row],[Spread (V)]]</f>
        <v>0</v>
      </c>
      <c r="AG734" s="19"/>
      <c r="AH734" s="2">
        <f>Table2[[#This Row],[EV]]-Table2[[#This Row],[Spread (V)]]</f>
        <v>-10.582388093621205</v>
      </c>
      <c r="AI734" s="22">
        <f>Table2[[#This Row],[(A)]]-Table2[[#This Row],[Spread]]</f>
        <v>-4.5151184834123299</v>
      </c>
      <c r="AJ734" s="1">
        <f>Table2[[#This Row],[(A) Err]]^2</f>
        <v>20.386294919251657</v>
      </c>
      <c r="AK734" s="6">
        <f>Table2[[#This Row],[EV]]-Table2[[#This Row],[Spread]]</f>
        <v>-10.582388093621205</v>
      </c>
      <c r="AL734" s="1">
        <f>Table2[[#This Row],[EV Err]]^2</f>
        <v>111.98693776401583</v>
      </c>
    </row>
    <row r="735" spans="1:38" x14ac:dyDescent="0.25">
      <c r="A735" t="s">
        <v>140</v>
      </c>
      <c r="B735" t="s">
        <v>27</v>
      </c>
      <c r="C735" t="s">
        <v>23</v>
      </c>
      <c r="K735" s="25">
        <f>(Table2[[#This Row],[Home Pace]]/100)*(VLOOKUP(Table2[[#This Row],[Home/Neutral]],home_lookup,8,FALSE)+VLOOKUP(Table2[[#This Row],[Home/Neutral]],OFR_lookup,2,FALSE)+VLOOKUP(Table2[[#This Row],[Visitor/Neutral]],def_diff_lookup,6,FALSE))</f>
        <v>100.21905642647258</v>
      </c>
      <c r="L735" s="25"/>
      <c r="M735" s="25">
        <f>(Table2[[#This Row],[Away Pace]]/100)*(VLOOKUP(Table2[[#This Row],[Visitor/Neutral]],OFR_lookup,2,FALSE)+VLOOKUP(Table2[[#This Row],[Home/Neutral]],def_diff_lookup,6,FALSE))</f>
        <v>96.108116666666689</v>
      </c>
      <c r="N735" s="25"/>
      <c r="O735" s="25"/>
      <c r="P735">
        <f>VLOOKUP(Table2[[#This Row],[Home/Neutral]],pace_lookup,7,FALSE)</f>
        <v>99</v>
      </c>
      <c r="Q735" s="5">
        <f>VLOOKUP(Table2[[#This Row],[Visitor/Neutral]],pace_lookup,7,FALSE)</f>
        <v>92.5</v>
      </c>
      <c r="R735" s="9"/>
      <c r="V735" s="2">
        <f>-home-VLOOKUP(Table2[[#This Row],[Home/Neutral]],rtg_vlookup,4,FALSE)+VLOOKUP(Table2[[#This Row],[Visitor/Neutral]],rtg_vlookup,4,FALSE)</f>
        <v>0.26488151658766901</v>
      </c>
      <c r="W735" s="25"/>
      <c r="X735" s="2"/>
      <c r="Y735" s="2">
        <f>Table2[[#This Row],[Away EV]]-Table2[[#This Row],[Home EV]]</f>
        <v>-4.1109397598058877</v>
      </c>
      <c r="Z735" s="33"/>
      <c r="AA735" s="34"/>
      <c r="AB735" s="5" t="b">
        <f>IF(VLOOKUP(Table2[[#This Row],[Home/Neutral]],division_lookup,9,FALSE)=VLOOKUP(Table2[[#This Row],[Visitor/Neutral]],division_lookup,9,FALSE),TRUE,FALSE)</f>
        <v>0</v>
      </c>
      <c r="AC735" s="19" t="str">
        <f>VLOOKUP(Table2[[#This Row],[Home/Neutral]],division_lookup,9,FALSE)</f>
        <v>NW</v>
      </c>
      <c r="AD735" s="19"/>
      <c r="AE735" s="19" t="str">
        <f>IF(Table2[[#This Row],[Total EV ®]]&lt;Table2[[#This Row],[Total (V)]],"UNDER","OVER")</f>
        <v>OVER</v>
      </c>
      <c r="AF735" s="30">
        <f>Table2[[#This Row],[(A) Spread]]-Table2[[#This Row],[Spread (V)]]</f>
        <v>0</v>
      </c>
      <c r="AG735" s="19"/>
      <c r="AH735" s="2">
        <f>Table2[[#This Row],[EV]]-Table2[[#This Row],[Spread (V)]]</f>
        <v>-4.1109397598058877</v>
      </c>
      <c r="AI735" s="22">
        <f>Table2[[#This Row],[(A)]]-Table2[[#This Row],[Spread]]</f>
        <v>0.26488151658766901</v>
      </c>
      <c r="AJ735" s="1">
        <f>Table2[[#This Row],[(A) Err]]^2</f>
        <v>7.0162217829783574E-2</v>
      </c>
      <c r="AK735" s="6">
        <f>Table2[[#This Row],[EV]]-Table2[[#This Row],[Spread]]</f>
        <v>-4.1109397598058877</v>
      </c>
      <c r="AL735" s="1">
        <f>Table2[[#This Row],[EV Err]]^2</f>
        <v>16.899825708752889</v>
      </c>
    </row>
    <row r="736" spans="1:38" x14ac:dyDescent="0.25">
      <c r="A736" t="s">
        <v>140</v>
      </c>
      <c r="B736" t="s">
        <v>25</v>
      </c>
      <c r="C736" t="s">
        <v>34</v>
      </c>
      <c r="K736" s="25">
        <f>(Table2[[#This Row],[Home Pace]]/100)*(VLOOKUP(Table2[[#This Row],[Home/Neutral]],home_lookup,8,FALSE)+VLOOKUP(Table2[[#This Row],[Home/Neutral]],OFR_lookup,2,FALSE)+VLOOKUP(Table2[[#This Row],[Visitor/Neutral]],def_diff_lookup,6,FALSE))</f>
        <v>103.02670444427257</v>
      </c>
      <c r="L736" s="25"/>
      <c r="M736" s="25">
        <f>(Table2[[#This Row],[Away Pace]]/100)*(VLOOKUP(Table2[[#This Row],[Visitor/Neutral]],OFR_lookup,2,FALSE)+VLOOKUP(Table2[[#This Row],[Home/Neutral]],def_diff_lookup,6,FALSE))</f>
        <v>96.162698666666671</v>
      </c>
      <c r="N736" s="25"/>
      <c r="O736" s="25"/>
      <c r="P736">
        <f>VLOOKUP(Table2[[#This Row],[Home/Neutral]],pace_lookup,7,FALSE)</f>
        <v>94.4</v>
      </c>
      <c r="Q736" s="5">
        <f>VLOOKUP(Table2[[#This Row],[Visitor/Neutral]],pace_lookup,7,FALSE)</f>
        <v>98.8</v>
      </c>
      <c r="R736" s="9"/>
      <c r="V736" s="2">
        <f>-home-VLOOKUP(Table2[[#This Row],[Home/Neutral]],rtg_vlookup,4,FALSE)+VLOOKUP(Table2[[#This Row],[Visitor/Neutral]],rtg_vlookup,4,FALSE)</f>
        <v>-7.7451184834123312</v>
      </c>
      <c r="W736" s="25"/>
      <c r="X736" s="2"/>
      <c r="Y736" s="2">
        <f>Table2[[#This Row],[Away EV]]-Table2[[#This Row],[Home EV]]</f>
        <v>-6.8640057776058967</v>
      </c>
      <c r="Z736" s="33"/>
      <c r="AA736" s="34"/>
      <c r="AB736" s="5" t="b">
        <f>IF(VLOOKUP(Table2[[#This Row],[Home/Neutral]],division_lookup,9,FALSE)=VLOOKUP(Table2[[#This Row],[Visitor/Neutral]],division_lookup,9,FALSE),TRUE,FALSE)</f>
        <v>0</v>
      </c>
      <c r="AC736" s="19" t="str">
        <f>VLOOKUP(Table2[[#This Row],[Home/Neutral]],division_lookup,9,FALSE)</f>
        <v>C</v>
      </c>
      <c r="AD736" s="19"/>
      <c r="AE736" s="19" t="str">
        <f>IF(Table2[[#This Row],[Total EV ®]]&lt;Table2[[#This Row],[Total (V)]],"UNDER","OVER")</f>
        <v>OVER</v>
      </c>
      <c r="AF736" s="30">
        <f>Table2[[#This Row],[(A) Spread]]-Table2[[#This Row],[Spread (V)]]</f>
        <v>0</v>
      </c>
      <c r="AG736" s="19"/>
      <c r="AH736" s="2">
        <f>Table2[[#This Row],[EV]]-Table2[[#This Row],[Spread (V)]]</f>
        <v>-6.8640057776058967</v>
      </c>
      <c r="AI736" s="22">
        <f>Table2[[#This Row],[(A)]]-Table2[[#This Row],[Spread]]</f>
        <v>-7.7451184834123312</v>
      </c>
      <c r="AJ736" s="1">
        <f>Table2[[#This Row],[(A) Err]]^2</f>
        <v>59.986860322095332</v>
      </c>
      <c r="AK736" s="6">
        <f>Table2[[#This Row],[EV]]-Table2[[#This Row],[Spread]]</f>
        <v>-6.8640057776058967</v>
      </c>
      <c r="AL736" s="1">
        <f>Table2[[#This Row],[EV Err]]^2</f>
        <v>47.11457531500713</v>
      </c>
    </row>
    <row r="737" spans="1:38" x14ac:dyDescent="0.25">
      <c r="A737" t="s">
        <v>140</v>
      </c>
      <c r="B737" t="s">
        <v>10</v>
      </c>
      <c r="C737" t="s">
        <v>16</v>
      </c>
      <c r="K737" s="25">
        <f>(Table2[[#This Row],[Home Pace]]/100)*(VLOOKUP(Table2[[#This Row],[Home/Neutral]],home_lookup,8,FALSE)+VLOOKUP(Table2[[#This Row],[Home/Neutral]],OFR_lookup,2,FALSE)+VLOOKUP(Table2[[#This Row],[Visitor/Neutral]],def_diff_lookup,6,FALSE))</f>
        <v>105.42102853790561</v>
      </c>
      <c r="L737" s="25"/>
      <c r="M737" s="25">
        <f>(Table2[[#This Row],[Away Pace]]/100)*(VLOOKUP(Table2[[#This Row],[Visitor/Neutral]],OFR_lookup,2,FALSE)+VLOOKUP(Table2[[#This Row],[Home/Neutral]],def_diff_lookup,6,FALSE))</f>
        <v>106.0124</v>
      </c>
      <c r="N737" s="25"/>
      <c r="O737" s="25"/>
      <c r="P737">
        <f>VLOOKUP(Table2[[#This Row],[Home/Neutral]],pace_lookup,7,FALSE)</f>
        <v>100.3</v>
      </c>
      <c r="Q737" s="5">
        <f>VLOOKUP(Table2[[#This Row],[Visitor/Neutral]],pace_lookup,7,FALSE)</f>
        <v>97.5</v>
      </c>
      <c r="R737" s="9"/>
      <c r="V737" s="2">
        <f>-home-VLOOKUP(Table2[[#This Row],[Home/Neutral]],rtg_vlookup,4,FALSE)+VLOOKUP(Table2[[#This Row],[Visitor/Neutral]],rtg_vlookup,4,FALSE)</f>
        <v>-8.5851184834123302</v>
      </c>
      <c r="W737" s="25"/>
      <c r="X737" s="2"/>
      <c r="Y737" s="2">
        <f>Table2[[#This Row],[Away EV]]-Table2[[#This Row],[Home EV]]</f>
        <v>0.5913714620943864</v>
      </c>
      <c r="Z737" s="33"/>
      <c r="AA737" s="34"/>
      <c r="AB737" s="5" t="b">
        <f>IF(VLOOKUP(Table2[[#This Row],[Home/Neutral]],division_lookup,9,FALSE)=VLOOKUP(Table2[[#This Row],[Visitor/Neutral]],division_lookup,9,FALSE),TRUE,FALSE)</f>
        <v>0</v>
      </c>
      <c r="AC737" s="19" t="str">
        <f>VLOOKUP(Table2[[#This Row],[Home/Neutral]],division_lookup,9,FALSE)</f>
        <v>P</v>
      </c>
      <c r="AD737" s="19"/>
      <c r="AE737" s="19" t="str">
        <f>IF(Table2[[#This Row],[Total EV ®]]&lt;Table2[[#This Row],[Total (V)]],"UNDER","OVER")</f>
        <v>OVER</v>
      </c>
      <c r="AF737" s="30">
        <f>Table2[[#This Row],[(A) Spread]]-Table2[[#This Row],[Spread (V)]]</f>
        <v>0</v>
      </c>
      <c r="AG737" s="19"/>
      <c r="AH737" s="2">
        <f>Table2[[#This Row],[EV]]-Table2[[#This Row],[Spread (V)]]</f>
        <v>0.5913714620943864</v>
      </c>
      <c r="AI737" s="22">
        <f>Table2[[#This Row],[(A)]]-Table2[[#This Row],[Spread]]</f>
        <v>-8.5851184834123302</v>
      </c>
      <c r="AJ737" s="1">
        <f>Table2[[#This Row],[(A) Err]]^2</f>
        <v>73.70425937422803</v>
      </c>
      <c r="AK737" s="6">
        <f>Table2[[#This Row],[EV]]-Table2[[#This Row],[Spread]]</f>
        <v>0.5913714620943864</v>
      </c>
      <c r="AL737" s="1">
        <f>Table2[[#This Row],[EV Err]]^2</f>
        <v>0.34972020617965227</v>
      </c>
    </row>
    <row r="738" spans="1:38" x14ac:dyDescent="0.25">
      <c r="A738" t="s">
        <v>140</v>
      </c>
      <c r="B738" t="s">
        <v>21</v>
      </c>
      <c r="C738" t="s">
        <v>11</v>
      </c>
      <c r="K738" s="25">
        <f>(Table2[[#This Row],[Home Pace]]/100)*(VLOOKUP(Table2[[#This Row],[Home/Neutral]],home_lookup,8,FALSE)+VLOOKUP(Table2[[#This Row],[Home/Neutral]],OFR_lookup,2,FALSE)+VLOOKUP(Table2[[#This Row],[Visitor/Neutral]],def_diff_lookup,6,FALSE))</f>
        <v>94.131011175243898</v>
      </c>
      <c r="L738" s="25"/>
      <c r="M738" s="25">
        <f>(Table2[[#This Row],[Away Pace]]/100)*(VLOOKUP(Table2[[#This Row],[Visitor/Neutral]],OFR_lookup,2,FALSE)+VLOOKUP(Table2[[#This Row],[Home/Neutral]],def_diff_lookup,6,FALSE))</f>
        <v>100.75748466666667</v>
      </c>
      <c r="N738" s="25"/>
      <c r="O738" s="25"/>
      <c r="P738">
        <f>VLOOKUP(Table2[[#This Row],[Home/Neutral]],pace_lookup,7,FALSE)</f>
        <v>94.2</v>
      </c>
      <c r="Q738" s="5">
        <f>VLOOKUP(Table2[[#This Row],[Visitor/Neutral]],pace_lookup,7,FALSE)</f>
        <v>99.7</v>
      </c>
      <c r="R738" s="9"/>
      <c r="V738" s="2">
        <f>-home-VLOOKUP(Table2[[#This Row],[Home/Neutral]],rtg_vlookup,4,FALSE)+VLOOKUP(Table2[[#This Row],[Visitor/Neutral]],rtg_vlookup,4,FALSE)</f>
        <v>3.6848815165876694</v>
      </c>
      <c r="W738" s="25"/>
      <c r="X738" s="2"/>
      <c r="Y738" s="2">
        <f>Table2[[#This Row],[Away EV]]-Table2[[#This Row],[Home EV]]</f>
        <v>6.6264734914227716</v>
      </c>
      <c r="Z738" s="33"/>
      <c r="AA738" s="34"/>
      <c r="AB738" s="5" t="b">
        <f>IF(VLOOKUP(Table2[[#This Row],[Home/Neutral]],division_lookup,9,FALSE)=VLOOKUP(Table2[[#This Row],[Visitor/Neutral]],division_lookup,9,FALSE),TRUE,FALSE)</f>
        <v>1</v>
      </c>
      <c r="AC738" s="19" t="str">
        <f>VLOOKUP(Table2[[#This Row],[Home/Neutral]],division_lookup,9,FALSE)</f>
        <v>SE</v>
      </c>
      <c r="AD738" s="19"/>
      <c r="AE738" s="19" t="str">
        <f>IF(Table2[[#This Row],[Total EV ®]]&lt;Table2[[#This Row],[Total (V)]],"UNDER","OVER")</f>
        <v>OVER</v>
      </c>
      <c r="AF738" s="30">
        <f>Table2[[#This Row],[(A) Spread]]-Table2[[#This Row],[Spread (V)]]</f>
        <v>0</v>
      </c>
      <c r="AG738" s="19"/>
      <c r="AH738" s="2">
        <f>Table2[[#This Row],[EV]]-Table2[[#This Row],[Spread (V)]]</f>
        <v>6.6264734914227716</v>
      </c>
      <c r="AI738" s="22">
        <f>Table2[[#This Row],[(A)]]-Table2[[#This Row],[Spread]]</f>
        <v>3.6848815165876694</v>
      </c>
      <c r="AJ738" s="1">
        <f>Table2[[#This Row],[(A) Err]]^2</f>
        <v>13.578351791289442</v>
      </c>
      <c r="AK738" s="6">
        <f>Table2[[#This Row],[EV]]-Table2[[#This Row],[Spread]]</f>
        <v>6.6264734914227716</v>
      </c>
      <c r="AL738" s="1">
        <f>Table2[[#This Row],[EV Err]]^2</f>
        <v>43.910150932528694</v>
      </c>
    </row>
    <row r="739" spans="1:38" x14ac:dyDescent="0.25">
      <c r="A739" t="s">
        <v>140</v>
      </c>
      <c r="B739" t="s">
        <v>18</v>
      </c>
      <c r="C739" t="s">
        <v>13</v>
      </c>
      <c r="K739" s="25">
        <f>(Table2[[#This Row],[Home Pace]]/100)*(VLOOKUP(Table2[[#This Row],[Home/Neutral]],home_lookup,8,FALSE)+VLOOKUP(Table2[[#This Row],[Home/Neutral]],OFR_lookup,2,FALSE)+VLOOKUP(Table2[[#This Row],[Visitor/Neutral]],def_diff_lookup,6,FALSE))</f>
        <v>102.18870616021132</v>
      </c>
      <c r="L739" s="25"/>
      <c r="M739" s="25">
        <f>(Table2[[#This Row],[Away Pace]]/100)*(VLOOKUP(Table2[[#This Row],[Visitor/Neutral]],OFR_lookup,2,FALSE)+VLOOKUP(Table2[[#This Row],[Home/Neutral]],def_diff_lookup,6,FALSE))</f>
        <v>101.19123</v>
      </c>
      <c r="N739" s="25"/>
      <c r="O739" s="25"/>
      <c r="P739">
        <f>VLOOKUP(Table2[[#This Row],[Home/Neutral]],pace_lookup,7,FALSE)</f>
        <v>99.5</v>
      </c>
      <c r="Q739" s="5">
        <f>VLOOKUP(Table2[[#This Row],[Visitor/Neutral]],pace_lookup,7,FALSE)</f>
        <v>94.5</v>
      </c>
      <c r="R739" s="9"/>
      <c r="V739" s="2">
        <f>-home-VLOOKUP(Table2[[#This Row],[Home/Neutral]],rtg_vlookup,4,FALSE)+VLOOKUP(Table2[[#This Row],[Visitor/Neutral]],rtg_vlookup,4,FALSE)</f>
        <v>0.58488151658766885</v>
      </c>
      <c r="W739" s="25"/>
      <c r="X739" s="2"/>
      <c r="Y739" s="2">
        <f>Table2[[#This Row],[Away EV]]-Table2[[#This Row],[Home EV]]</f>
        <v>-0.99747616021132046</v>
      </c>
      <c r="Z739" s="33"/>
      <c r="AA739" s="34"/>
      <c r="AB739" s="5" t="b">
        <f>IF(VLOOKUP(Table2[[#This Row],[Home/Neutral]],division_lookup,9,FALSE)=VLOOKUP(Table2[[#This Row],[Visitor/Neutral]],division_lookup,9,FALSE),TRUE,FALSE)</f>
        <v>0</v>
      </c>
      <c r="AC739" s="19" t="str">
        <f>VLOOKUP(Table2[[#This Row],[Home/Neutral]],division_lookup,9,FALSE)</f>
        <v>NW</v>
      </c>
      <c r="AD739" s="19"/>
      <c r="AE739" s="19" t="str">
        <f>IF(Table2[[#This Row],[Total EV ®]]&lt;Table2[[#This Row],[Total (V)]],"UNDER","OVER")</f>
        <v>OVER</v>
      </c>
      <c r="AF739" s="30">
        <f>Table2[[#This Row],[(A) Spread]]-Table2[[#This Row],[Spread (V)]]</f>
        <v>0</v>
      </c>
      <c r="AG739" s="19"/>
      <c r="AH739" s="2">
        <f>Table2[[#This Row],[EV]]-Table2[[#This Row],[Spread (V)]]</f>
        <v>-0.99747616021132046</v>
      </c>
      <c r="AI739" s="22">
        <f>Table2[[#This Row],[(A)]]-Table2[[#This Row],[Spread]]</f>
        <v>0.58488151658766885</v>
      </c>
      <c r="AJ739" s="1">
        <f>Table2[[#This Row],[(A) Err]]^2</f>
        <v>0.34208638844589156</v>
      </c>
      <c r="AK739" s="6">
        <f>Table2[[#This Row],[EV]]-Table2[[#This Row],[Spread]]</f>
        <v>-0.99747616021132046</v>
      </c>
      <c r="AL739" s="1">
        <f>Table2[[#This Row],[EV Err]]^2</f>
        <v>0.99495869018991989</v>
      </c>
    </row>
    <row r="740" spans="1:38" x14ac:dyDescent="0.25">
      <c r="A740" t="s">
        <v>140</v>
      </c>
      <c r="B740" t="s">
        <v>38</v>
      </c>
      <c r="C740" t="s">
        <v>33</v>
      </c>
      <c r="K740" s="25">
        <f>(Table2[[#This Row],[Home Pace]]/100)*(VLOOKUP(Table2[[#This Row],[Home/Neutral]],home_lookup,8,FALSE)+VLOOKUP(Table2[[#This Row],[Home/Neutral]],OFR_lookup,2,FALSE)+VLOOKUP(Table2[[#This Row],[Visitor/Neutral]],def_diff_lookup,6,FALSE))</f>
        <v>108.3327916789148</v>
      </c>
      <c r="L740" s="25"/>
      <c r="M740" s="25">
        <f>(Table2[[#This Row],[Away Pace]]/100)*(VLOOKUP(Table2[[#This Row],[Visitor/Neutral]],OFR_lookup,2,FALSE)+VLOOKUP(Table2[[#This Row],[Home/Neutral]],def_diff_lookup,6,FALSE))</f>
        <v>102.77677466666667</v>
      </c>
      <c r="N740" s="25"/>
      <c r="O740" s="25"/>
      <c r="P740">
        <f>VLOOKUP(Table2[[#This Row],[Home/Neutral]],pace_lookup,7,FALSE)</f>
        <v>94.2</v>
      </c>
      <c r="Q740" s="5">
        <f>VLOOKUP(Table2[[#This Row],[Visitor/Neutral]],pace_lookup,7,FALSE)</f>
        <v>98.2</v>
      </c>
      <c r="R740" s="9"/>
      <c r="V740" s="2">
        <f>-home-VLOOKUP(Table2[[#This Row],[Home/Neutral]],rtg_vlookup,4,FALSE)+VLOOKUP(Table2[[#This Row],[Visitor/Neutral]],rtg_vlookup,4,FALSE)</f>
        <v>0.72488151658766853</v>
      </c>
      <c r="W740" s="25"/>
      <c r="X740" s="2"/>
      <c r="Y740" s="2">
        <f>Table2[[#This Row],[Away EV]]-Table2[[#This Row],[Home EV]]</f>
        <v>-5.5560170122481338</v>
      </c>
      <c r="Z740" s="33"/>
      <c r="AA740" s="34"/>
      <c r="AB740" s="5" t="b">
        <f>IF(VLOOKUP(Table2[[#This Row],[Home/Neutral]],division_lookup,9,FALSE)=VLOOKUP(Table2[[#This Row],[Visitor/Neutral]],division_lookup,9,FALSE),TRUE,FALSE)</f>
        <v>0</v>
      </c>
      <c r="AC740" s="19" t="str">
        <f>VLOOKUP(Table2[[#This Row],[Home/Neutral]],division_lookup,9,FALSE)</f>
        <v>SE</v>
      </c>
      <c r="AD740" s="19"/>
      <c r="AE740" s="19" t="str">
        <f>IF(Table2[[#This Row],[Total EV ®]]&lt;Table2[[#This Row],[Total (V)]],"UNDER","OVER")</f>
        <v>OVER</v>
      </c>
      <c r="AF740" s="30">
        <f>Table2[[#This Row],[(A) Spread]]-Table2[[#This Row],[Spread (V)]]</f>
        <v>0</v>
      </c>
      <c r="AG740" s="19"/>
      <c r="AH740" s="2">
        <f>Table2[[#This Row],[EV]]-Table2[[#This Row],[Spread (V)]]</f>
        <v>-5.5560170122481338</v>
      </c>
      <c r="AI740" s="22">
        <f>Table2[[#This Row],[(A)]]-Table2[[#This Row],[Spread]]</f>
        <v>0.72488151658766853</v>
      </c>
      <c r="AJ740" s="1">
        <f>Table2[[#This Row],[(A) Err]]^2</f>
        <v>0.52545321309043835</v>
      </c>
      <c r="AK740" s="6">
        <f>Table2[[#This Row],[EV]]-Table2[[#This Row],[Spread]]</f>
        <v>-5.5560170122481338</v>
      </c>
      <c r="AL740" s="1">
        <f>Table2[[#This Row],[EV Err]]^2</f>
        <v>30.869325040390681</v>
      </c>
    </row>
    <row r="741" spans="1:38" x14ac:dyDescent="0.25">
      <c r="A741" t="s">
        <v>140</v>
      </c>
      <c r="B741" t="s">
        <v>36</v>
      </c>
      <c r="C741" t="s">
        <v>4</v>
      </c>
      <c r="K741" s="25">
        <f>(Table2[[#This Row],[Home Pace]]/100)*(VLOOKUP(Table2[[#This Row],[Home/Neutral]],home_lookup,8,FALSE)+VLOOKUP(Table2[[#This Row],[Home/Neutral]],OFR_lookup,2,FALSE)+VLOOKUP(Table2[[#This Row],[Visitor/Neutral]],def_diff_lookup,6,FALSE))</f>
        <v>101.25841156604042</v>
      </c>
      <c r="L741" s="25"/>
      <c r="M741" s="25">
        <f>(Table2[[#This Row],[Away Pace]]/100)*(VLOOKUP(Table2[[#This Row],[Visitor/Neutral]],OFR_lookup,2,FALSE)+VLOOKUP(Table2[[#This Row],[Home/Neutral]],def_diff_lookup,6,FALSE))</f>
        <v>113.708504</v>
      </c>
      <c r="N741" s="25"/>
      <c r="O741" s="25"/>
      <c r="P741">
        <f>VLOOKUP(Table2[[#This Row],[Home/Neutral]],pace_lookup,7,FALSE)</f>
        <v>102.2</v>
      </c>
      <c r="Q741" s="5">
        <f>VLOOKUP(Table2[[#This Row],[Visitor/Neutral]],pace_lookup,7,FALSE)</f>
        <v>96.6</v>
      </c>
      <c r="R741" s="9"/>
      <c r="V741" s="2">
        <f>-home-VLOOKUP(Table2[[#This Row],[Home/Neutral]],rtg_vlookup,4,FALSE)+VLOOKUP(Table2[[#This Row],[Visitor/Neutral]],rtg_vlookup,4,FALSE)</f>
        <v>18.114881516587669</v>
      </c>
      <c r="W741" s="25"/>
      <c r="X741" s="2"/>
      <c r="Y741" s="2">
        <f>Table2[[#This Row],[Away EV]]-Table2[[#This Row],[Home EV]]</f>
        <v>12.450092433959583</v>
      </c>
      <c r="Z741" s="33"/>
      <c r="AA741" s="34"/>
      <c r="AB741" s="5" t="b">
        <f>IF(VLOOKUP(Table2[[#This Row],[Home/Neutral]],division_lookup,9,FALSE)=VLOOKUP(Table2[[#This Row],[Visitor/Neutral]],division_lookup,9,FALSE),TRUE,FALSE)</f>
        <v>1</v>
      </c>
      <c r="AC741" s="19" t="str">
        <f>VLOOKUP(Table2[[#This Row],[Home/Neutral]],division_lookup,9,FALSE)</f>
        <v>P</v>
      </c>
      <c r="AD741" s="19"/>
      <c r="AE741" s="19" t="str">
        <f>IF(Table2[[#This Row],[Total EV ®]]&lt;Table2[[#This Row],[Total (V)]],"UNDER","OVER")</f>
        <v>OVER</v>
      </c>
      <c r="AF741" s="30">
        <f>Table2[[#This Row],[(A) Spread]]-Table2[[#This Row],[Spread (V)]]</f>
        <v>0</v>
      </c>
      <c r="AG741" s="19"/>
      <c r="AH741" s="2">
        <f>Table2[[#This Row],[EV]]-Table2[[#This Row],[Spread (V)]]</f>
        <v>12.450092433959583</v>
      </c>
      <c r="AI741" s="22">
        <f>Table2[[#This Row],[(A)]]-Table2[[#This Row],[Spread]]</f>
        <v>18.114881516587669</v>
      </c>
      <c r="AJ741" s="1">
        <f>Table2[[#This Row],[(A) Err]]^2</f>
        <v>328.14893236000955</v>
      </c>
      <c r="AK741" s="6">
        <f>Table2[[#This Row],[EV]]-Table2[[#This Row],[Spread]]</f>
        <v>12.450092433959583</v>
      </c>
      <c r="AL741" s="1">
        <f>Table2[[#This Row],[EV Err]]^2</f>
        <v>155.00480161413765</v>
      </c>
    </row>
    <row r="742" spans="1:38" x14ac:dyDescent="0.25">
      <c r="A742" t="s">
        <v>140</v>
      </c>
      <c r="B742" t="s">
        <v>20</v>
      </c>
      <c r="C742" t="s">
        <v>30</v>
      </c>
      <c r="K742" s="25">
        <f>(Table2[[#This Row],[Home Pace]]/100)*(VLOOKUP(Table2[[#This Row],[Home/Neutral]],home_lookup,8,FALSE)+VLOOKUP(Table2[[#This Row],[Home/Neutral]],OFR_lookup,2,FALSE)+VLOOKUP(Table2[[#This Row],[Visitor/Neutral]],def_diff_lookup,6,FALSE))</f>
        <v>105.66497528915178</v>
      </c>
      <c r="L742" s="25"/>
      <c r="M742" s="25">
        <f>(Table2[[#This Row],[Away Pace]]/100)*(VLOOKUP(Table2[[#This Row],[Visitor/Neutral]],OFR_lookup,2,FALSE)+VLOOKUP(Table2[[#This Row],[Home/Neutral]],def_diff_lookup,6,FALSE))</f>
        <v>100.93400533333335</v>
      </c>
      <c r="N742" s="25"/>
      <c r="O742" s="25"/>
      <c r="P742">
        <f>VLOOKUP(Table2[[#This Row],[Home/Neutral]],pace_lookup,7,FALSE)</f>
        <v>90.9</v>
      </c>
      <c r="Q742" s="5">
        <f>VLOOKUP(Table2[[#This Row],[Visitor/Neutral]],pace_lookup,7,FALSE)</f>
        <v>96.8</v>
      </c>
      <c r="R742" s="9"/>
      <c r="V742" s="2">
        <f>-home-VLOOKUP(Table2[[#This Row],[Home/Neutral]],rtg_vlookup,4,FALSE)+VLOOKUP(Table2[[#This Row],[Visitor/Neutral]],rtg_vlookup,4,FALSE)</f>
        <v>-6.9751184834123308</v>
      </c>
      <c r="W742" s="25"/>
      <c r="X742" s="2"/>
      <c r="Y742" s="2">
        <f>Table2[[#This Row],[Away EV]]-Table2[[#This Row],[Home EV]]</f>
        <v>-4.7309699558184377</v>
      </c>
      <c r="Z742" s="33"/>
      <c r="AA742" s="34"/>
      <c r="AB742" s="5" t="b">
        <f>IF(VLOOKUP(Table2[[#This Row],[Home/Neutral]],division_lookup,9,FALSE)=VLOOKUP(Table2[[#This Row],[Visitor/Neutral]],division_lookup,9,FALSE),TRUE,FALSE)</f>
        <v>0</v>
      </c>
      <c r="AC742" s="19" t="str">
        <f>VLOOKUP(Table2[[#This Row],[Home/Neutral]],division_lookup,9,FALSE)</f>
        <v>NW</v>
      </c>
      <c r="AD742" s="19"/>
      <c r="AE742" s="19" t="str">
        <f>IF(Table2[[#This Row],[Total EV ®]]&lt;Table2[[#This Row],[Total (V)]],"UNDER","OVER")</f>
        <v>OVER</v>
      </c>
      <c r="AF742" s="30">
        <f>Table2[[#This Row],[(A) Spread]]-Table2[[#This Row],[Spread (V)]]</f>
        <v>0</v>
      </c>
      <c r="AG742" s="19"/>
      <c r="AH742" s="2">
        <f>Table2[[#This Row],[EV]]-Table2[[#This Row],[Spread (V)]]</f>
        <v>-4.7309699558184377</v>
      </c>
      <c r="AI742" s="22">
        <f>Table2[[#This Row],[(A)]]-Table2[[#This Row],[Spread]]</f>
        <v>-6.9751184834123308</v>
      </c>
      <c r="AJ742" s="1">
        <f>Table2[[#This Row],[(A) Err]]^2</f>
        <v>48.652277857640335</v>
      </c>
      <c r="AK742" s="6">
        <f>Table2[[#This Row],[EV]]-Table2[[#This Row],[Spread]]</f>
        <v>-4.7309699558184377</v>
      </c>
      <c r="AL742" s="1">
        <f>Table2[[#This Row],[EV Err]]^2</f>
        <v>22.382076722856709</v>
      </c>
    </row>
    <row r="743" spans="1:38" x14ac:dyDescent="0.25">
      <c r="A743" t="s">
        <v>141</v>
      </c>
      <c r="B743" t="s">
        <v>17</v>
      </c>
      <c r="C743" t="s">
        <v>11</v>
      </c>
      <c r="K743" s="25">
        <f>(Table2[[#This Row],[Home Pace]]/100)*(VLOOKUP(Table2[[#This Row],[Home/Neutral]],home_lookup,8,FALSE)+VLOOKUP(Table2[[#This Row],[Home/Neutral]],OFR_lookup,2,FALSE)+VLOOKUP(Table2[[#This Row],[Visitor/Neutral]],def_diff_lookup,6,FALSE))</f>
        <v>101.75492692873544</v>
      </c>
      <c r="L743" s="25"/>
      <c r="M743" s="25">
        <f>(Table2[[#This Row],[Away Pace]]/100)*(VLOOKUP(Table2[[#This Row],[Visitor/Neutral]],OFR_lookup,2,FALSE)+VLOOKUP(Table2[[#This Row],[Home/Neutral]],def_diff_lookup,6,FALSE))</f>
        <v>107.78633466666668</v>
      </c>
      <c r="N743" s="25"/>
      <c r="O743" s="25"/>
      <c r="P743">
        <f>VLOOKUP(Table2[[#This Row],[Home/Neutral]],pace_lookup,7,FALSE)</f>
        <v>96.7</v>
      </c>
      <c r="Q743" s="5">
        <f>VLOOKUP(Table2[[#This Row],[Visitor/Neutral]],pace_lookup,7,FALSE)</f>
        <v>99.7</v>
      </c>
      <c r="R743" s="9"/>
      <c r="V743" s="2">
        <f>-home-VLOOKUP(Table2[[#This Row],[Home/Neutral]],rtg_vlookup,4,FALSE)+VLOOKUP(Table2[[#This Row],[Visitor/Neutral]],rtg_vlookup,4,FALSE)</f>
        <v>-0.64511848341233069</v>
      </c>
      <c r="W743" s="25"/>
      <c r="X743" s="2"/>
      <c r="Y743" s="2">
        <f>Table2[[#This Row],[Away EV]]-Table2[[#This Row],[Home EV]]</f>
        <v>6.0314077379312323</v>
      </c>
      <c r="Z743" s="33"/>
      <c r="AA743" s="34"/>
      <c r="AB743" s="5" t="b">
        <f>IF(VLOOKUP(Table2[[#This Row],[Home/Neutral]],division_lookup,9,FALSE)=VLOOKUP(Table2[[#This Row],[Visitor/Neutral]],division_lookup,9,FALSE),TRUE,FALSE)</f>
        <v>0</v>
      </c>
      <c r="AC743" s="19" t="str">
        <f>VLOOKUP(Table2[[#This Row],[Home/Neutral]],division_lookup,9,FALSE)</f>
        <v>SW</v>
      </c>
      <c r="AD743" s="19"/>
      <c r="AE743" s="19" t="str">
        <f>IF(Table2[[#This Row],[Total EV ®]]&lt;Table2[[#This Row],[Total (V)]],"UNDER","OVER")</f>
        <v>OVER</v>
      </c>
      <c r="AF743" s="30">
        <f>Table2[[#This Row],[(A) Spread]]-Table2[[#This Row],[Spread (V)]]</f>
        <v>0</v>
      </c>
      <c r="AG743" s="19"/>
      <c r="AH743" s="2">
        <f>Table2[[#This Row],[EV]]-Table2[[#This Row],[Spread (V)]]</f>
        <v>6.0314077379312323</v>
      </c>
      <c r="AI743" s="22">
        <f>Table2[[#This Row],[(A)]]-Table2[[#This Row],[Spread]]</f>
        <v>-0.64511848341233069</v>
      </c>
      <c r="AJ743" s="1">
        <f>Table2[[#This Row],[(A) Err]]^2</f>
        <v>0.41617785764022558</v>
      </c>
      <c r="AK743" s="6">
        <f>Table2[[#This Row],[EV]]-Table2[[#This Row],[Spread]]</f>
        <v>6.0314077379312323</v>
      </c>
      <c r="AL743" s="1">
        <f>Table2[[#This Row],[EV Err]]^2</f>
        <v>36.377879301176748</v>
      </c>
    </row>
    <row r="744" spans="1:38" x14ac:dyDescent="0.25">
      <c r="A744" t="s">
        <v>141</v>
      </c>
      <c r="B744" t="s">
        <v>4</v>
      </c>
      <c r="C744" t="s">
        <v>10</v>
      </c>
      <c r="K744" s="25">
        <f>(Table2[[#This Row],[Home Pace]]/100)*(VLOOKUP(Table2[[#This Row],[Home/Neutral]],home_lookup,8,FALSE)+VLOOKUP(Table2[[#This Row],[Home/Neutral]],OFR_lookup,2,FALSE)+VLOOKUP(Table2[[#This Row],[Visitor/Neutral]],def_diff_lookup,6,FALSE))</f>
        <v>103.82736781393444</v>
      </c>
      <c r="L744" s="25"/>
      <c r="M744" s="25">
        <f>(Table2[[#This Row],[Away Pace]]/100)*(VLOOKUP(Table2[[#This Row],[Visitor/Neutral]],OFR_lookup,2,FALSE)+VLOOKUP(Table2[[#This Row],[Home/Neutral]],def_diff_lookup,6,FALSE))</f>
        <v>110.60147866666667</v>
      </c>
      <c r="N744" s="25"/>
      <c r="O744" s="25"/>
      <c r="P744">
        <f>VLOOKUP(Table2[[#This Row],[Home/Neutral]],pace_lookup,7,FALSE)</f>
        <v>96.6</v>
      </c>
      <c r="Q744" s="5">
        <f>VLOOKUP(Table2[[#This Row],[Visitor/Neutral]],pace_lookup,7,FALSE)</f>
        <v>100.3</v>
      </c>
      <c r="R744" s="9"/>
      <c r="V744" s="2">
        <f>-home-VLOOKUP(Table2[[#This Row],[Home/Neutral]],rtg_vlookup,4,FALSE)+VLOOKUP(Table2[[#This Row],[Visitor/Neutral]],rtg_vlookup,4,FALSE)</f>
        <v>-8.8851184834123309</v>
      </c>
      <c r="W744" s="25"/>
      <c r="X744" s="2"/>
      <c r="Y744" s="2">
        <f>Table2[[#This Row],[Away EV]]-Table2[[#This Row],[Home EV]]</f>
        <v>6.7741108527322211</v>
      </c>
      <c r="Z744" s="33"/>
      <c r="AA744" s="34"/>
      <c r="AB744" s="5" t="b">
        <f>IF(VLOOKUP(Table2[[#This Row],[Home/Neutral]],division_lookup,9,FALSE)=VLOOKUP(Table2[[#This Row],[Visitor/Neutral]],division_lookup,9,FALSE),TRUE,FALSE)</f>
        <v>1</v>
      </c>
      <c r="AC744" s="19" t="str">
        <f>VLOOKUP(Table2[[#This Row],[Home/Neutral]],division_lookup,9,FALSE)</f>
        <v>P</v>
      </c>
      <c r="AD744" s="19"/>
      <c r="AE744" s="19" t="str">
        <f>IF(Table2[[#This Row],[Total EV ®]]&lt;Table2[[#This Row],[Total (V)]],"UNDER","OVER")</f>
        <v>OVER</v>
      </c>
      <c r="AF744" s="30">
        <f>Table2[[#This Row],[(A) Spread]]-Table2[[#This Row],[Spread (V)]]</f>
        <v>0</v>
      </c>
      <c r="AG744" s="19"/>
      <c r="AH744" s="2">
        <f>Table2[[#This Row],[EV]]-Table2[[#This Row],[Spread (V)]]</f>
        <v>6.7741108527322211</v>
      </c>
      <c r="AI744" s="22">
        <f>Table2[[#This Row],[(A)]]-Table2[[#This Row],[Spread]]</f>
        <v>-8.8851184834123309</v>
      </c>
      <c r="AJ744" s="1">
        <f>Table2[[#This Row],[(A) Err]]^2</f>
        <v>78.945330464275443</v>
      </c>
      <c r="AK744" s="6">
        <f>Table2[[#This Row],[EV]]-Table2[[#This Row],[Spread]]</f>
        <v>6.7741108527322211</v>
      </c>
      <c r="AL744" s="1">
        <f>Table2[[#This Row],[EV Err]]^2</f>
        <v>45.888577845104457</v>
      </c>
    </row>
    <row r="745" spans="1:38" x14ac:dyDescent="0.25">
      <c r="A745" t="s">
        <v>141</v>
      </c>
      <c r="B745" t="s">
        <v>6</v>
      </c>
      <c r="C745" t="s">
        <v>39</v>
      </c>
      <c r="K745" s="25">
        <f>(Table2[[#This Row],[Home Pace]]/100)*(VLOOKUP(Table2[[#This Row],[Home/Neutral]],home_lookup,8,FALSE)+VLOOKUP(Table2[[#This Row],[Home/Neutral]],OFR_lookup,2,FALSE)+VLOOKUP(Table2[[#This Row],[Visitor/Neutral]],def_diff_lookup,6,FALSE))</f>
        <v>105.84318787062243</v>
      </c>
      <c r="L745" s="25"/>
      <c r="M745" s="25">
        <f>(Table2[[#This Row],[Away Pace]]/100)*(VLOOKUP(Table2[[#This Row],[Visitor/Neutral]],OFR_lookup,2,FALSE)+VLOOKUP(Table2[[#This Row],[Home/Neutral]],def_diff_lookup,6,FALSE))</f>
        <v>95.31665000000001</v>
      </c>
      <c r="N745" s="25"/>
      <c r="O745" s="25"/>
      <c r="P745">
        <f>VLOOKUP(Table2[[#This Row],[Home/Neutral]],pace_lookup,7,FALSE)</f>
        <v>93.1</v>
      </c>
      <c r="Q745" s="5">
        <f>VLOOKUP(Table2[[#This Row],[Visitor/Neutral]],pace_lookup,7,FALSE)</f>
        <v>97.5</v>
      </c>
      <c r="R745" s="9"/>
      <c r="V745" s="2">
        <f>-home-VLOOKUP(Table2[[#This Row],[Home/Neutral]],rtg_vlookup,4,FALSE)+VLOOKUP(Table2[[#This Row],[Visitor/Neutral]],rtg_vlookup,4,FALSE)</f>
        <v>-18.99511848341233</v>
      </c>
      <c r="W745" s="25"/>
      <c r="X745" s="2"/>
      <c r="Y745" s="2">
        <f>Table2[[#This Row],[Away EV]]-Table2[[#This Row],[Home EV]]</f>
        <v>-10.52653787062242</v>
      </c>
      <c r="Z745" s="33"/>
      <c r="AA745" s="34"/>
      <c r="AB745" s="5" t="b">
        <f>IF(VLOOKUP(Table2[[#This Row],[Home/Neutral]],division_lookup,9,FALSE)=VLOOKUP(Table2[[#This Row],[Visitor/Neutral]],division_lookup,9,FALSE),TRUE,FALSE)</f>
        <v>0</v>
      </c>
      <c r="AC745" s="19" t="str">
        <f>VLOOKUP(Table2[[#This Row],[Home/Neutral]],division_lookup,9,FALSE)</f>
        <v>SW</v>
      </c>
      <c r="AD745" s="19"/>
      <c r="AE745" s="19" t="str">
        <f>IF(Table2[[#This Row],[Total EV ®]]&lt;Table2[[#This Row],[Total (V)]],"UNDER","OVER")</f>
        <v>OVER</v>
      </c>
      <c r="AF745" s="30">
        <f>Table2[[#This Row],[(A) Spread]]-Table2[[#This Row],[Spread (V)]]</f>
        <v>0</v>
      </c>
      <c r="AG745" s="19"/>
      <c r="AH745" s="2">
        <f>Table2[[#This Row],[EV]]-Table2[[#This Row],[Spread (V)]]</f>
        <v>-10.52653787062242</v>
      </c>
      <c r="AI745" s="22">
        <f>Table2[[#This Row],[(A)]]-Table2[[#This Row],[Spread]]</f>
        <v>-18.99511848341233</v>
      </c>
      <c r="AJ745" s="1">
        <f>Table2[[#This Row],[(A) Err]]^2</f>
        <v>360.81452619887273</v>
      </c>
      <c r="AK745" s="6">
        <f>Table2[[#This Row],[EV]]-Table2[[#This Row],[Spread]]</f>
        <v>-10.52653787062242</v>
      </c>
      <c r="AL745" s="1">
        <f>Table2[[#This Row],[EV Err]]^2</f>
        <v>110.80799954164799</v>
      </c>
    </row>
    <row r="746" spans="1:38" x14ac:dyDescent="0.25">
      <c r="A746" t="s">
        <v>141</v>
      </c>
      <c r="B746" t="s">
        <v>28</v>
      </c>
      <c r="C746" t="s">
        <v>24</v>
      </c>
      <c r="K746" s="25">
        <f>(Table2[[#This Row],[Home Pace]]/100)*(VLOOKUP(Table2[[#This Row],[Home/Neutral]],home_lookup,8,FALSE)+VLOOKUP(Table2[[#This Row],[Home/Neutral]],OFR_lookup,2,FALSE)+VLOOKUP(Table2[[#This Row],[Visitor/Neutral]],def_diff_lookup,6,FALSE))</f>
        <v>112.13852553204273</v>
      </c>
      <c r="L746" s="25"/>
      <c r="M746" s="25">
        <f>(Table2[[#This Row],[Away Pace]]/100)*(VLOOKUP(Table2[[#This Row],[Visitor/Neutral]],OFR_lookup,2,FALSE)+VLOOKUP(Table2[[#This Row],[Home/Neutral]],def_diff_lookup,6,FALSE))</f>
        <v>113.39715600000002</v>
      </c>
      <c r="N746" s="25"/>
      <c r="O746" s="25"/>
      <c r="P746">
        <f>VLOOKUP(Table2[[#This Row],[Home/Neutral]],pace_lookup,7,FALSE)</f>
        <v>96.3</v>
      </c>
      <c r="Q746" s="5">
        <f>VLOOKUP(Table2[[#This Row],[Visitor/Neutral]],pace_lookup,7,FALSE)</f>
        <v>99.9</v>
      </c>
      <c r="R746" s="9"/>
      <c r="V746" s="2">
        <f>-home-VLOOKUP(Table2[[#This Row],[Home/Neutral]],rtg_vlookup,4,FALSE)+VLOOKUP(Table2[[#This Row],[Visitor/Neutral]],rtg_vlookup,4,FALSE)</f>
        <v>-0.55511848341233061</v>
      </c>
      <c r="W746" s="25"/>
      <c r="X746" s="2"/>
      <c r="Y746" s="2">
        <f>Table2[[#This Row],[Away EV]]-Table2[[#This Row],[Home EV]]</f>
        <v>1.2586304679572891</v>
      </c>
      <c r="Z746" s="33"/>
      <c r="AA746" s="34"/>
      <c r="AB746" s="5" t="b">
        <f>IF(VLOOKUP(Table2[[#This Row],[Home/Neutral]],division_lookup,9,FALSE)=VLOOKUP(Table2[[#This Row],[Visitor/Neutral]],division_lookup,9,FALSE),TRUE,FALSE)</f>
        <v>0</v>
      </c>
      <c r="AC746" s="19" t="str">
        <f>VLOOKUP(Table2[[#This Row],[Home/Neutral]],division_lookup,9,FALSE)</f>
        <v>SE</v>
      </c>
      <c r="AD746" s="19"/>
      <c r="AE746" s="19" t="str">
        <f>IF(Table2[[#This Row],[Total EV ®]]&lt;Table2[[#This Row],[Total (V)]],"UNDER","OVER")</f>
        <v>OVER</v>
      </c>
      <c r="AF746" s="30">
        <f>Table2[[#This Row],[(A) Spread]]-Table2[[#This Row],[Spread (V)]]</f>
        <v>0</v>
      </c>
      <c r="AG746" s="19"/>
      <c r="AH746" s="2">
        <f>Table2[[#This Row],[EV]]-Table2[[#This Row],[Spread (V)]]</f>
        <v>1.2586304679572891</v>
      </c>
      <c r="AI746" s="22">
        <f>Table2[[#This Row],[(A)]]-Table2[[#This Row],[Spread]]</f>
        <v>-0.55511848341233061</v>
      </c>
      <c r="AJ746" s="1">
        <f>Table2[[#This Row],[(A) Err]]^2</f>
        <v>0.30815653062600595</v>
      </c>
      <c r="AK746" s="6">
        <f>Table2[[#This Row],[EV]]-Table2[[#This Row],[Spread]]</f>
        <v>1.2586304679572891</v>
      </c>
      <c r="AL746" s="1">
        <f>Table2[[#This Row],[EV Err]]^2</f>
        <v>1.5841506548703845</v>
      </c>
    </row>
    <row r="747" spans="1:38" x14ac:dyDescent="0.25">
      <c r="A747" t="s">
        <v>142</v>
      </c>
      <c r="B747" t="s">
        <v>26</v>
      </c>
      <c r="C747" t="s">
        <v>24</v>
      </c>
      <c r="K747" s="25">
        <f>(Table2[[#This Row],[Home Pace]]/100)*(VLOOKUP(Table2[[#This Row],[Home/Neutral]],home_lookup,8,FALSE)+VLOOKUP(Table2[[#This Row],[Home/Neutral]],OFR_lookup,2,FALSE)+VLOOKUP(Table2[[#This Row],[Visitor/Neutral]],def_diff_lookup,6,FALSE))</f>
        <v>110.65296358918158</v>
      </c>
      <c r="L747" s="25"/>
      <c r="M747" s="25">
        <f>(Table2[[#This Row],[Away Pace]]/100)*(VLOOKUP(Table2[[#This Row],[Visitor/Neutral]],OFR_lookup,2,FALSE)+VLOOKUP(Table2[[#This Row],[Home/Neutral]],def_diff_lookup,6,FALSE))</f>
        <v>112.16838600000003</v>
      </c>
      <c r="N747" s="25"/>
      <c r="O747" s="25"/>
      <c r="P747">
        <f>VLOOKUP(Table2[[#This Row],[Home/Neutral]],pace_lookup,7,FALSE)</f>
        <v>96</v>
      </c>
      <c r="Q747" s="5">
        <f>VLOOKUP(Table2[[#This Row],[Visitor/Neutral]],pace_lookup,7,FALSE)</f>
        <v>99.9</v>
      </c>
      <c r="R747" s="9"/>
      <c r="V747" s="2">
        <f>-home-VLOOKUP(Table2[[#This Row],[Home/Neutral]],rtg_vlookup,4,FALSE)+VLOOKUP(Table2[[#This Row],[Visitor/Neutral]],rtg_vlookup,4,FALSE)</f>
        <v>-2.2451184834123312</v>
      </c>
      <c r="W747" s="25"/>
      <c r="X747" s="2"/>
      <c r="Y747" s="2">
        <f>Table2[[#This Row],[Away EV]]-Table2[[#This Row],[Home EV]]</f>
        <v>1.5154224108184451</v>
      </c>
      <c r="Z747" s="33"/>
      <c r="AA747" s="34"/>
      <c r="AB747" s="5" t="b">
        <f>IF(VLOOKUP(Table2[[#This Row],[Home/Neutral]],division_lookup,9,FALSE)=VLOOKUP(Table2[[#This Row],[Visitor/Neutral]],division_lookup,9,FALSE),TRUE,FALSE)</f>
        <v>0</v>
      </c>
      <c r="AC747" s="19" t="str">
        <f>VLOOKUP(Table2[[#This Row],[Home/Neutral]],division_lookup,9,FALSE)</f>
        <v>A</v>
      </c>
      <c r="AD747" s="19"/>
      <c r="AE747" s="19" t="str">
        <f>IF(Table2[[#This Row],[Total EV ®]]&lt;Table2[[#This Row],[Total (V)]],"UNDER","OVER")</f>
        <v>OVER</v>
      </c>
      <c r="AF747" s="30">
        <f>Table2[[#This Row],[(A) Spread]]-Table2[[#This Row],[Spread (V)]]</f>
        <v>0</v>
      </c>
      <c r="AG747" s="19"/>
      <c r="AH747" s="2">
        <f>Table2[[#This Row],[EV]]-Table2[[#This Row],[Spread (V)]]</f>
        <v>1.5154224108184451</v>
      </c>
      <c r="AI747" s="22">
        <f>Table2[[#This Row],[(A)]]-Table2[[#This Row],[Spread]]</f>
        <v>-2.2451184834123312</v>
      </c>
      <c r="AJ747" s="1">
        <f>Table2[[#This Row],[(A) Err]]^2</f>
        <v>5.0405570045596866</v>
      </c>
      <c r="AK747" s="6">
        <f>Table2[[#This Row],[EV]]-Table2[[#This Row],[Spread]]</f>
        <v>1.5154224108184451</v>
      </c>
      <c r="AL747" s="1">
        <f>Table2[[#This Row],[EV Err]]^2</f>
        <v>2.2965050832107883</v>
      </c>
    </row>
    <row r="748" spans="1:38" x14ac:dyDescent="0.25">
      <c r="A748" t="s">
        <v>142</v>
      </c>
      <c r="B748" t="s">
        <v>35</v>
      </c>
      <c r="C748" t="s">
        <v>33</v>
      </c>
      <c r="K748" s="25">
        <f>(Table2[[#This Row],[Home Pace]]/100)*(VLOOKUP(Table2[[#This Row],[Home/Neutral]],home_lookup,8,FALSE)+VLOOKUP(Table2[[#This Row],[Home/Neutral]],OFR_lookup,2,FALSE)+VLOOKUP(Table2[[#This Row],[Visitor/Neutral]],def_diff_lookup,6,FALSE))</f>
        <v>110.15461121209626</v>
      </c>
      <c r="L748" s="25"/>
      <c r="M748" s="25">
        <f>(Table2[[#This Row],[Away Pace]]/100)*(VLOOKUP(Table2[[#This Row],[Visitor/Neutral]],OFR_lookup,2,FALSE)+VLOOKUP(Table2[[#This Row],[Home/Neutral]],def_diff_lookup,6,FALSE))</f>
        <v>105.19249466666666</v>
      </c>
      <c r="N748" s="25"/>
      <c r="O748" s="25"/>
      <c r="P748">
        <f>VLOOKUP(Table2[[#This Row],[Home/Neutral]],pace_lookup,7,FALSE)</f>
        <v>102.2</v>
      </c>
      <c r="Q748" s="5">
        <f>VLOOKUP(Table2[[#This Row],[Visitor/Neutral]],pace_lookup,7,FALSE)</f>
        <v>98.2</v>
      </c>
      <c r="R748" s="9"/>
      <c r="V748" s="2">
        <f>-home-VLOOKUP(Table2[[#This Row],[Home/Neutral]],rtg_vlookup,4,FALSE)+VLOOKUP(Table2[[#This Row],[Visitor/Neutral]],rtg_vlookup,4,FALSE)</f>
        <v>-1.6551184834123314</v>
      </c>
      <c r="W748" s="25"/>
      <c r="X748" s="2"/>
      <c r="Y748" s="2">
        <f>Table2[[#This Row],[Away EV]]-Table2[[#This Row],[Home EV]]</f>
        <v>-4.9621165454295948</v>
      </c>
      <c r="Z748" s="33"/>
      <c r="AA748" s="34"/>
      <c r="AB748" s="5" t="b">
        <f>IF(VLOOKUP(Table2[[#This Row],[Home/Neutral]],division_lookup,9,FALSE)=VLOOKUP(Table2[[#This Row],[Visitor/Neutral]],division_lookup,9,FALSE),TRUE,FALSE)</f>
        <v>0</v>
      </c>
      <c r="AC748" s="19" t="str">
        <f>VLOOKUP(Table2[[#This Row],[Home/Neutral]],division_lookup,9,FALSE)</f>
        <v>A</v>
      </c>
      <c r="AD748" s="19"/>
      <c r="AE748" s="19" t="str">
        <f>IF(Table2[[#This Row],[Total EV ®]]&lt;Table2[[#This Row],[Total (V)]],"UNDER","OVER")</f>
        <v>OVER</v>
      </c>
      <c r="AF748" s="30">
        <f>Table2[[#This Row],[(A) Spread]]-Table2[[#This Row],[Spread (V)]]</f>
        <v>0</v>
      </c>
      <c r="AG748" s="19"/>
      <c r="AH748" s="2">
        <f>Table2[[#This Row],[EV]]-Table2[[#This Row],[Spread (V)]]</f>
        <v>-4.9621165454295948</v>
      </c>
      <c r="AI748" s="22">
        <f>Table2[[#This Row],[(A)]]-Table2[[#This Row],[Spread]]</f>
        <v>-1.6551184834123314</v>
      </c>
      <c r="AJ748" s="1">
        <f>Table2[[#This Row],[(A) Err]]^2</f>
        <v>2.7394171941331358</v>
      </c>
      <c r="AK748" s="6">
        <f>Table2[[#This Row],[EV]]-Table2[[#This Row],[Spread]]</f>
        <v>-4.9621165454295948</v>
      </c>
      <c r="AL748" s="1">
        <f>Table2[[#This Row],[EV Err]]^2</f>
        <v>24.622600610426137</v>
      </c>
    </row>
    <row r="749" spans="1:38" x14ac:dyDescent="0.25">
      <c r="A749" t="s">
        <v>142</v>
      </c>
      <c r="B749" t="s">
        <v>27</v>
      </c>
      <c r="C749" t="s">
        <v>30</v>
      </c>
      <c r="K749" s="25">
        <f>(Table2[[#This Row],[Home Pace]]/100)*(VLOOKUP(Table2[[#This Row],[Home/Neutral]],home_lookup,8,FALSE)+VLOOKUP(Table2[[#This Row],[Home/Neutral]],OFR_lookup,2,FALSE)+VLOOKUP(Table2[[#This Row],[Visitor/Neutral]],def_diff_lookup,6,FALSE))</f>
        <v>106.46595642647259</v>
      </c>
      <c r="L749" s="25"/>
      <c r="M749" s="25">
        <f>(Table2[[#This Row],[Away Pace]]/100)*(VLOOKUP(Table2[[#This Row],[Visitor/Neutral]],OFR_lookup,2,FALSE)+VLOOKUP(Table2[[#This Row],[Home/Neutral]],def_diff_lookup,6,FALSE))</f>
        <v>101.94072533333335</v>
      </c>
      <c r="N749" s="25"/>
      <c r="O749" s="25"/>
      <c r="P749">
        <f>VLOOKUP(Table2[[#This Row],[Home/Neutral]],pace_lookup,7,FALSE)</f>
        <v>99</v>
      </c>
      <c r="Q749" s="5">
        <f>VLOOKUP(Table2[[#This Row],[Visitor/Neutral]],pace_lookup,7,FALSE)</f>
        <v>96.8</v>
      </c>
      <c r="R749" s="9"/>
      <c r="V749" s="2">
        <f>-home-VLOOKUP(Table2[[#This Row],[Home/Neutral]],rtg_vlookup,4,FALSE)+VLOOKUP(Table2[[#This Row],[Visitor/Neutral]],rtg_vlookup,4,FALSE)</f>
        <v>-4.6451184834123307</v>
      </c>
      <c r="W749" s="25"/>
      <c r="X749" s="2"/>
      <c r="Y749" s="2">
        <f>Table2[[#This Row],[Away EV]]-Table2[[#This Row],[Home EV]]</f>
        <v>-4.5252310931392401</v>
      </c>
      <c r="Z749" s="33"/>
      <c r="AA749" s="34"/>
      <c r="AB749" s="5" t="b">
        <f>IF(VLOOKUP(Table2[[#This Row],[Home/Neutral]],division_lookup,9,FALSE)=VLOOKUP(Table2[[#This Row],[Visitor/Neutral]],division_lookup,9,FALSE),TRUE,FALSE)</f>
        <v>0</v>
      </c>
      <c r="AC749" s="19" t="str">
        <f>VLOOKUP(Table2[[#This Row],[Home/Neutral]],division_lookup,9,FALSE)</f>
        <v>NW</v>
      </c>
      <c r="AD749" s="19"/>
      <c r="AE749" s="19" t="str">
        <f>IF(Table2[[#This Row],[Total EV ®]]&lt;Table2[[#This Row],[Total (V)]],"UNDER","OVER")</f>
        <v>OVER</v>
      </c>
      <c r="AF749" s="30">
        <f>Table2[[#This Row],[(A) Spread]]-Table2[[#This Row],[Spread (V)]]</f>
        <v>0</v>
      </c>
      <c r="AG749" s="19"/>
      <c r="AH749" s="2">
        <f>Table2[[#This Row],[EV]]-Table2[[#This Row],[Spread (V)]]</f>
        <v>-4.5252310931392401</v>
      </c>
      <c r="AI749" s="22">
        <f>Table2[[#This Row],[(A)]]-Table2[[#This Row],[Spread]]</f>
        <v>-4.6451184834123307</v>
      </c>
      <c r="AJ749" s="1">
        <f>Table2[[#This Row],[(A) Err]]^2</f>
        <v>21.57712572493887</v>
      </c>
      <c r="AK749" s="6">
        <f>Table2[[#This Row],[EV]]-Table2[[#This Row],[Spread]]</f>
        <v>-4.5252310931392401</v>
      </c>
      <c r="AL749" s="1">
        <f>Table2[[#This Row],[EV Err]]^2</f>
        <v>20.477716446314162</v>
      </c>
    </row>
    <row r="750" spans="1:38" x14ac:dyDescent="0.25">
      <c r="A750" t="s">
        <v>142</v>
      </c>
      <c r="B750" t="s">
        <v>25</v>
      </c>
      <c r="C750" t="s">
        <v>22</v>
      </c>
      <c r="K750" s="25">
        <f>(Table2[[#This Row],[Home Pace]]/100)*(VLOOKUP(Table2[[#This Row],[Home/Neutral]],home_lookup,8,FALSE)+VLOOKUP(Table2[[#This Row],[Home/Neutral]],OFR_lookup,2,FALSE)+VLOOKUP(Table2[[#This Row],[Visitor/Neutral]],def_diff_lookup,6,FALSE))</f>
        <v>107.07646444427257</v>
      </c>
      <c r="L750" s="25"/>
      <c r="M750" s="25">
        <f>(Table2[[#This Row],[Away Pace]]/100)*(VLOOKUP(Table2[[#This Row],[Visitor/Neutral]],OFR_lookup,2,FALSE)+VLOOKUP(Table2[[#This Row],[Home/Neutral]],def_diff_lookup,6,FALSE))</f>
        <v>101.85048133333336</v>
      </c>
      <c r="N750" s="25"/>
      <c r="O750" s="25"/>
      <c r="P750">
        <f>VLOOKUP(Table2[[#This Row],[Home/Neutral]],pace_lookup,7,FALSE)</f>
        <v>94.4</v>
      </c>
      <c r="Q750" s="5">
        <f>VLOOKUP(Table2[[#This Row],[Visitor/Neutral]],pace_lookup,7,FALSE)</f>
        <v>94.7</v>
      </c>
      <c r="R750" s="9"/>
      <c r="V750" s="2">
        <f>-home-VLOOKUP(Table2[[#This Row],[Home/Neutral]],rtg_vlookup,4,FALSE)+VLOOKUP(Table2[[#This Row],[Visitor/Neutral]],rtg_vlookup,4,FALSE)</f>
        <v>-1.8051184834123308</v>
      </c>
      <c r="W750" s="25"/>
      <c r="X750" s="2"/>
      <c r="Y750" s="2">
        <f>Table2[[#This Row],[Away EV]]-Table2[[#This Row],[Home EV]]</f>
        <v>-5.225983110939211</v>
      </c>
      <c r="Z750" s="33"/>
      <c r="AA750" s="34"/>
      <c r="AB750" s="5" t="b">
        <f>IF(VLOOKUP(Table2[[#This Row],[Home/Neutral]],division_lookup,9,FALSE)=VLOOKUP(Table2[[#This Row],[Visitor/Neutral]],division_lookup,9,FALSE),TRUE,FALSE)</f>
        <v>0</v>
      </c>
      <c r="AC750" s="19" t="str">
        <f>VLOOKUP(Table2[[#This Row],[Home/Neutral]],division_lookup,9,FALSE)</f>
        <v>C</v>
      </c>
      <c r="AD750" s="19"/>
      <c r="AE750" s="19" t="str">
        <f>IF(Table2[[#This Row],[Total EV ®]]&lt;Table2[[#This Row],[Total (V)]],"UNDER","OVER")</f>
        <v>OVER</v>
      </c>
      <c r="AF750" s="30">
        <f>Table2[[#This Row],[(A) Spread]]-Table2[[#This Row],[Spread (V)]]</f>
        <v>0</v>
      </c>
      <c r="AG750" s="19"/>
      <c r="AH750" s="2">
        <f>Table2[[#This Row],[EV]]-Table2[[#This Row],[Spread (V)]]</f>
        <v>-5.225983110939211</v>
      </c>
      <c r="AI750" s="22">
        <f>Table2[[#This Row],[(A)]]-Table2[[#This Row],[Spread]]</f>
        <v>-1.8051184834123308</v>
      </c>
      <c r="AJ750" s="1">
        <f>Table2[[#This Row],[(A) Err]]^2</f>
        <v>3.2584527391568332</v>
      </c>
      <c r="AK750" s="6">
        <f>Table2[[#This Row],[EV]]-Table2[[#This Row],[Spread]]</f>
        <v>-5.225983110939211</v>
      </c>
      <c r="AL750" s="1">
        <f>Table2[[#This Row],[EV Err]]^2</f>
        <v>27.310899475821873</v>
      </c>
    </row>
    <row r="751" spans="1:38" x14ac:dyDescent="0.25">
      <c r="A751" t="s">
        <v>142</v>
      </c>
      <c r="B751" t="s">
        <v>17</v>
      </c>
      <c r="C751" t="s">
        <v>13</v>
      </c>
      <c r="K751" s="25">
        <f>(Table2[[#This Row],[Home Pace]]/100)*(VLOOKUP(Table2[[#This Row],[Home/Neutral]],home_lookup,8,FALSE)+VLOOKUP(Table2[[#This Row],[Home/Neutral]],OFR_lookup,2,FALSE)+VLOOKUP(Table2[[#This Row],[Visitor/Neutral]],def_diff_lookup,6,FALSE))</f>
        <v>108.63029692873545</v>
      </c>
      <c r="L751" s="25"/>
      <c r="M751" s="25">
        <f>(Table2[[#This Row],[Away Pace]]/100)*(VLOOKUP(Table2[[#This Row],[Visitor/Neutral]],OFR_lookup,2,FALSE)+VLOOKUP(Table2[[#This Row],[Home/Neutral]],def_diff_lookup,6,FALSE))</f>
        <v>108.24093000000001</v>
      </c>
      <c r="N751" s="25"/>
      <c r="O751" s="25"/>
      <c r="P751">
        <f>VLOOKUP(Table2[[#This Row],[Home/Neutral]],pace_lookup,7,FALSE)</f>
        <v>96.7</v>
      </c>
      <c r="Q751" s="5">
        <f>VLOOKUP(Table2[[#This Row],[Visitor/Neutral]],pace_lookup,7,FALSE)</f>
        <v>94.5</v>
      </c>
      <c r="R751" s="9"/>
      <c r="V751" s="2">
        <f>-home-VLOOKUP(Table2[[#This Row],[Home/Neutral]],rtg_vlookup,4,FALSE)+VLOOKUP(Table2[[#This Row],[Visitor/Neutral]],rtg_vlookup,4,FALSE)</f>
        <v>-1.3251184834123313</v>
      </c>
      <c r="W751" s="25"/>
      <c r="X751" s="2"/>
      <c r="Y751" s="2">
        <f>Table2[[#This Row],[Away EV]]-Table2[[#This Row],[Home EV]]</f>
        <v>-0.38936692873544132</v>
      </c>
      <c r="Z751" s="33"/>
      <c r="AA751" s="34"/>
      <c r="AB751" s="5" t="b">
        <f>IF(VLOOKUP(Table2[[#This Row],[Home/Neutral]],division_lookup,9,FALSE)=VLOOKUP(Table2[[#This Row],[Visitor/Neutral]],division_lookup,9,FALSE),TRUE,FALSE)</f>
        <v>0</v>
      </c>
      <c r="AC751" s="19" t="str">
        <f>VLOOKUP(Table2[[#This Row],[Home/Neutral]],division_lookup,9,FALSE)</f>
        <v>SW</v>
      </c>
      <c r="AD751" s="19"/>
      <c r="AE751" s="19" t="str">
        <f>IF(Table2[[#This Row],[Total EV ®]]&lt;Table2[[#This Row],[Total (V)]],"UNDER","OVER")</f>
        <v>OVER</v>
      </c>
      <c r="AF751" s="30">
        <f>Table2[[#This Row],[(A) Spread]]-Table2[[#This Row],[Spread (V)]]</f>
        <v>0</v>
      </c>
      <c r="AG751" s="19"/>
      <c r="AH751" s="2">
        <f>Table2[[#This Row],[EV]]-Table2[[#This Row],[Spread (V)]]</f>
        <v>-0.38936692873544132</v>
      </c>
      <c r="AI751" s="22">
        <f>Table2[[#This Row],[(A)]]-Table2[[#This Row],[Spread]]</f>
        <v>-1.3251184834123313</v>
      </c>
      <c r="AJ751" s="1">
        <f>Table2[[#This Row],[(A) Err]]^2</f>
        <v>1.7559389950809969</v>
      </c>
      <c r="AK751" s="6">
        <f>Table2[[#This Row],[EV]]-Table2[[#This Row],[Spread]]</f>
        <v>-0.38936692873544132</v>
      </c>
      <c r="AL751" s="1">
        <f>Table2[[#This Row],[EV Err]]^2</f>
        <v>0.15160660519287025</v>
      </c>
    </row>
    <row r="752" spans="1:38" x14ac:dyDescent="0.25">
      <c r="A752" t="s">
        <v>142</v>
      </c>
      <c r="B752" t="s">
        <v>18</v>
      </c>
      <c r="C752" t="s">
        <v>23</v>
      </c>
      <c r="K752" s="25">
        <f>(Table2[[#This Row],[Home Pace]]/100)*(VLOOKUP(Table2[[#This Row],[Home/Neutral]],home_lookup,8,FALSE)+VLOOKUP(Table2[[#This Row],[Home/Neutral]],OFR_lookup,2,FALSE)+VLOOKUP(Table2[[#This Row],[Visitor/Neutral]],def_diff_lookup,6,FALSE))</f>
        <v>98.517156160211329</v>
      </c>
      <c r="L752" s="25"/>
      <c r="M752" s="25">
        <f>(Table2[[#This Row],[Away Pace]]/100)*(VLOOKUP(Table2[[#This Row],[Visitor/Neutral]],OFR_lookup,2,FALSE)+VLOOKUP(Table2[[#This Row],[Home/Neutral]],def_diff_lookup,6,FALSE))</f>
        <v>92.63011666666668</v>
      </c>
      <c r="N752" s="25"/>
      <c r="O752" s="25"/>
      <c r="P752">
        <f>VLOOKUP(Table2[[#This Row],[Home/Neutral]],pace_lookup,7,FALSE)</f>
        <v>99.5</v>
      </c>
      <c r="Q752" s="5">
        <f>VLOOKUP(Table2[[#This Row],[Visitor/Neutral]],pace_lookup,7,FALSE)</f>
        <v>92.5</v>
      </c>
      <c r="R752" s="9"/>
      <c r="V752" s="2">
        <f>-home-VLOOKUP(Table2[[#This Row],[Home/Neutral]],rtg_vlookup,4,FALSE)+VLOOKUP(Table2[[#This Row],[Visitor/Neutral]],rtg_vlookup,4,FALSE)</f>
        <v>-2.6551184834123309</v>
      </c>
      <c r="W752" s="25"/>
      <c r="X752" s="2"/>
      <c r="Y752" s="2">
        <f>Table2[[#This Row],[Away EV]]-Table2[[#This Row],[Home EV]]</f>
        <v>-5.8870394935446484</v>
      </c>
      <c r="Z752" s="33"/>
      <c r="AA752" s="34"/>
      <c r="AB752" s="5" t="b">
        <f>IF(VLOOKUP(Table2[[#This Row],[Home/Neutral]],division_lookup,9,FALSE)=VLOOKUP(Table2[[#This Row],[Visitor/Neutral]],division_lookup,9,FALSE),TRUE,FALSE)</f>
        <v>0</v>
      </c>
      <c r="AC752" s="19" t="str">
        <f>VLOOKUP(Table2[[#This Row],[Home/Neutral]],division_lookup,9,FALSE)</f>
        <v>NW</v>
      </c>
      <c r="AD752" s="19"/>
      <c r="AE752" s="19" t="str">
        <f>IF(Table2[[#This Row],[Total EV ®]]&lt;Table2[[#This Row],[Total (V)]],"UNDER","OVER")</f>
        <v>OVER</v>
      </c>
      <c r="AF752" s="30">
        <f>Table2[[#This Row],[(A) Spread]]-Table2[[#This Row],[Spread (V)]]</f>
        <v>0</v>
      </c>
      <c r="AG752" s="19"/>
      <c r="AH752" s="2">
        <f>Table2[[#This Row],[EV]]-Table2[[#This Row],[Spread (V)]]</f>
        <v>-5.8870394935446484</v>
      </c>
      <c r="AI752" s="22">
        <f>Table2[[#This Row],[(A)]]-Table2[[#This Row],[Spread]]</f>
        <v>-2.6551184834123309</v>
      </c>
      <c r="AJ752" s="1">
        <f>Table2[[#This Row],[(A) Err]]^2</f>
        <v>7.0496541609577958</v>
      </c>
      <c r="AK752" s="6">
        <f>Table2[[#This Row],[EV]]-Table2[[#This Row],[Spread]]</f>
        <v>-5.8870394935446484</v>
      </c>
      <c r="AL752" s="1">
        <f>Table2[[#This Row],[EV Err]]^2</f>
        <v>34.657233998554432</v>
      </c>
    </row>
    <row r="753" spans="1:38" x14ac:dyDescent="0.25">
      <c r="A753" t="s">
        <v>142</v>
      </c>
      <c r="B753" t="s">
        <v>38</v>
      </c>
      <c r="C753" t="s">
        <v>14</v>
      </c>
      <c r="K753" s="25">
        <f>(Table2[[#This Row],[Home Pace]]/100)*(VLOOKUP(Table2[[#This Row],[Home/Neutral]],home_lookup,8,FALSE)+VLOOKUP(Table2[[#This Row],[Home/Neutral]],OFR_lookup,2,FALSE)+VLOOKUP(Table2[[#This Row],[Visitor/Neutral]],def_diff_lookup,6,FALSE))</f>
        <v>107.7770116789148</v>
      </c>
      <c r="L753" s="25"/>
      <c r="M753" s="25">
        <f>(Table2[[#This Row],[Away Pace]]/100)*(VLOOKUP(Table2[[#This Row],[Visitor/Neutral]],OFR_lookup,2,FALSE)+VLOOKUP(Table2[[#This Row],[Home/Neutral]],def_diff_lookup,6,FALSE))</f>
        <v>109.60474933333336</v>
      </c>
      <c r="N753" s="25"/>
      <c r="O753" s="25"/>
      <c r="P753">
        <f>VLOOKUP(Table2[[#This Row],[Home/Neutral]],pace_lookup,7,FALSE)</f>
        <v>94.2</v>
      </c>
      <c r="Q753" s="5">
        <f>VLOOKUP(Table2[[#This Row],[Visitor/Neutral]],pace_lookup,7,FALSE)</f>
        <v>95.9</v>
      </c>
      <c r="R753" s="9"/>
      <c r="V753" s="2">
        <f>-home-VLOOKUP(Table2[[#This Row],[Home/Neutral]],rtg_vlookup,4,FALSE)+VLOOKUP(Table2[[#This Row],[Visitor/Neutral]],rtg_vlookup,4,FALSE)</f>
        <v>10.934881516587669</v>
      </c>
      <c r="W753" s="25"/>
      <c r="X753" s="2"/>
      <c r="Y753" s="2">
        <f>Table2[[#This Row],[Away EV]]-Table2[[#This Row],[Home EV]]</f>
        <v>1.8277376544185557</v>
      </c>
      <c r="Z753" s="33"/>
      <c r="AA753" s="34"/>
      <c r="AB753" s="5" t="b">
        <f>IF(VLOOKUP(Table2[[#This Row],[Home/Neutral]],division_lookup,9,FALSE)=VLOOKUP(Table2[[#This Row],[Visitor/Neutral]],division_lookup,9,FALSE),TRUE,FALSE)</f>
        <v>0</v>
      </c>
      <c r="AC753" s="19" t="str">
        <f>VLOOKUP(Table2[[#This Row],[Home/Neutral]],division_lookup,9,FALSE)</f>
        <v>SE</v>
      </c>
      <c r="AD753" s="19"/>
      <c r="AE753" s="19" t="str">
        <f>IF(Table2[[#This Row],[Total EV ®]]&lt;Table2[[#This Row],[Total (V)]],"UNDER","OVER")</f>
        <v>OVER</v>
      </c>
      <c r="AF753" s="30">
        <f>Table2[[#This Row],[(A) Spread]]-Table2[[#This Row],[Spread (V)]]</f>
        <v>0</v>
      </c>
      <c r="AG753" s="19"/>
      <c r="AH753" s="2">
        <f>Table2[[#This Row],[EV]]-Table2[[#This Row],[Spread (V)]]</f>
        <v>1.8277376544185557</v>
      </c>
      <c r="AI753" s="22">
        <f>Table2[[#This Row],[(A)]]-Table2[[#This Row],[Spread]]</f>
        <v>10.934881516587669</v>
      </c>
      <c r="AJ753" s="1">
        <f>Table2[[#This Row],[(A) Err]]^2</f>
        <v>119.57163378181065</v>
      </c>
      <c r="AK753" s="6">
        <f>Table2[[#This Row],[EV]]-Table2[[#This Row],[Spread]]</f>
        <v>1.8277376544185557</v>
      </c>
      <c r="AL753" s="1">
        <f>Table2[[#This Row],[EV Err]]^2</f>
        <v>3.340624933379444</v>
      </c>
    </row>
    <row r="754" spans="1:38" x14ac:dyDescent="0.25">
      <c r="A754" t="s">
        <v>142</v>
      </c>
      <c r="B754" t="s">
        <v>32</v>
      </c>
      <c r="C754" t="s">
        <v>37</v>
      </c>
      <c r="K754" s="25">
        <f>(Table2[[#This Row],[Home Pace]]/100)*(VLOOKUP(Table2[[#This Row],[Home/Neutral]],home_lookup,8,FALSE)+VLOOKUP(Table2[[#This Row],[Home/Neutral]],OFR_lookup,2,FALSE)+VLOOKUP(Table2[[#This Row],[Visitor/Neutral]],def_diff_lookup,6,FALSE))</f>
        <v>106.20109112001839</v>
      </c>
      <c r="L754" s="25"/>
      <c r="M754" s="25">
        <f>(Table2[[#This Row],[Away Pace]]/100)*(VLOOKUP(Table2[[#This Row],[Visitor/Neutral]],OFR_lookup,2,FALSE)+VLOOKUP(Table2[[#This Row],[Home/Neutral]],def_diff_lookup,6,FALSE))</f>
        <v>92.855834000000002</v>
      </c>
      <c r="N754" s="25"/>
      <c r="O754" s="25"/>
      <c r="P754">
        <f>VLOOKUP(Table2[[#This Row],[Home/Neutral]],pace_lookup,7,FALSE)</f>
        <v>98.6</v>
      </c>
      <c r="Q754" s="5">
        <f>VLOOKUP(Table2[[#This Row],[Visitor/Neutral]],pace_lookup,7,FALSE)</f>
        <v>92.1</v>
      </c>
      <c r="R754" s="9"/>
      <c r="V754" s="2">
        <f>-home-VLOOKUP(Table2[[#This Row],[Home/Neutral]],rtg_vlookup,4,FALSE)+VLOOKUP(Table2[[#This Row],[Visitor/Neutral]],rtg_vlookup,4,FALSE)</f>
        <v>-7.3251184834123313</v>
      </c>
      <c r="W754" s="25"/>
      <c r="X754" s="2"/>
      <c r="Y754" s="2">
        <f>Table2[[#This Row],[Away EV]]-Table2[[#This Row],[Home EV]]</f>
        <v>-13.345257120018388</v>
      </c>
      <c r="Z754" s="33"/>
      <c r="AA754" s="34"/>
      <c r="AB754" s="5" t="b">
        <f>IF(VLOOKUP(Table2[[#This Row],[Home/Neutral]],division_lookup,9,FALSE)=VLOOKUP(Table2[[#This Row],[Visitor/Neutral]],division_lookup,9,FALSE),TRUE,FALSE)</f>
        <v>0</v>
      </c>
      <c r="AC754" s="19" t="str">
        <f>VLOOKUP(Table2[[#This Row],[Home/Neutral]],division_lookup,9,FALSE)</f>
        <v>NW</v>
      </c>
      <c r="AD754" s="19"/>
      <c r="AE754" s="19" t="str">
        <f>IF(Table2[[#This Row],[Total EV ®]]&lt;Table2[[#This Row],[Total (V)]],"UNDER","OVER")</f>
        <v>OVER</v>
      </c>
      <c r="AF754" s="30">
        <f>Table2[[#This Row],[(A) Spread]]-Table2[[#This Row],[Spread (V)]]</f>
        <v>0</v>
      </c>
      <c r="AG754" s="19"/>
      <c r="AH754" s="2">
        <f>Table2[[#This Row],[EV]]-Table2[[#This Row],[Spread (V)]]</f>
        <v>-13.345257120018388</v>
      </c>
      <c r="AI754" s="22">
        <f>Table2[[#This Row],[(A)]]-Table2[[#This Row],[Spread]]</f>
        <v>-7.3251184834123313</v>
      </c>
      <c r="AJ754" s="1">
        <f>Table2[[#This Row],[(A) Err]]^2</f>
        <v>53.657360796028975</v>
      </c>
      <c r="AK754" s="6">
        <f>Table2[[#This Row],[EV]]-Table2[[#This Row],[Spread]]</f>
        <v>-13.345257120018388</v>
      </c>
      <c r="AL754" s="1">
        <f>Table2[[#This Row],[EV Err]]^2</f>
        <v>178.09588759940149</v>
      </c>
    </row>
    <row r="755" spans="1:38" x14ac:dyDescent="0.25">
      <c r="A755" t="s">
        <v>142</v>
      </c>
      <c r="B755" t="s">
        <v>29</v>
      </c>
      <c r="C755" t="s">
        <v>36</v>
      </c>
      <c r="K755" s="25">
        <f>(Table2[[#This Row],[Home Pace]]/100)*(VLOOKUP(Table2[[#This Row],[Home/Neutral]],home_lookup,8,FALSE)+VLOOKUP(Table2[[#This Row],[Home/Neutral]],OFR_lookup,2,FALSE)+VLOOKUP(Table2[[#This Row],[Visitor/Neutral]],def_diff_lookup,6,FALSE))</f>
        <v>111.63438926898523</v>
      </c>
      <c r="L755" s="25"/>
      <c r="M755" s="25">
        <f>(Table2[[#This Row],[Away Pace]]/100)*(VLOOKUP(Table2[[#This Row],[Visitor/Neutral]],OFR_lookup,2,FALSE)+VLOOKUP(Table2[[#This Row],[Home/Neutral]],def_diff_lookup,6,FALSE))</f>
        <v>108.61884133333335</v>
      </c>
      <c r="N755" s="25"/>
      <c r="O755" s="25"/>
      <c r="P755">
        <f>VLOOKUP(Table2[[#This Row],[Home/Neutral]],pace_lookup,7,FALSE)</f>
        <v>93.8</v>
      </c>
      <c r="Q755" s="5">
        <f>VLOOKUP(Table2[[#This Row],[Visitor/Neutral]],pace_lookup,7,FALSE)</f>
        <v>102.2</v>
      </c>
      <c r="R755" s="9"/>
      <c r="V755" s="2">
        <f>-home-VLOOKUP(Table2[[#This Row],[Home/Neutral]],rtg_vlookup,4,FALSE)+VLOOKUP(Table2[[#This Row],[Visitor/Neutral]],rtg_vlookup,4,FALSE)</f>
        <v>-6.6351184834123309</v>
      </c>
      <c r="W755" s="25"/>
      <c r="X755" s="2"/>
      <c r="Y755" s="2">
        <f>Table2[[#This Row],[Away EV]]-Table2[[#This Row],[Home EV]]</f>
        <v>-3.0155479356518811</v>
      </c>
      <c r="Z755" s="33"/>
      <c r="AA755" s="34"/>
      <c r="AB755" s="5" t="b">
        <f>IF(VLOOKUP(Table2[[#This Row],[Home/Neutral]],division_lookup,9,FALSE)=VLOOKUP(Table2[[#This Row],[Visitor/Neutral]],division_lookup,9,FALSE),TRUE,FALSE)</f>
        <v>1</v>
      </c>
      <c r="AC755" s="19" t="str">
        <f>VLOOKUP(Table2[[#This Row],[Home/Neutral]],division_lookup,9,FALSE)</f>
        <v>P</v>
      </c>
      <c r="AD755" s="19"/>
      <c r="AE755" s="19" t="str">
        <f>IF(Table2[[#This Row],[Total EV ®]]&lt;Table2[[#This Row],[Total (V)]],"UNDER","OVER")</f>
        <v>OVER</v>
      </c>
      <c r="AF755" s="30">
        <f>Table2[[#This Row],[(A) Spread]]-Table2[[#This Row],[Spread (V)]]</f>
        <v>0</v>
      </c>
      <c r="AG755" s="19"/>
      <c r="AH755" s="2">
        <f>Table2[[#This Row],[EV]]-Table2[[#This Row],[Spread (V)]]</f>
        <v>-3.0155479356518811</v>
      </c>
      <c r="AI755" s="22">
        <f>Table2[[#This Row],[(A)]]-Table2[[#This Row],[Spread]]</f>
        <v>-6.6351184834123309</v>
      </c>
      <c r="AJ755" s="1">
        <f>Table2[[#This Row],[(A) Err]]^2</f>
        <v>44.024797288919949</v>
      </c>
      <c r="AK755" s="6">
        <f>Table2[[#This Row],[EV]]-Table2[[#This Row],[Spread]]</f>
        <v>-3.0155479356518811</v>
      </c>
      <c r="AL755" s="1">
        <f>Table2[[#This Row],[EV Err]]^2</f>
        <v>9.0935293522143219</v>
      </c>
    </row>
    <row r="756" spans="1:38" x14ac:dyDescent="0.25">
      <c r="A756" t="s">
        <v>143</v>
      </c>
      <c r="B756" t="s">
        <v>11</v>
      </c>
      <c r="C756" t="s">
        <v>38</v>
      </c>
      <c r="K756" s="25">
        <f>(Table2[[#This Row],[Home Pace]]/100)*(VLOOKUP(Table2[[#This Row],[Home/Neutral]],home_lookup,8,FALSE)+VLOOKUP(Table2[[#This Row],[Home/Neutral]],OFR_lookup,2,FALSE)+VLOOKUP(Table2[[#This Row],[Visitor/Neutral]],def_diff_lookup,6,FALSE))</f>
        <v>99.617049044072814</v>
      </c>
      <c r="L756" s="25"/>
      <c r="M756" s="25">
        <f>(Table2[[#This Row],[Away Pace]]/100)*(VLOOKUP(Table2[[#This Row],[Visitor/Neutral]],OFR_lookup,2,FALSE)+VLOOKUP(Table2[[#This Row],[Home/Neutral]],def_diff_lookup,6,FALSE))</f>
        <v>85.666108000000023</v>
      </c>
      <c r="N756" s="25"/>
      <c r="O756" s="25"/>
      <c r="P756">
        <f>VLOOKUP(Table2[[#This Row],[Home/Neutral]],pace_lookup,7,FALSE)</f>
        <v>99.7</v>
      </c>
      <c r="Q756" s="5">
        <f>VLOOKUP(Table2[[#This Row],[Visitor/Neutral]],pace_lookup,7,FALSE)</f>
        <v>94.2</v>
      </c>
      <c r="R756" s="9"/>
      <c r="V756" s="2">
        <f>-home-VLOOKUP(Table2[[#This Row],[Home/Neutral]],rtg_vlookup,4,FALSE)+VLOOKUP(Table2[[#This Row],[Visitor/Neutral]],rtg_vlookup,4,FALSE)</f>
        <v>-17.735118483412329</v>
      </c>
      <c r="W756" s="25"/>
      <c r="X756" s="2"/>
      <c r="Y756" s="2">
        <f>Table2[[#This Row],[Away EV]]-Table2[[#This Row],[Home EV]]</f>
        <v>-13.950941044072792</v>
      </c>
      <c r="Z756" s="33"/>
      <c r="AA756" s="34"/>
      <c r="AB756" s="5" t="b">
        <f>IF(VLOOKUP(Table2[[#This Row],[Home/Neutral]],division_lookup,9,FALSE)=VLOOKUP(Table2[[#This Row],[Visitor/Neutral]],division_lookup,9,FALSE),TRUE,FALSE)</f>
        <v>1</v>
      </c>
      <c r="AC756" s="19" t="str">
        <f>VLOOKUP(Table2[[#This Row],[Home/Neutral]],division_lookup,9,FALSE)</f>
        <v>SE</v>
      </c>
      <c r="AD756" s="19"/>
      <c r="AE756" s="19" t="str">
        <f>IF(Table2[[#This Row],[Total EV ®]]&lt;Table2[[#This Row],[Total (V)]],"UNDER","OVER")</f>
        <v>OVER</v>
      </c>
      <c r="AF756" s="30">
        <f>Table2[[#This Row],[(A) Spread]]-Table2[[#This Row],[Spread (V)]]</f>
        <v>0</v>
      </c>
      <c r="AG756" s="19"/>
      <c r="AH756" s="2">
        <f>Table2[[#This Row],[EV]]-Table2[[#This Row],[Spread (V)]]</f>
        <v>-13.950941044072792</v>
      </c>
      <c r="AI756" s="22">
        <f>Table2[[#This Row],[(A)]]-Table2[[#This Row],[Spread]]</f>
        <v>-17.735118483412329</v>
      </c>
      <c r="AJ756" s="1">
        <f>Table2[[#This Row],[(A) Err]]^2</f>
        <v>314.53442762067363</v>
      </c>
      <c r="AK756" s="6">
        <f>Table2[[#This Row],[EV]]-Table2[[#This Row],[Spread]]</f>
        <v>-13.950941044072792</v>
      </c>
      <c r="AL756" s="1">
        <f>Table2[[#This Row],[EV Err]]^2</f>
        <v>194.62875601519485</v>
      </c>
    </row>
    <row r="757" spans="1:38" x14ac:dyDescent="0.25">
      <c r="A757" t="s">
        <v>143</v>
      </c>
      <c r="B757" t="s">
        <v>33</v>
      </c>
      <c r="C757" t="s">
        <v>25</v>
      </c>
      <c r="K757" s="25">
        <f>(Table2[[#This Row],[Home Pace]]/100)*(VLOOKUP(Table2[[#This Row],[Home/Neutral]],home_lookup,8,FALSE)+VLOOKUP(Table2[[#This Row],[Home/Neutral]],OFR_lookup,2,FALSE)+VLOOKUP(Table2[[#This Row],[Visitor/Neutral]],def_diff_lookup,6,FALSE))</f>
        <v>103.89541852057508</v>
      </c>
      <c r="L757" s="25"/>
      <c r="M757" s="25">
        <f>(Table2[[#This Row],[Away Pace]]/100)*(VLOOKUP(Table2[[#This Row],[Visitor/Neutral]],OFR_lookup,2,FALSE)+VLOOKUP(Table2[[#This Row],[Home/Neutral]],def_diff_lookup,6,FALSE))</f>
        <v>99.20558933333335</v>
      </c>
      <c r="N757" s="25"/>
      <c r="O757" s="25"/>
      <c r="P757">
        <f>VLOOKUP(Table2[[#This Row],[Home/Neutral]],pace_lookup,7,FALSE)</f>
        <v>98.2</v>
      </c>
      <c r="Q757" s="5">
        <f>VLOOKUP(Table2[[#This Row],[Visitor/Neutral]],pace_lookup,7,FALSE)</f>
        <v>94.4</v>
      </c>
      <c r="R757" s="9"/>
      <c r="V757" s="2">
        <f>-home-VLOOKUP(Table2[[#This Row],[Home/Neutral]],rtg_vlookup,4,FALSE)+VLOOKUP(Table2[[#This Row],[Visitor/Neutral]],rtg_vlookup,4,FALSE)</f>
        <v>2.5048815165876697</v>
      </c>
      <c r="W757" s="25"/>
      <c r="X757" s="2"/>
      <c r="Y757" s="2">
        <f>Table2[[#This Row],[Away EV]]-Table2[[#This Row],[Home EV]]</f>
        <v>-4.6898291872417275</v>
      </c>
      <c r="Z757" s="33"/>
      <c r="AA757" s="34"/>
      <c r="AB757" s="5" t="b">
        <f>IF(VLOOKUP(Table2[[#This Row],[Home/Neutral]],division_lookup,9,FALSE)=VLOOKUP(Table2[[#This Row],[Visitor/Neutral]],division_lookup,9,FALSE),TRUE,FALSE)</f>
        <v>1</v>
      </c>
      <c r="AC757" s="19" t="str">
        <f>VLOOKUP(Table2[[#This Row],[Home/Neutral]],division_lookup,9,FALSE)</f>
        <v>C</v>
      </c>
      <c r="AD757" s="19"/>
      <c r="AE757" s="19" t="str">
        <f>IF(Table2[[#This Row],[Total EV ®]]&lt;Table2[[#This Row],[Total (V)]],"UNDER","OVER")</f>
        <v>OVER</v>
      </c>
      <c r="AF757" s="30">
        <f>Table2[[#This Row],[(A) Spread]]-Table2[[#This Row],[Spread (V)]]</f>
        <v>0</v>
      </c>
      <c r="AG757" s="19"/>
      <c r="AH757" s="2">
        <f>Table2[[#This Row],[EV]]-Table2[[#This Row],[Spread (V)]]</f>
        <v>-4.6898291872417275</v>
      </c>
      <c r="AI757" s="22">
        <f>Table2[[#This Row],[(A)]]-Table2[[#This Row],[Spread]]</f>
        <v>2.5048815165876697</v>
      </c>
      <c r="AJ757" s="1">
        <f>Table2[[#This Row],[(A) Err]]^2</f>
        <v>6.274431412142544</v>
      </c>
      <c r="AK757" s="6">
        <f>Table2[[#This Row],[EV]]-Table2[[#This Row],[Spread]]</f>
        <v>-4.6898291872417275</v>
      </c>
      <c r="AL757" s="1">
        <f>Table2[[#This Row],[EV Err]]^2</f>
        <v>21.994497805504402</v>
      </c>
    </row>
    <row r="758" spans="1:38" x14ac:dyDescent="0.25">
      <c r="A758" t="s">
        <v>143</v>
      </c>
      <c r="B758" t="s">
        <v>21</v>
      </c>
      <c r="C758" t="s">
        <v>39</v>
      </c>
      <c r="K758" s="25">
        <f>(Table2[[#This Row],[Home Pace]]/100)*(VLOOKUP(Table2[[#This Row],[Home/Neutral]],home_lookup,8,FALSE)+VLOOKUP(Table2[[#This Row],[Home/Neutral]],OFR_lookup,2,FALSE)+VLOOKUP(Table2[[#This Row],[Visitor/Neutral]],def_diff_lookup,6,FALSE))</f>
        <v>104.3234511752439</v>
      </c>
      <c r="L758" s="25"/>
      <c r="M758" s="25">
        <f>(Table2[[#This Row],[Away Pace]]/100)*(VLOOKUP(Table2[[#This Row],[Visitor/Neutral]],OFR_lookup,2,FALSE)+VLOOKUP(Table2[[#This Row],[Home/Neutral]],def_diff_lookup,6,FALSE))</f>
        <v>93.883400000000009</v>
      </c>
      <c r="N758" s="25"/>
      <c r="O758" s="25"/>
      <c r="P758">
        <f>VLOOKUP(Table2[[#This Row],[Home/Neutral]],pace_lookup,7,FALSE)</f>
        <v>94.2</v>
      </c>
      <c r="Q758" s="5">
        <f>VLOOKUP(Table2[[#This Row],[Visitor/Neutral]],pace_lookup,7,FALSE)</f>
        <v>97.5</v>
      </c>
      <c r="R758" s="9"/>
      <c r="V758" s="2">
        <f>-home-VLOOKUP(Table2[[#This Row],[Home/Neutral]],rtg_vlookup,4,FALSE)+VLOOKUP(Table2[[#This Row],[Visitor/Neutral]],rtg_vlookup,4,FALSE)</f>
        <v>-11.90511848341233</v>
      </c>
      <c r="W758" s="25"/>
      <c r="X758" s="2"/>
      <c r="Y758" s="2">
        <f>Table2[[#This Row],[Away EV]]-Table2[[#This Row],[Home EV]]</f>
        <v>-10.440051175243894</v>
      </c>
      <c r="Z758" s="33"/>
      <c r="AA758" s="34"/>
      <c r="AB758" s="5" t="b">
        <f>IF(VLOOKUP(Table2[[#This Row],[Home/Neutral]],division_lookup,9,FALSE)=VLOOKUP(Table2[[#This Row],[Visitor/Neutral]],division_lookup,9,FALSE),TRUE,FALSE)</f>
        <v>0</v>
      </c>
      <c r="AC758" s="19" t="str">
        <f>VLOOKUP(Table2[[#This Row],[Home/Neutral]],division_lookup,9,FALSE)</f>
        <v>SE</v>
      </c>
      <c r="AD758" s="19"/>
      <c r="AE758" s="19" t="str">
        <f>IF(Table2[[#This Row],[Total EV ®]]&lt;Table2[[#This Row],[Total (V)]],"UNDER","OVER")</f>
        <v>OVER</v>
      </c>
      <c r="AF758" s="30">
        <f>Table2[[#This Row],[(A) Spread]]-Table2[[#This Row],[Spread (V)]]</f>
        <v>0</v>
      </c>
      <c r="AG758" s="19"/>
      <c r="AH758" s="2">
        <f>Table2[[#This Row],[EV]]-Table2[[#This Row],[Spread (V)]]</f>
        <v>-10.440051175243894</v>
      </c>
      <c r="AI758" s="22">
        <f>Table2[[#This Row],[(A)]]-Table2[[#This Row],[Spread]]</f>
        <v>-11.90511848341233</v>
      </c>
      <c r="AJ758" s="1">
        <f>Table2[[#This Row],[(A) Err]]^2</f>
        <v>141.73184610408592</v>
      </c>
      <c r="AK758" s="6">
        <f>Table2[[#This Row],[EV]]-Table2[[#This Row],[Spread]]</f>
        <v>-10.440051175243894</v>
      </c>
      <c r="AL758" s="1">
        <f>Table2[[#This Row],[EV Err]]^2</f>
        <v>108.99466854171142</v>
      </c>
    </row>
    <row r="759" spans="1:38" x14ac:dyDescent="0.25">
      <c r="A759" t="s">
        <v>143</v>
      </c>
      <c r="B759" t="s">
        <v>22</v>
      </c>
      <c r="C759" t="s">
        <v>23</v>
      </c>
      <c r="K759" s="25">
        <f>(Table2[[#This Row],[Home Pace]]/100)*(VLOOKUP(Table2[[#This Row],[Home/Neutral]],home_lookup,8,FALSE)+VLOOKUP(Table2[[#This Row],[Home/Neutral]],OFR_lookup,2,FALSE)+VLOOKUP(Table2[[#This Row],[Visitor/Neutral]],def_diff_lookup,6,FALSE))</f>
        <v>106.77754922968977</v>
      </c>
      <c r="L759" s="25"/>
      <c r="M759" s="25">
        <f>(Table2[[#This Row],[Away Pace]]/100)*(VLOOKUP(Table2[[#This Row],[Visitor/Neutral]],OFR_lookup,2,FALSE)+VLOOKUP(Table2[[#This Row],[Home/Neutral]],def_diff_lookup,6,FALSE))</f>
        <v>100.22436666666668</v>
      </c>
      <c r="N759" s="25"/>
      <c r="O759" s="25"/>
      <c r="P759">
        <f>VLOOKUP(Table2[[#This Row],[Home/Neutral]],pace_lookup,7,FALSE)</f>
        <v>94.7</v>
      </c>
      <c r="Q759" s="5">
        <f>VLOOKUP(Table2[[#This Row],[Visitor/Neutral]],pace_lookup,7,FALSE)</f>
        <v>92.5</v>
      </c>
      <c r="R759" s="9"/>
      <c r="V759" s="2">
        <f>-home-VLOOKUP(Table2[[#This Row],[Home/Neutral]],rtg_vlookup,4,FALSE)+VLOOKUP(Table2[[#This Row],[Visitor/Neutral]],rtg_vlookup,4,FALSE)</f>
        <v>-1.235118483412331</v>
      </c>
      <c r="W759" s="25"/>
      <c r="X759" s="2"/>
      <c r="Y759" s="2">
        <f>Table2[[#This Row],[Away EV]]-Table2[[#This Row],[Home EV]]</f>
        <v>-6.5531825630230855</v>
      </c>
      <c r="Z759" s="33"/>
      <c r="AA759" s="34"/>
      <c r="AB759" s="5" t="b">
        <f>IF(VLOOKUP(Table2[[#This Row],[Home/Neutral]],division_lookup,9,FALSE)=VLOOKUP(Table2[[#This Row],[Visitor/Neutral]],division_lookup,9,FALSE),TRUE,FALSE)</f>
        <v>0</v>
      </c>
      <c r="AC759" s="19" t="str">
        <f>VLOOKUP(Table2[[#This Row],[Home/Neutral]],division_lookup,9,FALSE)</f>
        <v>NW</v>
      </c>
      <c r="AD759" s="19"/>
      <c r="AE759" s="19" t="str">
        <f>IF(Table2[[#This Row],[Total EV ®]]&lt;Table2[[#This Row],[Total (V)]],"UNDER","OVER")</f>
        <v>OVER</v>
      </c>
      <c r="AF759" s="30">
        <f>Table2[[#This Row],[(A) Spread]]-Table2[[#This Row],[Spread (V)]]</f>
        <v>0</v>
      </c>
      <c r="AG759" s="19"/>
      <c r="AH759" s="2">
        <f>Table2[[#This Row],[EV]]-Table2[[#This Row],[Spread (V)]]</f>
        <v>-6.5531825630230855</v>
      </c>
      <c r="AI759" s="22">
        <f>Table2[[#This Row],[(A)]]-Table2[[#This Row],[Spread]]</f>
        <v>-1.235118483412331</v>
      </c>
      <c r="AJ759" s="1">
        <f>Table2[[#This Row],[(A) Err]]^2</f>
        <v>1.5255176680667766</v>
      </c>
      <c r="AK759" s="6">
        <f>Table2[[#This Row],[EV]]-Table2[[#This Row],[Spread]]</f>
        <v>-6.5531825630230855</v>
      </c>
      <c r="AL759" s="1">
        <f>Table2[[#This Row],[EV Err]]^2</f>
        <v>42.944201704309819</v>
      </c>
    </row>
    <row r="760" spans="1:38" x14ac:dyDescent="0.25">
      <c r="A760" t="s">
        <v>143</v>
      </c>
      <c r="B760" t="s">
        <v>31</v>
      </c>
      <c r="C760" t="s">
        <v>8</v>
      </c>
      <c r="K760" s="25">
        <f>(Table2[[#This Row],[Home Pace]]/100)*(VLOOKUP(Table2[[#This Row],[Home/Neutral]],home_lookup,8,FALSE)+VLOOKUP(Table2[[#This Row],[Home/Neutral]],OFR_lookup,2,FALSE)+VLOOKUP(Table2[[#This Row],[Visitor/Neutral]],def_diff_lookup,6,FALSE))</f>
        <v>108.4605743021789</v>
      </c>
      <c r="L760" s="25"/>
      <c r="M760" s="25">
        <f>(Table2[[#This Row],[Away Pace]]/100)*(VLOOKUP(Table2[[#This Row],[Visitor/Neutral]],OFR_lookup,2,FALSE)+VLOOKUP(Table2[[#This Row],[Home/Neutral]],def_diff_lookup,6,FALSE))</f>
        <v>112.66516800000001</v>
      </c>
      <c r="N760" s="25"/>
      <c r="O760" s="25"/>
      <c r="P760">
        <f>VLOOKUP(Table2[[#This Row],[Home/Neutral]],pace_lookup,7,FALSE)</f>
        <v>96</v>
      </c>
      <c r="Q760" s="5">
        <f>VLOOKUP(Table2[[#This Row],[Visitor/Neutral]],pace_lookup,7,FALSE)</f>
        <v>97.2</v>
      </c>
      <c r="R760" s="9"/>
      <c r="V760" s="2">
        <f>-home-VLOOKUP(Table2[[#This Row],[Home/Neutral]],rtg_vlookup,4,FALSE)+VLOOKUP(Table2[[#This Row],[Visitor/Neutral]],rtg_vlookup,4,FALSE)</f>
        <v>6.3748815165876698</v>
      </c>
      <c r="W760" s="25"/>
      <c r="X760" s="2"/>
      <c r="Y760" s="2">
        <f>Table2[[#This Row],[Away EV]]-Table2[[#This Row],[Home EV]]</f>
        <v>4.2045936978211103</v>
      </c>
      <c r="Z760" s="33"/>
      <c r="AA760" s="34"/>
      <c r="AB760" s="5" t="b">
        <f>IF(VLOOKUP(Table2[[#This Row],[Home/Neutral]],division_lookup,9,FALSE)=VLOOKUP(Table2[[#This Row],[Visitor/Neutral]],division_lookup,9,FALSE),TRUE,FALSE)</f>
        <v>0</v>
      </c>
      <c r="AC760" s="19" t="str">
        <f>VLOOKUP(Table2[[#This Row],[Home/Neutral]],division_lookup,9,FALSE)</f>
        <v>A</v>
      </c>
      <c r="AD760" s="19"/>
      <c r="AE760" s="19" t="str">
        <f>IF(Table2[[#This Row],[Total EV ®]]&lt;Table2[[#This Row],[Total (V)]],"UNDER","OVER")</f>
        <v>OVER</v>
      </c>
      <c r="AF760" s="30">
        <f>Table2[[#This Row],[(A) Spread]]-Table2[[#This Row],[Spread (V)]]</f>
        <v>0</v>
      </c>
      <c r="AG760" s="19"/>
      <c r="AH760" s="2">
        <f>Table2[[#This Row],[EV]]-Table2[[#This Row],[Spread (V)]]</f>
        <v>4.2045936978211103</v>
      </c>
      <c r="AI760" s="22">
        <f>Table2[[#This Row],[(A)]]-Table2[[#This Row],[Spread]]</f>
        <v>6.3748815165876698</v>
      </c>
      <c r="AJ760" s="1">
        <f>Table2[[#This Row],[(A) Err]]^2</f>
        <v>40.639114350531109</v>
      </c>
      <c r="AK760" s="6">
        <f>Table2[[#This Row],[EV]]-Table2[[#This Row],[Spread]]</f>
        <v>4.2045936978211103</v>
      </c>
      <c r="AL760" s="1">
        <f>Table2[[#This Row],[EV Err]]^2</f>
        <v>17.678608163756998</v>
      </c>
    </row>
    <row r="761" spans="1:38" x14ac:dyDescent="0.25">
      <c r="A761" t="s">
        <v>143</v>
      </c>
      <c r="B761" t="s">
        <v>36</v>
      </c>
      <c r="C761" t="s">
        <v>30</v>
      </c>
      <c r="K761" s="25">
        <f>(Table2[[#This Row],[Home Pace]]/100)*(VLOOKUP(Table2[[#This Row],[Home/Neutral]],home_lookup,8,FALSE)+VLOOKUP(Table2[[#This Row],[Home/Neutral]],OFR_lookup,2,FALSE)+VLOOKUP(Table2[[#This Row],[Visitor/Neutral]],def_diff_lookup,6,FALSE))</f>
        <v>109.45485156604043</v>
      </c>
      <c r="L761" s="25"/>
      <c r="M761" s="25">
        <f>(Table2[[#This Row],[Away Pace]]/100)*(VLOOKUP(Table2[[#This Row],[Visitor/Neutral]],OFR_lookup,2,FALSE)+VLOOKUP(Table2[[#This Row],[Home/Neutral]],def_diff_lookup,6,FALSE))</f>
        <v>105.10608533333334</v>
      </c>
      <c r="N761" s="25"/>
      <c r="O761" s="25"/>
      <c r="P761">
        <f>VLOOKUP(Table2[[#This Row],[Home/Neutral]],pace_lookup,7,FALSE)</f>
        <v>102.2</v>
      </c>
      <c r="Q761" s="5">
        <f>VLOOKUP(Table2[[#This Row],[Visitor/Neutral]],pace_lookup,7,FALSE)</f>
        <v>96.8</v>
      </c>
      <c r="R761" s="9"/>
      <c r="V761" s="2">
        <f>-home-VLOOKUP(Table2[[#This Row],[Home/Neutral]],rtg_vlookup,4,FALSE)+VLOOKUP(Table2[[#This Row],[Visitor/Neutral]],rtg_vlookup,4,FALSE)</f>
        <v>0.96488151658766963</v>
      </c>
      <c r="W761" s="25"/>
      <c r="X761" s="2"/>
      <c r="Y761" s="2">
        <f>Table2[[#This Row],[Away EV]]-Table2[[#This Row],[Home EV]]</f>
        <v>-4.3487662327070922</v>
      </c>
      <c r="Z761" s="33"/>
      <c r="AA761" s="34"/>
      <c r="AB761" s="5" t="b">
        <f>IF(VLOOKUP(Table2[[#This Row],[Home/Neutral]],division_lookup,9,FALSE)=VLOOKUP(Table2[[#This Row],[Visitor/Neutral]],division_lookup,9,FALSE),TRUE,FALSE)</f>
        <v>0</v>
      </c>
      <c r="AC761" s="19" t="str">
        <f>VLOOKUP(Table2[[#This Row],[Home/Neutral]],division_lookup,9,FALSE)</f>
        <v>P</v>
      </c>
      <c r="AD761" s="19"/>
      <c r="AE761" s="19" t="str">
        <f>IF(Table2[[#This Row],[Total EV ®]]&lt;Table2[[#This Row],[Total (V)]],"UNDER","OVER")</f>
        <v>OVER</v>
      </c>
      <c r="AF761" s="30">
        <f>Table2[[#This Row],[(A) Spread]]-Table2[[#This Row],[Spread (V)]]</f>
        <v>0</v>
      </c>
      <c r="AG761" s="19"/>
      <c r="AH761" s="2">
        <f>Table2[[#This Row],[EV]]-Table2[[#This Row],[Spread (V)]]</f>
        <v>-4.3487662327070922</v>
      </c>
      <c r="AI761" s="22">
        <f>Table2[[#This Row],[(A)]]-Table2[[#This Row],[Spread]]</f>
        <v>0.96488151658766963</v>
      </c>
      <c r="AJ761" s="1">
        <f>Table2[[#This Row],[(A) Err]]^2</f>
        <v>0.93099634105252138</v>
      </c>
      <c r="AK761" s="6">
        <f>Table2[[#This Row],[EV]]-Table2[[#This Row],[Spread]]</f>
        <v>-4.3487662327070922</v>
      </c>
      <c r="AL761" s="1">
        <f>Table2[[#This Row],[EV Err]]^2</f>
        <v>18.911767746733435</v>
      </c>
    </row>
    <row r="762" spans="1:38" x14ac:dyDescent="0.25">
      <c r="A762" t="s">
        <v>143</v>
      </c>
      <c r="B762" t="s">
        <v>29</v>
      </c>
      <c r="C762" t="s">
        <v>10</v>
      </c>
      <c r="K762" s="25">
        <f>(Table2[[#This Row],[Home Pace]]/100)*(VLOOKUP(Table2[[#This Row],[Home/Neutral]],home_lookup,8,FALSE)+VLOOKUP(Table2[[#This Row],[Home/Neutral]],OFR_lookup,2,FALSE)+VLOOKUP(Table2[[#This Row],[Visitor/Neutral]],def_diff_lookup,6,FALSE))</f>
        <v>110.43374926898522</v>
      </c>
      <c r="L762" s="25"/>
      <c r="M762" s="25">
        <f>(Table2[[#This Row],[Away Pace]]/100)*(VLOOKUP(Table2[[#This Row],[Visitor/Neutral]],OFR_lookup,2,FALSE)+VLOOKUP(Table2[[#This Row],[Home/Neutral]],def_diff_lookup,6,FALSE))</f>
        <v>120.03970866666666</v>
      </c>
      <c r="N762" s="25"/>
      <c r="O762" s="25"/>
      <c r="P762">
        <f>VLOOKUP(Table2[[#This Row],[Home/Neutral]],pace_lookup,7,FALSE)</f>
        <v>93.8</v>
      </c>
      <c r="Q762" s="5">
        <f>VLOOKUP(Table2[[#This Row],[Visitor/Neutral]],pace_lookup,7,FALSE)</f>
        <v>100.3</v>
      </c>
      <c r="R762" s="9"/>
      <c r="V762" s="2">
        <f>-home-VLOOKUP(Table2[[#This Row],[Home/Neutral]],rtg_vlookup,4,FALSE)+VLOOKUP(Table2[[#This Row],[Visitor/Neutral]],rtg_vlookup,4,FALSE)</f>
        <v>8.0448815165876688</v>
      </c>
      <c r="W762" s="25"/>
      <c r="X762" s="2"/>
      <c r="Y762" s="2">
        <f>Table2[[#This Row],[Away EV]]-Table2[[#This Row],[Home EV]]</f>
        <v>9.6059593976814313</v>
      </c>
      <c r="Z762" s="33"/>
      <c r="AA762" s="34"/>
      <c r="AB762" s="5" t="b">
        <f>IF(VLOOKUP(Table2[[#This Row],[Home/Neutral]],division_lookup,9,FALSE)=VLOOKUP(Table2[[#This Row],[Visitor/Neutral]],division_lookup,9,FALSE),TRUE,FALSE)</f>
        <v>1</v>
      </c>
      <c r="AC762" s="19" t="str">
        <f>VLOOKUP(Table2[[#This Row],[Home/Neutral]],division_lookup,9,FALSE)</f>
        <v>P</v>
      </c>
      <c r="AD762" s="19"/>
      <c r="AE762" s="19" t="str">
        <f>IF(Table2[[#This Row],[Total EV ®]]&lt;Table2[[#This Row],[Total (V)]],"UNDER","OVER")</f>
        <v>OVER</v>
      </c>
      <c r="AF762" s="30">
        <f>Table2[[#This Row],[(A) Spread]]-Table2[[#This Row],[Spread (V)]]</f>
        <v>0</v>
      </c>
      <c r="AG762" s="19"/>
      <c r="AH762" s="2">
        <f>Table2[[#This Row],[EV]]-Table2[[#This Row],[Spread (V)]]</f>
        <v>9.6059593976814313</v>
      </c>
      <c r="AI762" s="22">
        <f>Table2[[#This Row],[(A)]]-Table2[[#This Row],[Spread]]</f>
        <v>8.0448815165876688</v>
      </c>
      <c r="AJ762" s="1">
        <f>Table2[[#This Row],[(A) Err]]^2</f>
        <v>64.720118615933913</v>
      </c>
      <c r="AK762" s="6">
        <f>Table2[[#This Row],[EV]]-Table2[[#This Row],[Spread]]</f>
        <v>9.6059593976814313</v>
      </c>
      <c r="AL762" s="1">
        <f>Table2[[#This Row],[EV Err]]^2</f>
        <v>92.274455949904208</v>
      </c>
    </row>
    <row r="763" spans="1:38" x14ac:dyDescent="0.25">
      <c r="A763" t="s">
        <v>143</v>
      </c>
      <c r="B763" t="s">
        <v>6</v>
      </c>
      <c r="C763" t="s">
        <v>27</v>
      </c>
      <c r="K763" s="25">
        <f>(Table2[[#This Row],[Home Pace]]/100)*(VLOOKUP(Table2[[#This Row],[Home/Neutral]],home_lookup,8,FALSE)+VLOOKUP(Table2[[#This Row],[Home/Neutral]],OFR_lookup,2,FALSE)+VLOOKUP(Table2[[#This Row],[Visitor/Neutral]],def_diff_lookup,6,FALSE))</f>
        <v>102.64054787062244</v>
      </c>
      <c r="L763" s="25"/>
      <c r="M763" s="25">
        <f>(Table2[[#This Row],[Away Pace]]/100)*(VLOOKUP(Table2[[#This Row],[Visitor/Neutral]],OFR_lookup,2,FALSE)+VLOOKUP(Table2[[#This Row],[Home/Neutral]],def_diff_lookup,6,FALSE))</f>
        <v>101.97066000000001</v>
      </c>
      <c r="N763" s="25"/>
      <c r="O763" s="25"/>
      <c r="P763">
        <f>VLOOKUP(Table2[[#This Row],[Home/Neutral]],pace_lookup,7,FALSE)</f>
        <v>93.1</v>
      </c>
      <c r="Q763" s="5">
        <f>VLOOKUP(Table2[[#This Row],[Visitor/Neutral]],pace_lookup,7,FALSE)</f>
        <v>99</v>
      </c>
      <c r="R763" s="9"/>
      <c r="V763" s="2">
        <f>-home-VLOOKUP(Table2[[#This Row],[Home/Neutral]],rtg_vlookup,4,FALSE)+VLOOKUP(Table2[[#This Row],[Visitor/Neutral]],rtg_vlookup,4,FALSE)</f>
        <v>-10.315118483412331</v>
      </c>
      <c r="W763" s="25"/>
      <c r="X763" s="2"/>
      <c r="Y763" s="2">
        <f>Table2[[#This Row],[Away EV]]-Table2[[#This Row],[Home EV]]</f>
        <v>-0.66988787062243205</v>
      </c>
      <c r="Z763" s="33"/>
      <c r="AA763" s="34"/>
      <c r="AB763" s="5" t="b">
        <f>IF(VLOOKUP(Table2[[#This Row],[Home/Neutral]],division_lookup,9,FALSE)=VLOOKUP(Table2[[#This Row],[Visitor/Neutral]],division_lookup,9,FALSE),TRUE,FALSE)</f>
        <v>0</v>
      </c>
      <c r="AC763" s="19" t="str">
        <f>VLOOKUP(Table2[[#This Row],[Home/Neutral]],division_lookup,9,FALSE)</f>
        <v>SW</v>
      </c>
      <c r="AD763" s="19"/>
      <c r="AE763" s="19" t="str">
        <f>IF(Table2[[#This Row],[Total EV ®]]&lt;Table2[[#This Row],[Total (V)]],"UNDER","OVER")</f>
        <v>OVER</v>
      </c>
      <c r="AF763" s="30">
        <f>Table2[[#This Row],[(A) Spread]]-Table2[[#This Row],[Spread (V)]]</f>
        <v>0</v>
      </c>
      <c r="AG763" s="19"/>
      <c r="AH763" s="2">
        <f>Table2[[#This Row],[EV]]-Table2[[#This Row],[Spread (V)]]</f>
        <v>-0.66988787062243205</v>
      </c>
      <c r="AI763" s="22">
        <f>Table2[[#This Row],[(A)]]-Table2[[#This Row],[Spread]]</f>
        <v>-10.315118483412331</v>
      </c>
      <c r="AJ763" s="1">
        <f>Table2[[#This Row],[(A) Err]]^2</f>
        <v>106.40166932683469</v>
      </c>
      <c r="AK763" s="6">
        <f>Table2[[#This Row],[EV]]-Table2[[#This Row],[Spread]]</f>
        <v>-0.66988787062243205</v>
      </c>
      <c r="AL763" s="1">
        <f>Table2[[#This Row],[EV Err]]^2</f>
        <v>0.44874975920705623</v>
      </c>
    </row>
    <row r="764" spans="1:38" x14ac:dyDescent="0.25">
      <c r="A764" t="s">
        <v>143</v>
      </c>
      <c r="B764" t="s">
        <v>20</v>
      </c>
      <c r="C764" t="s">
        <v>16</v>
      </c>
      <c r="K764" s="25">
        <f>(Table2[[#This Row],[Home Pace]]/100)*(VLOOKUP(Table2[[#This Row],[Home/Neutral]],home_lookup,8,FALSE)+VLOOKUP(Table2[[#This Row],[Home/Neutral]],OFR_lookup,2,FALSE)+VLOOKUP(Table2[[#This Row],[Visitor/Neutral]],def_diff_lookup,6,FALSE))</f>
        <v>102.30167528915177</v>
      </c>
      <c r="L764" s="25"/>
      <c r="M764" s="25">
        <f>(Table2[[#This Row],[Away Pace]]/100)*(VLOOKUP(Table2[[#This Row],[Visitor/Neutral]],OFR_lookup,2,FALSE)+VLOOKUP(Table2[[#This Row],[Home/Neutral]],def_diff_lookup,6,FALSE))</f>
        <v>103.05815000000001</v>
      </c>
      <c r="N764" s="25"/>
      <c r="O764" s="25"/>
      <c r="P764">
        <f>VLOOKUP(Table2[[#This Row],[Home/Neutral]],pace_lookup,7,FALSE)</f>
        <v>90.9</v>
      </c>
      <c r="Q764" s="5">
        <f>VLOOKUP(Table2[[#This Row],[Visitor/Neutral]],pace_lookup,7,FALSE)</f>
        <v>97.5</v>
      </c>
      <c r="R764" s="9"/>
      <c r="V764" s="2">
        <f>-home-VLOOKUP(Table2[[#This Row],[Home/Neutral]],rtg_vlookup,4,FALSE)+VLOOKUP(Table2[[#This Row],[Visitor/Neutral]],rtg_vlookup,4,FALSE)</f>
        <v>-1.8451184834123309</v>
      </c>
      <c r="W764" s="25"/>
      <c r="X764" s="2"/>
      <c r="Y764" s="2">
        <f>Table2[[#This Row],[Away EV]]-Table2[[#This Row],[Home EV]]</f>
        <v>0.75647471084823792</v>
      </c>
      <c r="Z764" s="33"/>
      <c r="AA764" s="34"/>
      <c r="AB764" s="5" t="b">
        <f>IF(VLOOKUP(Table2[[#This Row],[Home/Neutral]],division_lookup,9,FALSE)=VLOOKUP(Table2[[#This Row],[Visitor/Neutral]],division_lookup,9,FALSE),TRUE,FALSE)</f>
        <v>0</v>
      </c>
      <c r="AC764" s="19" t="str">
        <f>VLOOKUP(Table2[[#This Row],[Home/Neutral]],division_lookup,9,FALSE)</f>
        <v>NW</v>
      </c>
      <c r="AD764" s="19"/>
      <c r="AE764" s="19" t="str">
        <f>IF(Table2[[#This Row],[Total EV ®]]&lt;Table2[[#This Row],[Total (V)]],"UNDER","OVER")</f>
        <v>OVER</v>
      </c>
      <c r="AF764" s="30">
        <f>Table2[[#This Row],[(A) Spread]]-Table2[[#This Row],[Spread (V)]]</f>
        <v>0</v>
      </c>
      <c r="AG764" s="19"/>
      <c r="AH764" s="2">
        <f>Table2[[#This Row],[EV]]-Table2[[#This Row],[Spread (V)]]</f>
        <v>0.75647471084823792</v>
      </c>
      <c r="AI764" s="22">
        <f>Table2[[#This Row],[(A)]]-Table2[[#This Row],[Spread]]</f>
        <v>-1.8451184834123309</v>
      </c>
      <c r="AJ764" s="1">
        <f>Table2[[#This Row],[(A) Err]]^2</f>
        <v>3.4044622178298201</v>
      </c>
      <c r="AK764" s="6">
        <f>Table2[[#This Row],[EV]]-Table2[[#This Row],[Spread]]</f>
        <v>0.75647471084823792</v>
      </c>
      <c r="AL764" s="1">
        <f>Table2[[#This Row],[EV Err]]^2</f>
        <v>0.57225398815292516</v>
      </c>
    </row>
    <row r="765" spans="1:38" x14ac:dyDescent="0.25">
      <c r="A765" t="s">
        <v>143</v>
      </c>
      <c r="B765" t="s">
        <v>28</v>
      </c>
      <c r="C765" t="s">
        <v>34</v>
      </c>
      <c r="K765" s="25">
        <f>(Table2[[#This Row],[Home Pace]]/100)*(VLOOKUP(Table2[[#This Row],[Home/Neutral]],home_lookup,8,FALSE)+VLOOKUP(Table2[[#This Row],[Home/Neutral]],OFR_lookup,2,FALSE)+VLOOKUP(Table2[[#This Row],[Visitor/Neutral]],def_diff_lookup,6,FALSE))</f>
        <v>108.07466553204273</v>
      </c>
      <c r="L765" s="25"/>
      <c r="M765" s="25">
        <f>(Table2[[#This Row],[Away Pace]]/100)*(VLOOKUP(Table2[[#This Row],[Visitor/Neutral]],OFR_lookup,2,FALSE)+VLOOKUP(Table2[[#This Row],[Home/Neutral]],def_diff_lookup,6,FALSE))</f>
        <v>102.75265866666668</v>
      </c>
      <c r="N765" s="25"/>
      <c r="O765" s="25"/>
      <c r="P765">
        <f>VLOOKUP(Table2[[#This Row],[Home/Neutral]],pace_lookup,7,FALSE)</f>
        <v>96.3</v>
      </c>
      <c r="Q765" s="5">
        <f>VLOOKUP(Table2[[#This Row],[Visitor/Neutral]],pace_lookup,7,FALSE)</f>
        <v>98.8</v>
      </c>
      <c r="R765" s="9"/>
      <c r="V765" s="2">
        <f>-home-VLOOKUP(Table2[[#This Row],[Home/Neutral]],rtg_vlookup,4,FALSE)+VLOOKUP(Table2[[#This Row],[Visitor/Neutral]],rtg_vlookup,4,FALSE)</f>
        <v>-5.8451184834123309</v>
      </c>
      <c r="W765" s="25"/>
      <c r="X765" s="2"/>
      <c r="Y765" s="2">
        <f>Table2[[#This Row],[Away EV]]-Table2[[#This Row],[Home EV]]</f>
        <v>-5.3220068653760535</v>
      </c>
      <c r="Z765" s="33"/>
      <c r="AA765" s="34"/>
      <c r="AB765" s="5" t="b">
        <f>IF(VLOOKUP(Table2[[#This Row],[Home/Neutral]],division_lookup,9,FALSE)=VLOOKUP(Table2[[#This Row],[Visitor/Neutral]],division_lookup,9,FALSE),TRUE,FALSE)</f>
        <v>0</v>
      </c>
      <c r="AC765" s="19" t="str">
        <f>VLOOKUP(Table2[[#This Row],[Home/Neutral]],division_lookup,9,FALSE)</f>
        <v>SE</v>
      </c>
      <c r="AD765" s="19"/>
      <c r="AE765" s="19" t="str">
        <f>IF(Table2[[#This Row],[Total EV ®]]&lt;Table2[[#This Row],[Total (V)]],"UNDER","OVER")</f>
        <v>OVER</v>
      </c>
      <c r="AF765" s="30">
        <f>Table2[[#This Row],[(A) Spread]]-Table2[[#This Row],[Spread (V)]]</f>
        <v>0</v>
      </c>
      <c r="AG765" s="19"/>
      <c r="AH765" s="2">
        <f>Table2[[#This Row],[EV]]-Table2[[#This Row],[Spread (V)]]</f>
        <v>-5.3220068653760535</v>
      </c>
      <c r="AI765" s="22">
        <f>Table2[[#This Row],[(A)]]-Table2[[#This Row],[Spread]]</f>
        <v>-5.8451184834123309</v>
      </c>
      <c r="AJ765" s="1">
        <f>Table2[[#This Row],[(A) Err]]^2</f>
        <v>34.165410085128464</v>
      </c>
      <c r="AK765" s="6">
        <f>Table2[[#This Row],[EV]]-Table2[[#This Row],[Spread]]</f>
        <v>-5.3220068653760535</v>
      </c>
      <c r="AL765" s="1">
        <f>Table2[[#This Row],[EV Err]]^2</f>
        <v>28.323757075109846</v>
      </c>
    </row>
    <row r="766" spans="1:38" x14ac:dyDescent="0.25">
      <c r="A766" t="s">
        <v>144</v>
      </c>
      <c r="B766" t="s">
        <v>26</v>
      </c>
      <c r="C766" t="s">
        <v>4</v>
      </c>
      <c r="K766" s="25">
        <f>(Table2[[#This Row],[Home Pace]]/100)*(VLOOKUP(Table2[[#This Row],[Home/Neutral]],home_lookup,8,FALSE)+VLOOKUP(Table2[[#This Row],[Home/Neutral]],OFR_lookup,2,FALSE)+VLOOKUP(Table2[[#This Row],[Visitor/Neutral]],def_diff_lookup,6,FALSE))</f>
        <v>101.00496358918159</v>
      </c>
      <c r="L766" s="25"/>
      <c r="M766" s="25">
        <f>(Table2[[#This Row],[Away Pace]]/100)*(VLOOKUP(Table2[[#This Row],[Visitor/Neutral]],OFR_lookup,2,FALSE)+VLOOKUP(Table2[[#This Row],[Home/Neutral]],def_diff_lookup,6,FALSE))</f>
        <v>112.645904</v>
      </c>
      <c r="N766" s="25"/>
      <c r="O766" s="25"/>
      <c r="P766">
        <f>VLOOKUP(Table2[[#This Row],[Home/Neutral]],pace_lookup,7,FALSE)</f>
        <v>96</v>
      </c>
      <c r="Q766" s="5">
        <f>VLOOKUP(Table2[[#This Row],[Visitor/Neutral]],pace_lookup,7,FALSE)</f>
        <v>96.6</v>
      </c>
      <c r="R766" s="9"/>
      <c r="V766" s="2">
        <f>-home-VLOOKUP(Table2[[#This Row],[Home/Neutral]],rtg_vlookup,4,FALSE)+VLOOKUP(Table2[[#This Row],[Visitor/Neutral]],rtg_vlookup,4,FALSE)</f>
        <v>12.134881516587669</v>
      </c>
      <c r="W766" s="25"/>
      <c r="X766" s="2"/>
      <c r="Y766" s="2">
        <f>Table2[[#This Row],[Away EV]]-Table2[[#This Row],[Home EV]]</f>
        <v>11.640940410818416</v>
      </c>
      <c r="Z766" s="33"/>
      <c r="AA766" s="34"/>
      <c r="AB766" s="5" t="b">
        <f>IF(VLOOKUP(Table2[[#This Row],[Home/Neutral]],division_lookup,9,FALSE)=VLOOKUP(Table2[[#This Row],[Visitor/Neutral]],division_lookup,9,FALSE),TRUE,FALSE)</f>
        <v>0</v>
      </c>
      <c r="AC766" s="19" t="str">
        <f>VLOOKUP(Table2[[#This Row],[Home/Neutral]],division_lookup,9,FALSE)</f>
        <v>A</v>
      </c>
      <c r="AD766" s="19"/>
      <c r="AE766" s="19" t="str">
        <f>IF(Table2[[#This Row],[Total EV ®]]&lt;Table2[[#This Row],[Total (V)]],"UNDER","OVER")</f>
        <v>OVER</v>
      </c>
      <c r="AF766" s="30">
        <f>Table2[[#This Row],[(A) Spread]]-Table2[[#This Row],[Spread (V)]]</f>
        <v>0</v>
      </c>
      <c r="AG766" s="19"/>
      <c r="AH766" s="2">
        <f>Table2[[#This Row],[EV]]-Table2[[#This Row],[Spread (V)]]</f>
        <v>11.640940410818416</v>
      </c>
      <c r="AI766" s="22">
        <f>Table2[[#This Row],[(A)]]-Table2[[#This Row],[Spread]]</f>
        <v>12.134881516587669</v>
      </c>
      <c r="AJ766" s="1">
        <f>Table2[[#This Row],[(A) Err]]^2</f>
        <v>147.25534942162105</v>
      </c>
      <c r="AK766" s="6">
        <f>Table2[[#This Row],[EV]]-Table2[[#This Row],[Spread]]</f>
        <v>11.640940410818416</v>
      </c>
      <c r="AL766" s="1">
        <f>Table2[[#This Row],[EV Err]]^2</f>
        <v>135.51149364822524</v>
      </c>
    </row>
    <row r="767" spans="1:38" x14ac:dyDescent="0.25">
      <c r="A767" t="s">
        <v>144</v>
      </c>
      <c r="B767" t="s">
        <v>35</v>
      </c>
      <c r="C767" t="s">
        <v>14</v>
      </c>
      <c r="K767" s="25">
        <f>(Table2[[#This Row],[Home Pace]]/100)*(VLOOKUP(Table2[[#This Row],[Home/Neutral]],home_lookup,8,FALSE)+VLOOKUP(Table2[[#This Row],[Home/Neutral]],OFR_lookup,2,FALSE)+VLOOKUP(Table2[[#This Row],[Visitor/Neutral]],def_diff_lookup,6,FALSE))</f>
        <v>109.55163121209625</v>
      </c>
      <c r="L767" s="25"/>
      <c r="M767" s="25">
        <f>(Table2[[#This Row],[Away Pace]]/100)*(VLOOKUP(Table2[[#This Row],[Visitor/Neutral]],OFR_lookup,2,FALSE)+VLOOKUP(Table2[[#This Row],[Home/Neutral]],def_diff_lookup,6,FALSE))</f>
        <v>111.96388933333336</v>
      </c>
      <c r="N767" s="25"/>
      <c r="O767" s="25"/>
      <c r="P767">
        <f>VLOOKUP(Table2[[#This Row],[Home/Neutral]],pace_lookup,7,FALSE)</f>
        <v>102.2</v>
      </c>
      <c r="Q767" s="5">
        <f>VLOOKUP(Table2[[#This Row],[Visitor/Neutral]],pace_lookup,7,FALSE)</f>
        <v>95.9</v>
      </c>
      <c r="R767" s="9"/>
      <c r="V767" s="2">
        <f>-home-VLOOKUP(Table2[[#This Row],[Home/Neutral]],rtg_vlookup,4,FALSE)+VLOOKUP(Table2[[#This Row],[Visitor/Neutral]],rtg_vlookup,4,FALSE)</f>
        <v>8.5548815165876686</v>
      </c>
      <c r="W767" s="25"/>
      <c r="X767" s="2"/>
      <c r="Y767" s="2">
        <f>Table2[[#This Row],[Away EV]]-Table2[[#This Row],[Home EV]]</f>
        <v>2.4122581212371017</v>
      </c>
      <c r="Z767" s="33"/>
      <c r="AA767" s="34"/>
      <c r="AB767" s="5" t="b">
        <f>IF(VLOOKUP(Table2[[#This Row],[Home/Neutral]],division_lookup,9,FALSE)=VLOOKUP(Table2[[#This Row],[Visitor/Neutral]],division_lookup,9,FALSE),TRUE,FALSE)</f>
        <v>1</v>
      </c>
      <c r="AC767" s="19" t="str">
        <f>VLOOKUP(Table2[[#This Row],[Home/Neutral]],division_lookup,9,FALSE)</f>
        <v>A</v>
      </c>
      <c r="AD767" s="19"/>
      <c r="AE767" s="19" t="str">
        <f>IF(Table2[[#This Row],[Total EV ®]]&lt;Table2[[#This Row],[Total (V)]],"UNDER","OVER")</f>
        <v>OVER</v>
      </c>
      <c r="AF767" s="30">
        <f>Table2[[#This Row],[(A) Spread]]-Table2[[#This Row],[Spread (V)]]</f>
        <v>0</v>
      </c>
      <c r="AG767" s="19"/>
      <c r="AH767" s="2">
        <f>Table2[[#This Row],[EV]]-Table2[[#This Row],[Spread (V)]]</f>
        <v>2.4122581212371017</v>
      </c>
      <c r="AI767" s="22">
        <f>Table2[[#This Row],[(A)]]-Table2[[#This Row],[Spread]]</f>
        <v>8.5548815165876686</v>
      </c>
      <c r="AJ767" s="1">
        <f>Table2[[#This Row],[(A) Err]]^2</f>
        <v>73.185997762853333</v>
      </c>
      <c r="AK767" s="6">
        <f>Table2[[#This Row],[EV]]-Table2[[#This Row],[Spread]]</f>
        <v>2.4122581212371017</v>
      </c>
      <c r="AL767" s="1">
        <f>Table2[[#This Row],[EV Err]]^2</f>
        <v>5.818989243474352</v>
      </c>
    </row>
    <row r="768" spans="1:38" x14ac:dyDescent="0.25">
      <c r="A768" t="s">
        <v>144</v>
      </c>
      <c r="B768" t="s">
        <v>18</v>
      </c>
      <c r="C768" t="s">
        <v>32</v>
      </c>
      <c r="K768" s="25">
        <f>(Table2[[#This Row],[Home Pace]]/100)*(VLOOKUP(Table2[[#This Row],[Home/Neutral]],home_lookup,8,FALSE)+VLOOKUP(Table2[[#This Row],[Home/Neutral]],OFR_lookup,2,FALSE)+VLOOKUP(Table2[[#This Row],[Visitor/Neutral]],def_diff_lookup,6,FALSE))</f>
        <v>107.90995616021132</v>
      </c>
      <c r="L768" s="25"/>
      <c r="M768" s="25">
        <f>(Table2[[#This Row],[Away Pace]]/100)*(VLOOKUP(Table2[[#This Row],[Visitor/Neutral]],OFR_lookup,2,FALSE)+VLOOKUP(Table2[[#This Row],[Home/Neutral]],def_diff_lookup,6,FALSE))</f>
        <v>102.84045733333333</v>
      </c>
      <c r="N768" s="25"/>
      <c r="O768" s="25"/>
      <c r="P768">
        <f>VLOOKUP(Table2[[#This Row],[Home/Neutral]],pace_lookup,7,FALSE)</f>
        <v>99.5</v>
      </c>
      <c r="Q768" s="5">
        <f>VLOOKUP(Table2[[#This Row],[Visitor/Neutral]],pace_lookup,7,FALSE)</f>
        <v>98.6</v>
      </c>
      <c r="R768" s="9"/>
      <c r="V768" s="2">
        <f>-home-VLOOKUP(Table2[[#This Row],[Home/Neutral]],rtg_vlookup,4,FALSE)+VLOOKUP(Table2[[#This Row],[Visitor/Neutral]],rtg_vlookup,4,FALSE)</f>
        <v>-7.9351184834123307</v>
      </c>
      <c r="W768" s="25"/>
      <c r="X768" s="2"/>
      <c r="Y768" s="2">
        <f>Table2[[#This Row],[Away EV]]-Table2[[#This Row],[Home EV]]</f>
        <v>-5.0694988268779895</v>
      </c>
      <c r="Z768" s="33"/>
      <c r="AA768" s="34"/>
      <c r="AB768" s="5" t="b">
        <f>IF(VLOOKUP(Table2[[#This Row],[Home/Neutral]],division_lookup,9,FALSE)=VLOOKUP(Table2[[#This Row],[Visitor/Neutral]],division_lookup,9,FALSE),TRUE,FALSE)</f>
        <v>1</v>
      </c>
      <c r="AC768" s="19" t="str">
        <f>VLOOKUP(Table2[[#This Row],[Home/Neutral]],division_lookup,9,FALSE)</f>
        <v>NW</v>
      </c>
      <c r="AD768" s="19"/>
      <c r="AE768" s="19" t="str">
        <f>IF(Table2[[#This Row],[Total EV ®]]&lt;Table2[[#This Row],[Total (V)]],"UNDER","OVER")</f>
        <v>OVER</v>
      </c>
      <c r="AF768" s="30">
        <f>Table2[[#This Row],[(A) Spread]]-Table2[[#This Row],[Spread (V)]]</f>
        <v>0</v>
      </c>
      <c r="AG768" s="19"/>
      <c r="AH768" s="2">
        <f>Table2[[#This Row],[EV]]-Table2[[#This Row],[Spread (V)]]</f>
        <v>-5.0694988268779895</v>
      </c>
      <c r="AI768" s="22">
        <f>Table2[[#This Row],[(A)]]-Table2[[#This Row],[Spread]]</f>
        <v>-7.9351184834123307</v>
      </c>
      <c r="AJ768" s="1">
        <f>Table2[[#This Row],[(A) Err]]^2</f>
        <v>62.966105345792009</v>
      </c>
      <c r="AK768" s="6">
        <f>Table2[[#This Row],[EV]]-Table2[[#This Row],[Spread]]</f>
        <v>-5.0694988268779895</v>
      </c>
      <c r="AL768" s="1">
        <f>Table2[[#This Row],[EV Err]]^2</f>
        <v>25.699818355717312</v>
      </c>
    </row>
    <row r="769" spans="1:38" x14ac:dyDescent="0.25">
      <c r="A769" t="s">
        <v>145</v>
      </c>
      <c r="B769" t="s">
        <v>11</v>
      </c>
      <c r="C769" t="s">
        <v>20</v>
      </c>
      <c r="K769" s="25">
        <f>(Table2[[#This Row],[Home Pace]]/100)*(VLOOKUP(Table2[[#This Row],[Home/Neutral]],home_lookup,8,FALSE)+VLOOKUP(Table2[[#This Row],[Home/Neutral]],OFR_lookup,2,FALSE)+VLOOKUP(Table2[[#This Row],[Visitor/Neutral]],def_diff_lookup,6,FALSE))</f>
        <v>97.054759044072824</v>
      </c>
      <c r="L769" s="25"/>
      <c r="M769" s="25">
        <f>(Table2[[#This Row],[Away Pace]]/100)*(VLOOKUP(Table2[[#This Row],[Visitor/Neutral]],OFR_lookup,2,FALSE)+VLOOKUP(Table2[[#This Row],[Home/Neutral]],def_diff_lookup,6,FALSE))</f>
        <v>89.809806000000023</v>
      </c>
      <c r="N769" s="25"/>
      <c r="O769" s="25"/>
      <c r="P769">
        <f>VLOOKUP(Table2[[#This Row],[Home/Neutral]],pace_lookup,7,FALSE)</f>
        <v>99.7</v>
      </c>
      <c r="Q769" s="5">
        <f>VLOOKUP(Table2[[#This Row],[Visitor/Neutral]],pace_lookup,7,FALSE)</f>
        <v>90.9</v>
      </c>
      <c r="R769" s="9"/>
      <c r="V769" s="2">
        <f>-home-VLOOKUP(Table2[[#This Row],[Home/Neutral]],rtg_vlookup,4,FALSE)+VLOOKUP(Table2[[#This Row],[Visitor/Neutral]],rtg_vlookup,4,FALSE)</f>
        <v>-7.3051184834123308</v>
      </c>
      <c r="W769" s="25"/>
      <c r="X769" s="2"/>
      <c r="Y769" s="2">
        <f>Table2[[#This Row],[Away EV]]-Table2[[#This Row],[Home EV]]</f>
        <v>-7.2449530440728012</v>
      </c>
      <c r="Z769" s="33"/>
      <c r="AA769" s="34"/>
      <c r="AB769" s="5" t="b">
        <f>IF(VLOOKUP(Table2[[#This Row],[Home/Neutral]],division_lookup,9,FALSE)=VLOOKUP(Table2[[#This Row],[Visitor/Neutral]],division_lookup,9,FALSE),TRUE,FALSE)</f>
        <v>0</v>
      </c>
      <c r="AC769" s="19" t="str">
        <f>VLOOKUP(Table2[[#This Row],[Home/Neutral]],division_lookup,9,FALSE)</f>
        <v>SE</v>
      </c>
      <c r="AD769" s="19"/>
      <c r="AE769" s="19" t="str">
        <f>IF(Table2[[#This Row],[Total EV ®]]&lt;Table2[[#This Row],[Total (V)]],"UNDER","OVER")</f>
        <v>OVER</v>
      </c>
      <c r="AF769" s="30">
        <f>Table2[[#This Row],[(A) Spread]]-Table2[[#This Row],[Spread (V)]]</f>
        <v>0</v>
      </c>
      <c r="AG769" s="19"/>
      <c r="AH769" s="2">
        <f>Table2[[#This Row],[EV]]-Table2[[#This Row],[Spread (V)]]</f>
        <v>-7.2449530440728012</v>
      </c>
      <c r="AI769" s="22">
        <f>Table2[[#This Row],[(A)]]-Table2[[#This Row],[Spread]]</f>
        <v>-7.3051184834123308</v>
      </c>
      <c r="AJ769" s="1">
        <f>Table2[[#This Row],[(A) Err]]^2</f>
        <v>53.364756056692471</v>
      </c>
      <c r="AK769" s="6">
        <f>Table2[[#This Row],[EV]]-Table2[[#This Row],[Spread]]</f>
        <v>-7.2449530440728012</v>
      </c>
      <c r="AL769" s="1">
        <f>Table2[[#This Row],[EV Err]]^2</f>
        <v>52.489344610819749</v>
      </c>
    </row>
    <row r="770" spans="1:38" x14ac:dyDescent="0.25">
      <c r="A770" t="s">
        <v>145</v>
      </c>
      <c r="B770" t="s">
        <v>27</v>
      </c>
      <c r="C770" t="s">
        <v>37</v>
      </c>
      <c r="K770" s="25">
        <f>(Table2[[#This Row],[Home Pace]]/100)*(VLOOKUP(Table2[[#This Row],[Home/Neutral]],home_lookup,8,FALSE)+VLOOKUP(Table2[[#This Row],[Home/Neutral]],OFR_lookup,2,FALSE)+VLOOKUP(Table2[[#This Row],[Visitor/Neutral]],def_diff_lookup,6,FALSE))</f>
        <v>101.52585642647257</v>
      </c>
      <c r="L770" s="25"/>
      <c r="M770" s="25">
        <f>(Table2[[#This Row],[Away Pace]]/100)*(VLOOKUP(Table2[[#This Row],[Visitor/Neutral]],OFR_lookup,2,FALSE)+VLOOKUP(Table2[[#This Row],[Home/Neutral]],def_diff_lookup,6,FALSE))</f>
        <v>87.808754000000008</v>
      </c>
      <c r="N770" s="25"/>
      <c r="O770" s="25"/>
      <c r="P770">
        <f>VLOOKUP(Table2[[#This Row],[Home/Neutral]],pace_lookup,7,FALSE)</f>
        <v>99</v>
      </c>
      <c r="Q770" s="5">
        <f>VLOOKUP(Table2[[#This Row],[Visitor/Neutral]],pace_lookup,7,FALSE)</f>
        <v>92.1</v>
      </c>
      <c r="R770" s="9"/>
      <c r="V770" s="2">
        <f>-home-VLOOKUP(Table2[[#This Row],[Home/Neutral]],rtg_vlookup,4,FALSE)+VLOOKUP(Table2[[#This Row],[Visitor/Neutral]],rtg_vlookup,4,FALSE)</f>
        <v>-9.6151184834123313</v>
      </c>
      <c r="W770" s="25"/>
      <c r="X770" s="2"/>
      <c r="Y770" s="2">
        <f>Table2[[#This Row],[Away EV]]-Table2[[#This Row],[Home EV]]</f>
        <v>-13.717102426472565</v>
      </c>
      <c r="Z770" s="33"/>
      <c r="AA770" s="34"/>
      <c r="AB770" s="5" t="b">
        <f>IF(VLOOKUP(Table2[[#This Row],[Home/Neutral]],division_lookup,9,FALSE)=VLOOKUP(Table2[[#This Row],[Visitor/Neutral]],division_lookup,9,FALSE),TRUE,FALSE)</f>
        <v>0</v>
      </c>
      <c r="AC770" s="19" t="str">
        <f>VLOOKUP(Table2[[#This Row],[Home/Neutral]],division_lookup,9,FALSE)</f>
        <v>NW</v>
      </c>
      <c r="AD770" s="19"/>
      <c r="AE770" s="19" t="str">
        <f>IF(Table2[[#This Row],[Total EV ®]]&lt;Table2[[#This Row],[Total (V)]],"UNDER","OVER")</f>
        <v>OVER</v>
      </c>
      <c r="AF770" s="30">
        <f>Table2[[#This Row],[(A) Spread]]-Table2[[#This Row],[Spread (V)]]</f>
        <v>0</v>
      </c>
      <c r="AG770" s="19"/>
      <c r="AH770" s="2">
        <f>Table2[[#This Row],[EV]]-Table2[[#This Row],[Spread (V)]]</f>
        <v>-13.717102426472565</v>
      </c>
      <c r="AI770" s="22">
        <f>Table2[[#This Row],[(A)]]-Table2[[#This Row],[Spread]]</f>
        <v>-9.6151184834123313</v>
      </c>
      <c r="AJ770" s="1">
        <f>Table2[[#This Row],[(A) Err]]^2</f>
        <v>92.450503450057454</v>
      </c>
      <c r="AK770" s="6">
        <f>Table2[[#This Row],[EV]]-Table2[[#This Row],[Spread]]</f>
        <v>-13.717102426472565</v>
      </c>
      <c r="AL770" s="1">
        <f>Table2[[#This Row],[EV Err]]^2</f>
        <v>188.15889897833952</v>
      </c>
    </row>
    <row r="771" spans="1:38" x14ac:dyDescent="0.25">
      <c r="A771" t="s">
        <v>145</v>
      </c>
      <c r="B771" t="s">
        <v>25</v>
      </c>
      <c r="C771" t="s">
        <v>39</v>
      </c>
      <c r="K771" s="25">
        <f>(Table2[[#This Row],[Home Pace]]/100)*(VLOOKUP(Table2[[#This Row],[Home/Neutral]],home_lookup,8,FALSE)+VLOOKUP(Table2[[#This Row],[Home/Neutral]],OFR_lookup,2,FALSE)+VLOOKUP(Table2[[#This Row],[Visitor/Neutral]],def_diff_lookup,6,FALSE))</f>
        <v>106.12302444427256</v>
      </c>
      <c r="L771" s="25"/>
      <c r="M771" s="25">
        <f>(Table2[[#This Row],[Away Pace]]/100)*(VLOOKUP(Table2[[#This Row],[Visitor/Neutral]],OFR_lookup,2,FALSE)+VLOOKUP(Table2[[#This Row],[Home/Neutral]],def_diff_lookup,6,FALSE))</f>
        <v>93.961400000000012</v>
      </c>
      <c r="N771" s="25"/>
      <c r="O771" s="25"/>
      <c r="P771">
        <f>VLOOKUP(Table2[[#This Row],[Home/Neutral]],pace_lookup,7,FALSE)</f>
        <v>94.4</v>
      </c>
      <c r="Q771" s="5">
        <f>VLOOKUP(Table2[[#This Row],[Visitor/Neutral]],pace_lookup,7,FALSE)</f>
        <v>97.5</v>
      </c>
      <c r="R771" s="9"/>
      <c r="V771" s="2">
        <f>-home-VLOOKUP(Table2[[#This Row],[Home/Neutral]],rtg_vlookup,4,FALSE)+VLOOKUP(Table2[[#This Row],[Visitor/Neutral]],rtg_vlookup,4,FALSE)</f>
        <v>-11.985118483412331</v>
      </c>
      <c r="W771" s="25"/>
      <c r="X771" s="2"/>
      <c r="Y771" s="2">
        <f>Table2[[#This Row],[Away EV]]-Table2[[#This Row],[Home EV]]</f>
        <v>-12.161624444272547</v>
      </c>
      <c r="Z771" s="33"/>
      <c r="AA771" s="34"/>
      <c r="AB771" s="5" t="b">
        <f>IF(VLOOKUP(Table2[[#This Row],[Home/Neutral]],division_lookup,9,FALSE)=VLOOKUP(Table2[[#This Row],[Visitor/Neutral]],division_lookup,9,FALSE),TRUE,FALSE)</f>
        <v>0</v>
      </c>
      <c r="AC771" s="19" t="str">
        <f>VLOOKUP(Table2[[#This Row],[Home/Neutral]],division_lookup,9,FALSE)</f>
        <v>C</v>
      </c>
      <c r="AD771" s="19"/>
      <c r="AE771" s="19" t="str">
        <f>IF(Table2[[#This Row],[Total EV ®]]&lt;Table2[[#This Row],[Total (V)]],"UNDER","OVER")</f>
        <v>OVER</v>
      </c>
      <c r="AF771" s="30">
        <f>Table2[[#This Row],[(A) Spread]]-Table2[[#This Row],[Spread (V)]]</f>
        <v>0</v>
      </c>
      <c r="AG771" s="19"/>
      <c r="AH771" s="2">
        <f>Table2[[#This Row],[EV]]-Table2[[#This Row],[Spread (V)]]</f>
        <v>-12.161624444272547</v>
      </c>
      <c r="AI771" s="22">
        <f>Table2[[#This Row],[(A)]]-Table2[[#This Row],[Spread]]</f>
        <v>-11.985118483412331</v>
      </c>
      <c r="AJ771" s="1">
        <f>Table2[[#This Row],[(A) Err]]^2</f>
        <v>143.64306506143188</v>
      </c>
      <c r="AK771" s="6">
        <f>Table2[[#This Row],[EV]]-Table2[[#This Row],[Spread]]</f>
        <v>-12.161624444272547</v>
      </c>
      <c r="AL771" s="1">
        <f>Table2[[#This Row],[EV Err]]^2</f>
        <v>147.90510912352755</v>
      </c>
    </row>
    <row r="772" spans="1:38" x14ac:dyDescent="0.25">
      <c r="A772" t="s">
        <v>145</v>
      </c>
      <c r="B772" t="s">
        <v>33</v>
      </c>
      <c r="C772" t="s">
        <v>18</v>
      </c>
      <c r="K772" s="25">
        <f>(Table2[[#This Row],[Home Pace]]/100)*(VLOOKUP(Table2[[#This Row],[Home/Neutral]],home_lookup,8,FALSE)+VLOOKUP(Table2[[#This Row],[Home/Neutral]],OFR_lookup,2,FALSE)+VLOOKUP(Table2[[#This Row],[Visitor/Neutral]],def_diff_lookup,6,FALSE))</f>
        <v>103.41423852057507</v>
      </c>
      <c r="L772" s="25"/>
      <c r="M772" s="25">
        <f>(Table2[[#This Row],[Away Pace]]/100)*(VLOOKUP(Table2[[#This Row],[Visitor/Neutral]],OFR_lookup,2,FALSE)+VLOOKUP(Table2[[#This Row],[Home/Neutral]],def_diff_lookup,6,FALSE))</f>
        <v>106.40596333333335</v>
      </c>
      <c r="N772" s="25"/>
      <c r="O772" s="25"/>
      <c r="P772">
        <f>VLOOKUP(Table2[[#This Row],[Home/Neutral]],pace_lookup,7,FALSE)</f>
        <v>98.2</v>
      </c>
      <c r="Q772" s="5">
        <f>VLOOKUP(Table2[[#This Row],[Visitor/Neutral]],pace_lookup,7,FALSE)</f>
        <v>99.5</v>
      </c>
      <c r="R772" s="9"/>
      <c r="V772" s="2">
        <f>-home-VLOOKUP(Table2[[#This Row],[Home/Neutral]],rtg_vlookup,4,FALSE)+VLOOKUP(Table2[[#This Row],[Visitor/Neutral]],rtg_vlookup,4,FALSE)</f>
        <v>4.8448815165876695</v>
      </c>
      <c r="W772" s="25"/>
      <c r="X772" s="2"/>
      <c r="Y772" s="2">
        <f>Table2[[#This Row],[Away EV]]-Table2[[#This Row],[Home EV]]</f>
        <v>2.9917248127582781</v>
      </c>
      <c r="Z772" s="33"/>
      <c r="AA772" s="34"/>
      <c r="AB772" s="5" t="b">
        <f>IF(VLOOKUP(Table2[[#This Row],[Home/Neutral]],division_lookup,9,FALSE)=VLOOKUP(Table2[[#This Row],[Visitor/Neutral]],division_lookup,9,FALSE),TRUE,FALSE)</f>
        <v>0</v>
      </c>
      <c r="AC772" s="19" t="str">
        <f>VLOOKUP(Table2[[#This Row],[Home/Neutral]],division_lookup,9,FALSE)</f>
        <v>C</v>
      </c>
      <c r="AD772" s="19"/>
      <c r="AE772" s="19" t="str">
        <f>IF(Table2[[#This Row],[Total EV ®]]&lt;Table2[[#This Row],[Total (V)]],"UNDER","OVER")</f>
        <v>OVER</v>
      </c>
      <c r="AF772" s="30">
        <f>Table2[[#This Row],[(A) Spread]]-Table2[[#This Row],[Spread (V)]]</f>
        <v>0</v>
      </c>
      <c r="AG772" s="19"/>
      <c r="AH772" s="2">
        <f>Table2[[#This Row],[EV]]-Table2[[#This Row],[Spread (V)]]</f>
        <v>2.9917248127582781</v>
      </c>
      <c r="AI772" s="22">
        <f>Table2[[#This Row],[(A)]]-Table2[[#This Row],[Spread]]</f>
        <v>4.8448815165876695</v>
      </c>
      <c r="AJ772" s="1">
        <f>Table2[[#This Row],[(A) Err]]^2</f>
        <v>23.472876909772836</v>
      </c>
      <c r="AK772" s="6">
        <f>Table2[[#This Row],[EV]]-Table2[[#This Row],[Spread]]</f>
        <v>2.9917248127582781</v>
      </c>
      <c r="AL772" s="1">
        <f>Table2[[#This Row],[EV Err]]^2</f>
        <v>8.9504173552735544</v>
      </c>
    </row>
    <row r="773" spans="1:38" x14ac:dyDescent="0.25">
      <c r="A773" t="s">
        <v>145</v>
      </c>
      <c r="B773" t="s">
        <v>23</v>
      </c>
      <c r="C773" t="s">
        <v>6</v>
      </c>
      <c r="K773" s="25">
        <f>(Table2[[#This Row],[Home Pace]]/100)*(VLOOKUP(Table2[[#This Row],[Home/Neutral]],home_lookup,8,FALSE)+VLOOKUP(Table2[[#This Row],[Home/Neutral]],OFR_lookup,2,FALSE)+VLOOKUP(Table2[[#This Row],[Visitor/Neutral]],def_diff_lookup,6,FALSE))</f>
        <v>99.806887358713595</v>
      </c>
      <c r="L773" s="25"/>
      <c r="M773" s="25">
        <f>(Table2[[#This Row],[Away Pace]]/100)*(VLOOKUP(Table2[[#This Row],[Visitor/Neutral]],OFR_lookup,2,FALSE)+VLOOKUP(Table2[[#This Row],[Home/Neutral]],def_diff_lookup,6,FALSE))</f>
        <v>99.27315066666668</v>
      </c>
      <c r="N773" s="25"/>
      <c r="O773" s="25"/>
      <c r="P773">
        <f>VLOOKUP(Table2[[#This Row],[Home/Neutral]],pace_lookup,7,FALSE)</f>
        <v>92.5</v>
      </c>
      <c r="Q773" s="5">
        <f>VLOOKUP(Table2[[#This Row],[Visitor/Neutral]],pace_lookup,7,FALSE)</f>
        <v>93.1</v>
      </c>
      <c r="R773" s="9"/>
      <c r="V773" s="2">
        <f>-home-VLOOKUP(Table2[[#This Row],[Home/Neutral]],rtg_vlookup,4,FALSE)+VLOOKUP(Table2[[#This Row],[Visitor/Neutral]],rtg_vlookup,4,FALSE)</f>
        <v>1.8748815165876689</v>
      </c>
      <c r="W773" s="25"/>
      <c r="X773" s="2"/>
      <c r="Y773" s="2">
        <f>Table2[[#This Row],[Away EV]]-Table2[[#This Row],[Home EV]]</f>
        <v>-0.5337366920469151</v>
      </c>
      <c r="Z773" s="33"/>
      <c r="AA773" s="34"/>
      <c r="AB773" s="5" t="b">
        <f>IF(VLOOKUP(Table2[[#This Row],[Home/Neutral]],division_lookup,9,FALSE)=VLOOKUP(Table2[[#This Row],[Visitor/Neutral]],division_lookup,9,FALSE),TRUE,FALSE)</f>
        <v>1</v>
      </c>
      <c r="AC773" s="19" t="str">
        <f>VLOOKUP(Table2[[#This Row],[Home/Neutral]],division_lookup,9,FALSE)</f>
        <v>SW</v>
      </c>
      <c r="AD773" s="19"/>
      <c r="AE773" s="19" t="str">
        <f>IF(Table2[[#This Row],[Total EV ®]]&lt;Table2[[#This Row],[Total (V)]],"UNDER","OVER")</f>
        <v>OVER</v>
      </c>
      <c r="AF773" s="30">
        <f>Table2[[#This Row],[(A) Spread]]-Table2[[#This Row],[Spread (V)]]</f>
        <v>0</v>
      </c>
      <c r="AG773" s="19"/>
      <c r="AH773" s="2">
        <f>Table2[[#This Row],[EV]]-Table2[[#This Row],[Spread (V)]]</f>
        <v>-0.5337366920469151</v>
      </c>
      <c r="AI773" s="22">
        <f>Table2[[#This Row],[(A)]]-Table2[[#This Row],[Spread]]</f>
        <v>1.8748815165876689</v>
      </c>
      <c r="AJ773" s="1">
        <f>Table2[[#This Row],[(A) Err]]^2</f>
        <v>3.5151807012420773</v>
      </c>
      <c r="AK773" s="6">
        <f>Table2[[#This Row],[EV]]-Table2[[#This Row],[Spread]]</f>
        <v>-0.5337366920469151</v>
      </c>
      <c r="AL773" s="1">
        <f>Table2[[#This Row],[EV Err]]^2</f>
        <v>0.28487485643718347</v>
      </c>
    </row>
    <row r="774" spans="1:38" x14ac:dyDescent="0.25">
      <c r="A774" t="s">
        <v>145</v>
      </c>
      <c r="B774" t="s">
        <v>22</v>
      </c>
      <c r="C774" t="s">
        <v>21</v>
      </c>
      <c r="K774" s="25">
        <f>(Table2[[#This Row],[Home Pace]]/100)*(VLOOKUP(Table2[[#This Row],[Home/Neutral]],home_lookup,8,FALSE)+VLOOKUP(Table2[[#This Row],[Home/Neutral]],OFR_lookup,2,FALSE)+VLOOKUP(Table2[[#This Row],[Visitor/Neutral]],def_diff_lookup,6,FALSE))</f>
        <v>107.35521922968977</v>
      </c>
      <c r="L774" s="25"/>
      <c r="M774" s="25">
        <f>(Table2[[#This Row],[Away Pace]]/100)*(VLOOKUP(Table2[[#This Row],[Visitor/Neutral]],OFR_lookup,2,FALSE)+VLOOKUP(Table2[[#This Row],[Home/Neutral]],def_diff_lookup,6,FALSE))</f>
        <v>100.31420800000002</v>
      </c>
      <c r="N774" s="25"/>
      <c r="O774" s="25"/>
      <c r="P774">
        <f>VLOOKUP(Table2[[#This Row],[Home/Neutral]],pace_lookup,7,FALSE)</f>
        <v>94.7</v>
      </c>
      <c r="Q774" s="5">
        <f>VLOOKUP(Table2[[#This Row],[Visitor/Neutral]],pace_lookup,7,FALSE)</f>
        <v>94.2</v>
      </c>
      <c r="R774" s="9"/>
      <c r="V774" s="2">
        <f>-home-VLOOKUP(Table2[[#This Row],[Home/Neutral]],rtg_vlookup,4,FALSE)+VLOOKUP(Table2[[#This Row],[Visitor/Neutral]],rtg_vlookup,4,FALSE)</f>
        <v>-3.7251184834123308</v>
      </c>
      <c r="W774" s="25"/>
      <c r="X774" s="2"/>
      <c r="Y774" s="2">
        <f>Table2[[#This Row],[Away EV]]-Table2[[#This Row],[Home EV]]</f>
        <v>-7.0410112296897438</v>
      </c>
      <c r="Z774" s="33"/>
      <c r="AA774" s="34"/>
      <c r="AB774" s="5" t="b">
        <f>IF(VLOOKUP(Table2[[#This Row],[Home/Neutral]],division_lookup,9,FALSE)=VLOOKUP(Table2[[#This Row],[Visitor/Neutral]],division_lookup,9,FALSE),TRUE,FALSE)</f>
        <v>0</v>
      </c>
      <c r="AC774" s="19" t="str">
        <f>VLOOKUP(Table2[[#This Row],[Home/Neutral]],division_lookup,9,FALSE)</f>
        <v>NW</v>
      </c>
      <c r="AD774" s="19"/>
      <c r="AE774" s="19" t="str">
        <f>IF(Table2[[#This Row],[Total EV ®]]&lt;Table2[[#This Row],[Total (V)]],"UNDER","OVER")</f>
        <v>OVER</v>
      </c>
      <c r="AF774" s="30">
        <f>Table2[[#This Row],[(A) Spread]]-Table2[[#This Row],[Spread (V)]]</f>
        <v>0</v>
      </c>
      <c r="AG774" s="19"/>
      <c r="AH774" s="2">
        <f>Table2[[#This Row],[EV]]-Table2[[#This Row],[Spread (V)]]</f>
        <v>-7.0410112296897438</v>
      </c>
      <c r="AI774" s="22">
        <f>Table2[[#This Row],[(A)]]-Table2[[#This Row],[Spread]]</f>
        <v>-3.7251184834123308</v>
      </c>
      <c r="AJ774" s="1">
        <f>Table2[[#This Row],[(A) Err]]^2</f>
        <v>13.876507715460184</v>
      </c>
      <c r="AK774" s="6">
        <f>Table2[[#This Row],[EV]]-Table2[[#This Row],[Spread]]</f>
        <v>-7.0410112296897438</v>
      </c>
      <c r="AL774" s="1">
        <f>Table2[[#This Row],[EV Err]]^2</f>
        <v>49.575839136617077</v>
      </c>
    </row>
    <row r="775" spans="1:38" x14ac:dyDescent="0.25">
      <c r="A775" t="s">
        <v>145</v>
      </c>
      <c r="B775" t="s">
        <v>34</v>
      </c>
      <c r="C775" t="s">
        <v>36</v>
      </c>
      <c r="K775" s="25">
        <f>(Table2[[#This Row],[Home Pace]]/100)*(VLOOKUP(Table2[[#This Row],[Home/Neutral]],home_lookup,8,FALSE)+VLOOKUP(Table2[[#This Row],[Home/Neutral]],OFR_lookup,2,FALSE)+VLOOKUP(Table2[[#This Row],[Visitor/Neutral]],def_diff_lookup,6,FALSE))</f>
        <v>107.71347864565556</v>
      </c>
      <c r="L775" s="25"/>
      <c r="M775" s="25">
        <f>(Table2[[#This Row],[Away Pace]]/100)*(VLOOKUP(Table2[[#This Row],[Visitor/Neutral]],OFR_lookup,2,FALSE)+VLOOKUP(Table2[[#This Row],[Home/Neutral]],def_diff_lookup,6,FALSE))</f>
        <v>104.96008133333335</v>
      </c>
      <c r="N775" s="25"/>
      <c r="O775" s="25"/>
      <c r="P775">
        <f>VLOOKUP(Table2[[#This Row],[Home/Neutral]],pace_lookup,7,FALSE)</f>
        <v>98.8</v>
      </c>
      <c r="Q775" s="5">
        <f>VLOOKUP(Table2[[#This Row],[Visitor/Neutral]],pace_lookup,7,FALSE)</f>
        <v>102.2</v>
      </c>
      <c r="R775" s="9"/>
      <c r="V775" s="2">
        <f>-home-VLOOKUP(Table2[[#This Row],[Home/Neutral]],rtg_vlookup,4,FALSE)+VLOOKUP(Table2[[#This Row],[Visitor/Neutral]],rtg_vlookup,4,FALSE)</f>
        <v>-3.8951184834123307</v>
      </c>
      <c r="W775" s="25"/>
      <c r="X775" s="2"/>
      <c r="Y775" s="2">
        <f>Table2[[#This Row],[Away EV]]-Table2[[#This Row],[Home EV]]</f>
        <v>-2.7533973123222069</v>
      </c>
      <c r="Z775" s="33"/>
      <c r="AA775" s="34"/>
      <c r="AB775" s="5" t="b">
        <f>IF(VLOOKUP(Table2[[#This Row],[Home/Neutral]],division_lookup,9,FALSE)=VLOOKUP(Table2[[#This Row],[Visitor/Neutral]],division_lookup,9,FALSE),TRUE,FALSE)</f>
        <v>0</v>
      </c>
      <c r="AC775" s="19" t="str">
        <f>VLOOKUP(Table2[[#This Row],[Home/Neutral]],division_lookup,9,FALSE)</f>
        <v>SW</v>
      </c>
      <c r="AD775" s="19"/>
      <c r="AE775" s="19" t="str">
        <f>IF(Table2[[#This Row],[Total EV ®]]&lt;Table2[[#This Row],[Total (V)]],"UNDER","OVER")</f>
        <v>OVER</v>
      </c>
      <c r="AF775" s="30">
        <f>Table2[[#This Row],[(A) Spread]]-Table2[[#This Row],[Spread (V)]]</f>
        <v>0</v>
      </c>
      <c r="AG775" s="19"/>
      <c r="AH775" s="2">
        <f>Table2[[#This Row],[EV]]-Table2[[#This Row],[Spread (V)]]</f>
        <v>-2.7533973123222069</v>
      </c>
      <c r="AI775" s="22">
        <f>Table2[[#This Row],[(A)]]-Table2[[#This Row],[Spread]]</f>
        <v>-3.8951184834123307</v>
      </c>
      <c r="AJ775" s="1">
        <f>Table2[[#This Row],[(A) Err]]^2</f>
        <v>15.171947999820375</v>
      </c>
      <c r="AK775" s="6">
        <f>Table2[[#This Row],[EV]]-Table2[[#This Row],[Spread]]</f>
        <v>-2.7533973123222069</v>
      </c>
      <c r="AL775" s="1">
        <f>Table2[[#This Row],[EV Err]]^2</f>
        <v>7.5811967595031522</v>
      </c>
    </row>
    <row r="776" spans="1:38" x14ac:dyDescent="0.25">
      <c r="A776" t="s">
        <v>145</v>
      </c>
      <c r="B776" t="s">
        <v>31</v>
      </c>
      <c r="C776" t="s">
        <v>24</v>
      </c>
      <c r="K776" s="25">
        <f>(Table2[[#This Row],[Home Pace]]/100)*(VLOOKUP(Table2[[#This Row],[Home/Neutral]],home_lookup,8,FALSE)+VLOOKUP(Table2[[#This Row],[Home/Neutral]],OFR_lookup,2,FALSE)+VLOOKUP(Table2[[#This Row],[Visitor/Neutral]],def_diff_lookup,6,FALSE))</f>
        <v>114.15337430217889</v>
      </c>
      <c r="L776" s="25"/>
      <c r="M776" s="25">
        <f>(Table2[[#This Row],[Away Pace]]/100)*(VLOOKUP(Table2[[#This Row],[Visitor/Neutral]],OFR_lookup,2,FALSE)+VLOOKUP(Table2[[#This Row],[Home/Neutral]],def_diff_lookup,6,FALSE))</f>
        <v>115.13541600000002</v>
      </c>
      <c r="N776" s="25"/>
      <c r="O776" s="25"/>
      <c r="P776">
        <f>VLOOKUP(Table2[[#This Row],[Home/Neutral]],pace_lookup,7,FALSE)</f>
        <v>96</v>
      </c>
      <c r="Q776" s="5">
        <f>VLOOKUP(Table2[[#This Row],[Visitor/Neutral]],pace_lookup,7,FALSE)</f>
        <v>99.9</v>
      </c>
      <c r="R776" s="9"/>
      <c r="V776" s="2">
        <f>-home-VLOOKUP(Table2[[#This Row],[Home/Neutral]],rtg_vlookup,4,FALSE)+VLOOKUP(Table2[[#This Row],[Visitor/Neutral]],rtg_vlookup,4,FALSE)</f>
        <v>-0.22511848341233054</v>
      </c>
      <c r="W776" s="25"/>
      <c r="X776" s="2"/>
      <c r="Y776" s="2">
        <f>Table2[[#This Row],[Away EV]]-Table2[[#This Row],[Home EV]]</f>
        <v>0.98204169782113127</v>
      </c>
      <c r="Z776" s="33"/>
      <c r="AA776" s="34"/>
      <c r="AB776" s="5" t="b">
        <f>IF(VLOOKUP(Table2[[#This Row],[Home/Neutral]],division_lookup,9,FALSE)=VLOOKUP(Table2[[#This Row],[Visitor/Neutral]],division_lookup,9,FALSE),TRUE,FALSE)</f>
        <v>0</v>
      </c>
      <c r="AC776" s="19" t="str">
        <f>VLOOKUP(Table2[[#This Row],[Home/Neutral]],division_lookup,9,FALSE)</f>
        <v>A</v>
      </c>
      <c r="AD776" s="19"/>
      <c r="AE776" s="19" t="str">
        <f>IF(Table2[[#This Row],[Total EV ®]]&lt;Table2[[#This Row],[Total (V)]],"UNDER","OVER")</f>
        <v>OVER</v>
      </c>
      <c r="AF776" s="30">
        <f>Table2[[#This Row],[(A) Spread]]-Table2[[#This Row],[Spread (V)]]</f>
        <v>0</v>
      </c>
      <c r="AG776" s="19"/>
      <c r="AH776" s="2">
        <f>Table2[[#This Row],[EV]]-Table2[[#This Row],[Spread (V)]]</f>
        <v>0.98204169782113127</v>
      </c>
      <c r="AI776" s="22">
        <f>Table2[[#This Row],[(A)]]-Table2[[#This Row],[Spread]]</f>
        <v>-0.22511848341233054</v>
      </c>
      <c r="AJ776" s="1">
        <f>Table2[[#This Row],[(A) Err]]^2</f>
        <v>5.0678331573867738E-2</v>
      </c>
      <c r="AK776" s="6">
        <f>Table2[[#This Row],[EV]]-Table2[[#This Row],[Spread]]</f>
        <v>0.98204169782113127</v>
      </c>
      <c r="AL776" s="1">
        <f>Table2[[#This Row],[EV Err]]^2</f>
        <v>0.96440589625941009</v>
      </c>
    </row>
    <row r="777" spans="1:38" x14ac:dyDescent="0.25">
      <c r="A777" t="s">
        <v>145</v>
      </c>
      <c r="B777" t="s">
        <v>29</v>
      </c>
      <c r="C777" t="s">
        <v>13</v>
      </c>
      <c r="K777" s="25">
        <f>(Table2[[#This Row],[Home Pace]]/100)*(VLOOKUP(Table2[[#This Row],[Home/Neutral]],home_lookup,8,FALSE)+VLOOKUP(Table2[[#This Row],[Home/Neutral]],OFR_lookup,2,FALSE)+VLOOKUP(Table2[[#This Row],[Visitor/Neutral]],def_diff_lookup,6,FALSE))</f>
        <v>108.31386926898523</v>
      </c>
      <c r="L777" s="25"/>
      <c r="M777" s="25">
        <f>(Table2[[#This Row],[Away Pace]]/100)*(VLOOKUP(Table2[[#This Row],[Visitor/Neutral]],OFR_lookup,2,FALSE)+VLOOKUP(Table2[[#This Row],[Home/Neutral]],def_diff_lookup,6,FALSE))</f>
        <v>108.27873</v>
      </c>
      <c r="N777" s="25"/>
      <c r="O777" s="25"/>
      <c r="P777">
        <f>VLOOKUP(Table2[[#This Row],[Home/Neutral]],pace_lookup,7,FALSE)</f>
        <v>93.8</v>
      </c>
      <c r="Q777" s="5">
        <f>VLOOKUP(Table2[[#This Row],[Visitor/Neutral]],pace_lookup,7,FALSE)</f>
        <v>94.5</v>
      </c>
      <c r="R777" s="9"/>
      <c r="V777" s="2">
        <f>-home-VLOOKUP(Table2[[#This Row],[Home/Neutral]],rtg_vlookup,4,FALSE)+VLOOKUP(Table2[[#This Row],[Visitor/Neutral]],rtg_vlookup,4,FALSE)</f>
        <v>5.204881516587669</v>
      </c>
      <c r="W777" s="25"/>
      <c r="X777" s="2"/>
      <c r="Y777" s="2">
        <f>Table2[[#This Row],[Away EV]]-Table2[[#This Row],[Home EV]]</f>
        <v>-3.513926898523323E-2</v>
      </c>
      <c r="Z777" s="33"/>
      <c r="AA777" s="34"/>
      <c r="AB777" s="5" t="b">
        <f>IF(VLOOKUP(Table2[[#This Row],[Home/Neutral]],division_lookup,9,FALSE)=VLOOKUP(Table2[[#This Row],[Visitor/Neutral]],division_lookup,9,FALSE),TRUE,FALSE)</f>
        <v>0</v>
      </c>
      <c r="AC777" s="19" t="str">
        <f>VLOOKUP(Table2[[#This Row],[Home/Neutral]],division_lookup,9,FALSE)</f>
        <v>P</v>
      </c>
      <c r="AD777" s="19"/>
      <c r="AE777" s="19" t="str">
        <f>IF(Table2[[#This Row],[Total EV ®]]&lt;Table2[[#This Row],[Total (V)]],"UNDER","OVER")</f>
        <v>OVER</v>
      </c>
      <c r="AF777" s="30">
        <f>Table2[[#This Row],[(A) Spread]]-Table2[[#This Row],[Spread (V)]]</f>
        <v>0</v>
      </c>
      <c r="AG777" s="19"/>
      <c r="AH777" s="2">
        <f>Table2[[#This Row],[EV]]-Table2[[#This Row],[Spread (V)]]</f>
        <v>-3.513926898523323E-2</v>
      </c>
      <c r="AI777" s="22">
        <f>Table2[[#This Row],[(A)]]-Table2[[#This Row],[Spread]]</f>
        <v>5.204881516587669</v>
      </c>
      <c r="AJ777" s="1">
        <f>Table2[[#This Row],[(A) Err]]^2</f>
        <v>27.090791601715953</v>
      </c>
      <c r="AK777" s="6">
        <f>Table2[[#This Row],[EV]]-Table2[[#This Row],[Spread]]</f>
        <v>-3.513926898523323E-2</v>
      </c>
      <c r="AL777" s="1">
        <f>Table2[[#This Row],[EV Err]]^2</f>
        <v>1.234768224816574E-3</v>
      </c>
    </row>
    <row r="778" spans="1:38" x14ac:dyDescent="0.25">
      <c r="A778" t="s">
        <v>145</v>
      </c>
      <c r="B778" t="s">
        <v>14</v>
      </c>
      <c r="C778" t="s">
        <v>4</v>
      </c>
      <c r="K778" s="25">
        <f>(Table2[[#This Row],[Home Pace]]/100)*(VLOOKUP(Table2[[#This Row],[Home/Neutral]],home_lookup,8,FALSE)+VLOOKUP(Table2[[#This Row],[Home/Neutral]],OFR_lookup,2,FALSE)+VLOOKUP(Table2[[#This Row],[Visitor/Neutral]],def_diff_lookup,6,FALSE))</f>
        <v>101.3274741424145</v>
      </c>
      <c r="L778" s="25"/>
      <c r="M778" s="25">
        <f>(Table2[[#This Row],[Away Pace]]/100)*(VLOOKUP(Table2[[#This Row],[Visitor/Neutral]],OFR_lookup,2,FALSE)+VLOOKUP(Table2[[#This Row],[Home/Neutral]],def_diff_lookup,6,FALSE))</f>
        <v>112.781144</v>
      </c>
      <c r="N778" s="25"/>
      <c r="O778" s="25"/>
      <c r="P778">
        <f>VLOOKUP(Table2[[#This Row],[Home/Neutral]],pace_lookup,7,FALSE)</f>
        <v>95.9</v>
      </c>
      <c r="Q778" s="5">
        <f>VLOOKUP(Table2[[#This Row],[Visitor/Neutral]],pace_lookup,7,FALSE)</f>
        <v>96.6</v>
      </c>
      <c r="R778" s="9"/>
      <c r="V778" s="2">
        <f>-home-VLOOKUP(Table2[[#This Row],[Home/Neutral]],rtg_vlookup,4,FALSE)+VLOOKUP(Table2[[#This Row],[Visitor/Neutral]],rtg_vlookup,4,FALSE)</f>
        <v>6.9448815165876701</v>
      </c>
      <c r="W778" s="25"/>
      <c r="X778" s="2"/>
      <c r="Y778" s="2">
        <f>Table2[[#This Row],[Away EV]]-Table2[[#This Row],[Home EV]]</f>
        <v>11.453669857585496</v>
      </c>
      <c r="Z778" s="33"/>
      <c r="AA778" s="34"/>
      <c r="AB778" s="5" t="b">
        <f>IF(VLOOKUP(Table2[[#This Row],[Home/Neutral]],division_lookup,9,FALSE)=VLOOKUP(Table2[[#This Row],[Visitor/Neutral]],division_lookup,9,FALSE),TRUE,FALSE)</f>
        <v>0</v>
      </c>
      <c r="AC778" s="19" t="str">
        <f>VLOOKUP(Table2[[#This Row],[Home/Neutral]],division_lookup,9,FALSE)</f>
        <v>A</v>
      </c>
      <c r="AD778" s="19"/>
      <c r="AE778" s="19" t="str">
        <f>IF(Table2[[#This Row],[Total EV ®]]&lt;Table2[[#This Row],[Total (V)]],"UNDER","OVER")</f>
        <v>OVER</v>
      </c>
      <c r="AF778" s="30">
        <f>Table2[[#This Row],[(A) Spread]]-Table2[[#This Row],[Spread (V)]]</f>
        <v>0</v>
      </c>
      <c r="AG778" s="19"/>
      <c r="AH778" s="2">
        <f>Table2[[#This Row],[EV]]-Table2[[#This Row],[Spread (V)]]</f>
        <v>11.453669857585496</v>
      </c>
      <c r="AI778" s="22">
        <f>Table2[[#This Row],[(A)]]-Table2[[#This Row],[Spread]]</f>
        <v>6.9448815165876701</v>
      </c>
      <c r="AJ778" s="1">
        <f>Table2[[#This Row],[(A) Err]]^2</f>
        <v>48.231379279441057</v>
      </c>
      <c r="AK778" s="6">
        <f>Table2[[#This Row],[EV]]-Table2[[#This Row],[Spread]]</f>
        <v>11.453669857585496</v>
      </c>
      <c r="AL778" s="1">
        <f>Table2[[#This Row],[EV Err]]^2</f>
        <v>131.18655320656254</v>
      </c>
    </row>
    <row r="779" spans="1:38" x14ac:dyDescent="0.25">
      <c r="A779" t="s">
        <v>145</v>
      </c>
      <c r="B779" t="s">
        <v>28</v>
      </c>
      <c r="C779" t="s">
        <v>8</v>
      </c>
      <c r="K779" s="25">
        <f>(Table2[[#This Row],[Home Pace]]/100)*(VLOOKUP(Table2[[#This Row],[Home/Neutral]],home_lookup,8,FALSE)+VLOOKUP(Table2[[#This Row],[Home/Neutral]],OFR_lookup,2,FALSE)+VLOOKUP(Table2[[#This Row],[Visitor/Neutral]],def_diff_lookup,6,FALSE))</f>
        <v>106.42793553204274</v>
      </c>
      <c r="L779" s="25"/>
      <c r="M779" s="25">
        <f>(Table2[[#This Row],[Away Pace]]/100)*(VLOOKUP(Table2[[#This Row],[Visitor/Neutral]],OFR_lookup,2,FALSE)+VLOOKUP(Table2[[#This Row],[Home/Neutral]],def_diff_lookup,6,FALSE))</f>
        <v>110.973888</v>
      </c>
      <c r="N779" s="25"/>
      <c r="O779" s="25"/>
      <c r="P779">
        <f>VLOOKUP(Table2[[#This Row],[Home/Neutral]],pace_lookup,7,FALSE)</f>
        <v>96.3</v>
      </c>
      <c r="Q779" s="5">
        <f>VLOOKUP(Table2[[#This Row],[Visitor/Neutral]],pace_lookup,7,FALSE)</f>
        <v>97.2</v>
      </c>
      <c r="R779" s="9"/>
      <c r="V779" s="2">
        <f>-home-VLOOKUP(Table2[[#This Row],[Home/Neutral]],rtg_vlookup,4,FALSE)+VLOOKUP(Table2[[#This Row],[Visitor/Neutral]],rtg_vlookup,4,FALSE)</f>
        <v>6.0448815165876697</v>
      </c>
      <c r="W779" s="25"/>
      <c r="X779" s="2"/>
      <c r="Y779" s="2">
        <f>Table2[[#This Row],[Away EV]]-Table2[[#This Row],[Home EV]]</f>
        <v>4.5459524679572638</v>
      </c>
      <c r="Z779" s="33"/>
      <c r="AA779" s="34"/>
      <c r="AB779" s="5" t="b">
        <f>IF(VLOOKUP(Table2[[#This Row],[Home/Neutral]],division_lookup,9,FALSE)=VLOOKUP(Table2[[#This Row],[Visitor/Neutral]],division_lookup,9,FALSE),TRUE,FALSE)</f>
        <v>0</v>
      </c>
      <c r="AC779" s="19" t="str">
        <f>VLOOKUP(Table2[[#This Row],[Home/Neutral]],division_lookup,9,FALSE)</f>
        <v>SE</v>
      </c>
      <c r="AD779" s="19"/>
      <c r="AE779" s="19" t="str">
        <f>IF(Table2[[#This Row],[Total EV ®]]&lt;Table2[[#This Row],[Total (V)]],"UNDER","OVER")</f>
        <v>OVER</v>
      </c>
      <c r="AF779" s="30">
        <f>Table2[[#This Row],[(A) Spread]]-Table2[[#This Row],[Spread (V)]]</f>
        <v>0</v>
      </c>
      <c r="AG779" s="19"/>
      <c r="AH779" s="2">
        <f>Table2[[#This Row],[EV]]-Table2[[#This Row],[Spread (V)]]</f>
        <v>4.5459524679572638</v>
      </c>
      <c r="AI779" s="22">
        <f>Table2[[#This Row],[(A)]]-Table2[[#This Row],[Spread]]</f>
        <v>6.0448815165876697</v>
      </c>
      <c r="AJ779" s="1">
        <f>Table2[[#This Row],[(A) Err]]^2</f>
        <v>36.540592549583245</v>
      </c>
      <c r="AK779" s="6">
        <f>Table2[[#This Row],[EV]]-Table2[[#This Row],[Spread]]</f>
        <v>4.5459524679572638</v>
      </c>
      <c r="AL779" s="1">
        <f>Table2[[#This Row],[EV Err]]^2</f>
        <v>20.665683840926739</v>
      </c>
    </row>
    <row r="780" spans="1:38" x14ac:dyDescent="0.25">
      <c r="A780" t="s">
        <v>146</v>
      </c>
      <c r="B780" t="s">
        <v>16</v>
      </c>
      <c r="C780" t="s">
        <v>35</v>
      </c>
      <c r="K780" s="25">
        <f>(Table2[[#This Row],[Home Pace]]/100)*(VLOOKUP(Table2[[#This Row],[Home/Neutral]],home_lookup,8,FALSE)+VLOOKUP(Table2[[#This Row],[Home/Neutral]],OFR_lookup,2,FALSE)+VLOOKUP(Table2[[#This Row],[Visitor/Neutral]],def_diff_lookup,6,FALSE))</f>
        <v>107.1948560111595</v>
      </c>
      <c r="L780" s="25"/>
      <c r="M780" s="25">
        <f>(Table2[[#This Row],[Away Pace]]/100)*(VLOOKUP(Table2[[#This Row],[Visitor/Neutral]],OFR_lookup,2,FALSE)+VLOOKUP(Table2[[#This Row],[Home/Neutral]],def_diff_lookup,6,FALSE))</f>
        <v>104.04028133333335</v>
      </c>
      <c r="N780" s="25"/>
      <c r="O780" s="25"/>
      <c r="P780">
        <f>VLOOKUP(Table2[[#This Row],[Home/Neutral]],pace_lookup,7,FALSE)</f>
        <v>97.5</v>
      </c>
      <c r="Q780" s="5">
        <f>VLOOKUP(Table2[[#This Row],[Visitor/Neutral]],pace_lookup,7,FALSE)</f>
        <v>102.2</v>
      </c>
      <c r="R780" s="9"/>
      <c r="V780" s="2">
        <f>-home-VLOOKUP(Table2[[#This Row],[Home/Neutral]],rtg_vlookup,4,FALSE)+VLOOKUP(Table2[[#This Row],[Visitor/Neutral]],rtg_vlookup,4,FALSE)</f>
        <v>-11.65511848341233</v>
      </c>
      <c r="W780" s="25"/>
      <c r="X780" s="2"/>
      <c r="Y780" s="2">
        <f>Table2[[#This Row],[Away EV]]-Table2[[#This Row],[Home EV]]</f>
        <v>-3.1545746778261474</v>
      </c>
      <c r="Z780" s="33"/>
      <c r="AA780" s="34"/>
      <c r="AB780" s="5" t="b">
        <f>IF(VLOOKUP(Table2[[#This Row],[Home/Neutral]],division_lookup,9,FALSE)=VLOOKUP(Table2[[#This Row],[Visitor/Neutral]],division_lookup,9,FALSE),TRUE,FALSE)</f>
        <v>0</v>
      </c>
      <c r="AC780" s="19" t="str">
        <f>VLOOKUP(Table2[[#This Row],[Home/Neutral]],division_lookup,9,FALSE)</f>
        <v>SE</v>
      </c>
      <c r="AD780" s="19"/>
      <c r="AE780" s="19" t="str">
        <f>IF(Table2[[#This Row],[Total EV ®]]&lt;Table2[[#This Row],[Total (V)]],"UNDER","OVER")</f>
        <v>OVER</v>
      </c>
      <c r="AF780" s="30">
        <f>Table2[[#This Row],[(A) Spread]]-Table2[[#This Row],[Spread (V)]]</f>
        <v>0</v>
      </c>
      <c r="AG780" s="19"/>
      <c r="AH780" s="2">
        <f>Table2[[#This Row],[EV]]-Table2[[#This Row],[Spread (V)]]</f>
        <v>-3.1545746778261474</v>
      </c>
      <c r="AI780" s="22">
        <f>Table2[[#This Row],[(A)]]-Table2[[#This Row],[Spread]]</f>
        <v>-11.65511848341233</v>
      </c>
      <c r="AJ780" s="1">
        <f>Table2[[#This Row],[(A) Err]]^2</f>
        <v>135.84178686237973</v>
      </c>
      <c r="AK780" s="6">
        <f>Table2[[#This Row],[EV]]-Table2[[#This Row],[Spread]]</f>
        <v>-3.1545746778261474</v>
      </c>
      <c r="AL780" s="1">
        <f>Table2[[#This Row],[EV Err]]^2</f>
        <v>9.9513413979819418</v>
      </c>
    </row>
    <row r="781" spans="1:38" x14ac:dyDescent="0.25">
      <c r="A781" t="s">
        <v>146</v>
      </c>
      <c r="B781" t="s">
        <v>37</v>
      </c>
      <c r="C781" t="s">
        <v>32</v>
      </c>
      <c r="K781" s="25">
        <f>(Table2[[#This Row],[Home Pace]]/100)*(VLOOKUP(Table2[[#This Row],[Home/Neutral]],home_lookup,8,FALSE)+VLOOKUP(Table2[[#This Row],[Home/Neutral]],OFR_lookup,2,FALSE)+VLOOKUP(Table2[[#This Row],[Visitor/Neutral]],def_diff_lookup,6,FALSE))</f>
        <v>107.03687809362123</v>
      </c>
      <c r="L781" s="25"/>
      <c r="M781" s="25">
        <f>(Table2[[#This Row],[Away Pace]]/100)*(VLOOKUP(Table2[[#This Row],[Visitor/Neutral]],OFR_lookup,2,FALSE)+VLOOKUP(Table2[[#This Row],[Home/Neutral]],def_diff_lookup,6,FALSE))</f>
        <v>103.94477733333333</v>
      </c>
      <c r="N781" s="25"/>
      <c r="O781" s="25"/>
      <c r="P781">
        <f>VLOOKUP(Table2[[#This Row],[Home/Neutral]],pace_lookup,7,FALSE)</f>
        <v>92.1</v>
      </c>
      <c r="Q781" s="5">
        <f>VLOOKUP(Table2[[#This Row],[Visitor/Neutral]],pace_lookup,7,FALSE)</f>
        <v>98.6</v>
      </c>
      <c r="R781" s="9"/>
      <c r="V781" s="2">
        <f>-home-VLOOKUP(Table2[[#This Row],[Home/Neutral]],rtg_vlookup,4,FALSE)+VLOOKUP(Table2[[#This Row],[Visitor/Neutral]],rtg_vlookup,4,FALSE)</f>
        <v>1.8748815165876698</v>
      </c>
      <c r="W781" s="25"/>
      <c r="X781" s="2"/>
      <c r="Y781" s="2">
        <f>Table2[[#This Row],[Away EV]]-Table2[[#This Row],[Home EV]]</f>
        <v>-3.0921007602878916</v>
      </c>
      <c r="Z781" s="33"/>
      <c r="AA781" s="34"/>
      <c r="AB781" s="5" t="b">
        <f>IF(VLOOKUP(Table2[[#This Row],[Home/Neutral]],division_lookup,9,FALSE)=VLOOKUP(Table2[[#This Row],[Visitor/Neutral]],division_lookup,9,FALSE),TRUE,FALSE)</f>
        <v>0</v>
      </c>
      <c r="AC781" s="19" t="str">
        <f>VLOOKUP(Table2[[#This Row],[Home/Neutral]],division_lookup,9,FALSE)</f>
        <v>SW</v>
      </c>
      <c r="AD781" s="19"/>
      <c r="AE781" s="19" t="str">
        <f>IF(Table2[[#This Row],[Total EV ®]]&lt;Table2[[#This Row],[Total (V)]],"UNDER","OVER")</f>
        <v>OVER</v>
      </c>
      <c r="AF781" s="30">
        <f>Table2[[#This Row],[(A) Spread]]-Table2[[#This Row],[Spread (V)]]</f>
        <v>0</v>
      </c>
      <c r="AG781" s="19"/>
      <c r="AH781" s="2">
        <f>Table2[[#This Row],[EV]]-Table2[[#This Row],[Spread (V)]]</f>
        <v>-3.0921007602878916</v>
      </c>
      <c r="AI781" s="22">
        <f>Table2[[#This Row],[(A)]]-Table2[[#This Row],[Spread]]</f>
        <v>1.8748815165876698</v>
      </c>
      <c r="AJ781" s="1">
        <f>Table2[[#This Row],[(A) Err]]^2</f>
        <v>3.5151807012420808</v>
      </c>
      <c r="AK781" s="6">
        <f>Table2[[#This Row],[EV]]-Table2[[#This Row],[Spread]]</f>
        <v>-3.0921007602878916</v>
      </c>
      <c r="AL781" s="1">
        <f>Table2[[#This Row],[EV Err]]^2</f>
        <v>9.5610871117729577</v>
      </c>
    </row>
    <row r="782" spans="1:38" x14ac:dyDescent="0.25">
      <c r="A782" t="s">
        <v>146</v>
      </c>
      <c r="B782" t="s">
        <v>17</v>
      </c>
      <c r="C782" t="s">
        <v>38</v>
      </c>
      <c r="K782" s="25">
        <f>(Table2[[#This Row],[Home Pace]]/100)*(VLOOKUP(Table2[[#This Row],[Home/Neutral]],home_lookup,8,FALSE)+VLOOKUP(Table2[[#This Row],[Home/Neutral]],OFR_lookup,2,FALSE)+VLOOKUP(Table2[[#This Row],[Visitor/Neutral]],def_diff_lookup,6,FALSE))</f>
        <v>110.37089692873545</v>
      </c>
      <c r="L782" s="25"/>
      <c r="M782" s="25">
        <f>(Table2[[#This Row],[Away Pace]]/100)*(VLOOKUP(Table2[[#This Row],[Visitor/Neutral]],OFR_lookup,2,FALSE)+VLOOKUP(Table2[[#This Row],[Home/Neutral]],def_diff_lookup,6,FALSE))</f>
        <v>96.103468000000021</v>
      </c>
      <c r="N782" s="25"/>
      <c r="O782" s="25"/>
      <c r="P782">
        <f>VLOOKUP(Table2[[#This Row],[Home/Neutral]],pace_lookup,7,FALSE)</f>
        <v>96.7</v>
      </c>
      <c r="Q782" s="5">
        <f>VLOOKUP(Table2[[#This Row],[Visitor/Neutral]],pace_lookup,7,FALSE)</f>
        <v>94.2</v>
      </c>
      <c r="R782" s="9"/>
      <c r="V782" s="2">
        <f>-home-VLOOKUP(Table2[[#This Row],[Home/Neutral]],rtg_vlookup,4,FALSE)+VLOOKUP(Table2[[#This Row],[Visitor/Neutral]],rtg_vlookup,4,FALSE)</f>
        <v>-15.65511848341233</v>
      </c>
      <c r="W782" s="25"/>
      <c r="X782" s="2"/>
      <c r="Y782" s="2">
        <f>Table2[[#This Row],[Away EV]]-Table2[[#This Row],[Home EV]]</f>
        <v>-14.267428928735427</v>
      </c>
      <c r="Z782" s="33"/>
      <c r="AA782" s="34"/>
      <c r="AB782" s="5" t="b">
        <f>IF(VLOOKUP(Table2[[#This Row],[Home/Neutral]],division_lookup,9,FALSE)=VLOOKUP(Table2[[#This Row],[Visitor/Neutral]],division_lookup,9,FALSE),TRUE,FALSE)</f>
        <v>0</v>
      </c>
      <c r="AC782" s="19" t="str">
        <f>VLOOKUP(Table2[[#This Row],[Home/Neutral]],division_lookup,9,FALSE)</f>
        <v>SW</v>
      </c>
      <c r="AD782" s="19"/>
      <c r="AE782" s="19" t="str">
        <f>IF(Table2[[#This Row],[Total EV ®]]&lt;Table2[[#This Row],[Total (V)]],"UNDER","OVER")</f>
        <v>OVER</v>
      </c>
      <c r="AF782" s="30">
        <f>Table2[[#This Row],[(A) Spread]]-Table2[[#This Row],[Spread (V)]]</f>
        <v>0</v>
      </c>
      <c r="AG782" s="19"/>
      <c r="AH782" s="2">
        <f>Table2[[#This Row],[EV]]-Table2[[#This Row],[Spread (V)]]</f>
        <v>-14.267428928735427</v>
      </c>
      <c r="AI782" s="22">
        <f>Table2[[#This Row],[(A)]]-Table2[[#This Row],[Spread]]</f>
        <v>-15.65511848341233</v>
      </c>
      <c r="AJ782" s="1">
        <f>Table2[[#This Row],[(A) Err]]^2</f>
        <v>245.08273472967838</v>
      </c>
      <c r="AK782" s="6">
        <f>Table2[[#This Row],[EV]]-Table2[[#This Row],[Spread]]</f>
        <v>-14.267428928735427</v>
      </c>
      <c r="AL782" s="1">
        <f>Table2[[#This Row],[EV Err]]^2</f>
        <v>203.55952823651654</v>
      </c>
    </row>
    <row r="783" spans="1:38" x14ac:dyDescent="0.25">
      <c r="A783" t="s">
        <v>147</v>
      </c>
      <c r="B783" t="s">
        <v>11</v>
      </c>
      <c r="C783" t="s">
        <v>27</v>
      </c>
      <c r="K783" s="25">
        <f>(Table2[[#This Row],[Home Pace]]/100)*(VLOOKUP(Table2[[#This Row],[Home/Neutral]],home_lookup,8,FALSE)+VLOOKUP(Table2[[#This Row],[Home/Neutral]],OFR_lookup,2,FALSE)+VLOOKUP(Table2[[#This Row],[Visitor/Neutral]],def_diff_lookup,6,FALSE))</f>
        <v>98.091639044072821</v>
      </c>
      <c r="L783" s="25"/>
      <c r="M783" s="25">
        <f>(Table2[[#This Row],[Away Pace]]/100)*(VLOOKUP(Table2[[#This Row],[Visitor/Neutral]],OFR_lookup,2,FALSE)+VLOOKUP(Table2[[#This Row],[Home/Neutral]],def_diff_lookup,6,FALSE))</f>
        <v>96.525660000000002</v>
      </c>
      <c r="N783" s="25"/>
      <c r="O783" s="25"/>
      <c r="P783">
        <f>VLOOKUP(Table2[[#This Row],[Home/Neutral]],pace_lookup,7,FALSE)</f>
        <v>99.7</v>
      </c>
      <c r="Q783" s="5">
        <f>VLOOKUP(Table2[[#This Row],[Visitor/Neutral]],pace_lookup,7,FALSE)</f>
        <v>99</v>
      </c>
      <c r="R783" s="9"/>
      <c r="V783" s="2">
        <f>-home-VLOOKUP(Table2[[#This Row],[Home/Neutral]],rtg_vlookup,4,FALSE)+VLOOKUP(Table2[[#This Row],[Visitor/Neutral]],rtg_vlookup,4,FALSE)</f>
        <v>-9.6351184834123309</v>
      </c>
      <c r="W783" s="25"/>
      <c r="X783" s="2"/>
      <c r="Y783" s="2">
        <f>Table2[[#This Row],[Away EV]]-Table2[[#This Row],[Home EV]]</f>
        <v>-1.5659790440728187</v>
      </c>
      <c r="Z783" s="33"/>
      <c r="AA783" s="34"/>
      <c r="AB783" s="5" t="b">
        <f>IF(VLOOKUP(Table2[[#This Row],[Home/Neutral]],division_lookup,9,FALSE)=VLOOKUP(Table2[[#This Row],[Visitor/Neutral]],division_lookup,9,FALSE),TRUE,FALSE)</f>
        <v>0</v>
      </c>
      <c r="AC783" s="19" t="str">
        <f>VLOOKUP(Table2[[#This Row],[Home/Neutral]],division_lookup,9,FALSE)</f>
        <v>SE</v>
      </c>
      <c r="AD783" s="19"/>
      <c r="AE783" s="19" t="str">
        <f>IF(Table2[[#This Row],[Total EV ®]]&lt;Table2[[#This Row],[Total (V)]],"UNDER","OVER")</f>
        <v>OVER</v>
      </c>
      <c r="AF783" s="30">
        <f>Table2[[#This Row],[(A) Spread]]-Table2[[#This Row],[Spread (V)]]</f>
        <v>0</v>
      </c>
      <c r="AG783" s="19"/>
      <c r="AH783" s="2">
        <f>Table2[[#This Row],[EV]]-Table2[[#This Row],[Spread (V)]]</f>
        <v>-1.5659790440728187</v>
      </c>
      <c r="AI783" s="22">
        <f>Table2[[#This Row],[(A)]]-Table2[[#This Row],[Spread]]</f>
        <v>-9.6351184834123309</v>
      </c>
      <c r="AJ783" s="1">
        <f>Table2[[#This Row],[(A) Err]]^2</f>
        <v>92.835508189393934</v>
      </c>
      <c r="AK783" s="6">
        <f>Table2[[#This Row],[EV]]-Table2[[#This Row],[Spread]]</f>
        <v>-1.5659790440728187</v>
      </c>
      <c r="AL783" s="1">
        <f>Table2[[#This Row],[EV Err]]^2</f>
        <v>2.4522903664752191</v>
      </c>
    </row>
    <row r="784" spans="1:38" x14ac:dyDescent="0.25">
      <c r="A784" t="s">
        <v>147</v>
      </c>
      <c r="B784" t="s">
        <v>35</v>
      </c>
      <c r="C784" t="s">
        <v>28</v>
      </c>
      <c r="K784" s="25">
        <f>(Table2[[#This Row],[Home Pace]]/100)*(VLOOKUP(Table2[[#This Row],[Home/Neutral]],home_lookup,8,FALSE)+VLOOKUP(Table2[[#This Row],[Home/Neutral]],OFR_lookup,2,FALSE)+VLOOKUP(Table2[[#This Row],[Visitor/Neutral]],def_diff_lookup,6,FALSE))</f>
        <v>110.66561121209625</v>
      </c>
      <c r="L784" s="25"/>
      <c r="M784" s="25">
        <f>(Table2[[#This Row],[Away Pace]]/100)*(VLOOKUP(Table2[[#This Row],[Visitor/Neutral]],OFR_lookup,2,FALSE)+VLOOKUP(Table2[[#This Row],[Home/Neutral]],def_diff_lookup,6,FALSE))</f>
        <v>106.84549199999999</v>
      </c>
      <c r="N784" s="25"/>
      <c r="O784" s="25"/>
      <c r="P784">
        <f>VLOOKUP(Table2[[#This Row],[Home/Neutral]],pace_lookup,7,FALSE)</f>
        <v>102.2</v>
      </c>
      <c r="Q784" s="5">
        <f>VLOOKUP(Table2[[#This Row],[Visitor/Neutral]],pace_lookup,7,FALSE)</f>
        <v>96.3</v>
      </c>
      <c r="R784" s="9"/>
      <c r="V784" s="2">
        <f>-home-VLOOKUP(Table2[[#This Row],[Home/Neutral]],rtg_vlookup,4,FALSE)+VLOOKUP(Table2[[#This Row],[Visitor/Neutral]],rtg_vlookup,4,FALSE)</f>
        <v>1.6748815165876687</v>
      </c>
      <c r="W784" s="25"/>
      <c r="X784" s="2"/>
      <c r="Y784" s="2">
        <f>Table2[[#This Row],[Away EV]]-Table2[[#This Row],[Home EV]]</f>
        <v>-3.8201192120962588</v>
      </c>
      <c r="Z784" s="33"/>
      <c r="AA784" s="34"/>
      <c r="AB784" s="5" t="b">
        <f>IF(VLOOKUP(Table2[[#This Row],[Home/Neutral]],division_lookup,9,FALSE)=VLOOKUP(Table2[[#This Row],[Visitor/Neutral]],division_lookup,9,FALSE),TRUE,FALSE)</f>
        <v>0</v>
      </c>
      <c r="AC784" s="19" t="str">
        <f>VLOOKUP(Table2[[#This Row],[Home/Neutral]],division_lookup,9,FALSE)</f>
        <v>A</v>
      </c>
      <c r="AD784" s="19"/>
      <c r="AE784" s="19" t="str">
        <f>IF(Table2[[#This Row],[Total EV ®]]&lt;Table2[[#This Row],[Total (V)]],"UNDER","OVER")</f>
        <v>OVER</v>
      </c>
      <c r="AF784" s="30">
        <f>Table2[[#This Row],[(A) Spread]]-Table2[[#This Row],[Spread (V)]]</f>
        <v>0</v>
      </c>
      <c r="AG784" s="19"/>
      <c r="AH784" s="2">
        <f>Table2[[#This Row],[EV]]-Table2[[#This Row],[Spread (V)]]</f>
        <v>-3.8201192120962588</v>
      </c>
      <c r="AI784" s="22">
        <f>Table2[[#This Row],[(A)]]-Table2[[#This Row],[Spread]]</f>
        <v>1.6748815165876687</v>
      </c>
      <c r="AJ784" s="1">
        <f>Table2[[#This Row],[(A) Err]]^2</f>
        <v>2.8052280946070089</v>
      </c>
      <c r="AK784" s="6">
        <f>Table2[[#This Row],[EV]]-Table2[[#This Row],[Spread]]</f>
        <v>-3.8201192120962588</v>
      </c>
      <c r="AL784" s="1">
        <f>Table2[[#This Row],[EV Err]]^2</f>
        <v>14.593310794626941</v>
      </c>
    </row>
    <row r="785" spans="1:38" x14ac:dyDescent="0.25">
      <c r="A785" t="s">
        <v>147</v>
      </c>
      <c r="B785" t="s">
        <v>25</v>
      </c>
      <c r="C785" t="s">
        <v>24</v>
      </c>
      <c r="K785" s="25">
        <f>(Table2[[#This Row],[Home Pace]]/100)*(VLOOKUP(Table2[[#This Row],[Home/Neutral]],home_lookup,8,FALSE)+VLOOKUP(Table2[[#This Row],[Home/Neutral]],OFR_lookup,2,FALSE)+VLOOKUP(Table2[[#This Row],[Visitor/Neutral]],def_diff_lookup,6,FALSE))</f>
        <v>107.01038444427256</v>
      </c>
      <c r="L785" s="25"/>
      <c r="M785" s="25">
        <f>(Table2[[#This Row],[Away Pace]]/100)*(VLOOKUP(Table2[[#This Row],[Visitor/Neutral]],OFR_lookup,2,FALSE)+VLOOKUP(Table2[[#This Row],[Home/Neutral]],def_diff_lookup,6,FALSE))</f>
        <v>106.73382600000002</v>
      </c>
      <c r="N785" s="25"/>
      <c r="O785" s="25"/>
      <c r="P785">
        <f>VLOOKUP(Table2[[#This Row],[Home/Neutral]],pace_lookup,7,FALSE)</f>
        <v>94.4</v>
      </c>
      <c r="Q785" s="5">
        <f>VLOOKUP(Table2[[#This Row],[Visitor/Neutral]],pace_lookup,7,FALSE)</f>
        <v>99.9</v>
      </c>
      <c r="R785" s="9"/>
      <c r="V785" s="2">
        <f>-home-VLOOKUP(Table2[[#This Row],[Home/Neutral]],rtg_vlookup,4,FALSE)+VLOOKUP(Table2[[#This Row],[Visitor/Neutral]],rtg_vlookup,4,FALSE)</f>
        <v>-2.4551184834123312</v>
      </c>
      <c r="W785" s="25"/>
      <c r="X785" s="2"/>
      <c r="Y785" s="2">
        <f>Table2[[#This Row],[Away EV]]-Table2[[#This Row],[Home EV]]</f>
        <v>-0.2765584442725384</v>
      </c>
      <c r="Z785" s="33"/>
      <c r="AA785" s="34"/>
      <c r="AB785" s="5" t="b">
        <f>IF(VLOOKUP(Table2[[#This Row],[Home/Neutral]],division_lookup,9,FALSE)=VLOOKUP(Table2[[#This Row],[Visitor/Neutral]],division_lookup,9,FALSE),TRUE,FALSE)</f>
        <v>0</v>
      </c>
      <c r="AC785" s="19" t="str">
        <f>VLOOKUP(Table2[[#This Row],[Home/Neutral]],division_lookup,9,FALSE)</f>
        <v>C</v>
      </c>
      <c r="AD785" s="19"/>
      <c r="AE785" s="19" t="str">
        <f>IF(Table2[[#This Row],[Total EV ®]]&lt;Table2[[#This Row],[Total (V)]],"UNDER","OVER")</f>
        <v>OVER</v>
      </c>
      <c r="AF785" s="30">
        <f>Table2[[#This Row],[(A) Spread]]-Table2[[#This Row],[Spread (V)]]</f>
        <v>0</v>
      </c>
      <c r="AG785" s="19"/>
      <c r="AH785" s="2">
        <f>Table2[[#This Row],[EV]]-Table2[[#This Row],[Spread (V)]]</f>
        <v>-0.2765584442725384</v>
      </c>
      <c r="AI785" s="22">
        <f>Table2[[#This Row],[(A)]]-Table2[[#This Row],[Spread]]</f>
        <v>-2.4551184834123312</v>
      </c>
      <c r="AJ785" s="1">
        <f>Table2[[#This Row],[(A) Err]]^2</f>
        <v>6.0276067675928653</v>
      </c>
      <c r="AK785" s="6">
        <f>Table2[[#This Row],[EV]]-Table2[[#This Row],[Spread]]</f>
        <v>-0.2765584442725384</v>
      </c>
      <c r="AL785" s="1">
        <f>Table2[[#This Row],[EV Err]]^2</f>
        <v>7.6484573098446723E-2</v>
      </c>
    </row>
    <row r="786" spans="1:38" x14ac:dyDescent="0.25">
      <c r="A786" t="s">
        <v>147</v>
      </c>
      <c r="B786" t="s">
        <v>10</v>
      </c>
      <c r="C786" t="s">
        <v>13</v>
      </c>
      <c r="K786" s="25">
        <f>(Table2[[#This Row],[Home Pace]]/100)*(VLOOKUP(Table2[[#This Row],[Home/Neutral]],home_lookup,8,FALSE)+VLOOKUP(Table2[[#This Row],[Home/Neutral]],OFR_lookup,2,FALSE)+VLOOKUP(Table2[[#This Row],[Visitor/Neutral]],def_diff_lookup,6,FALSE))</f>
        <v>106.50426853790562</v>
      </c>
      <c r="L786" s="25"/>
      <c r="M786" s="25">
        <f>(Table2[[#This Row],[Away Pace]]/100)*(VLOOKUP(Table2[[#This Row],[Visitor/Neutral]],OFR_lookup,2,FALSE)+VLOOKUP(Table2[[#This Row],[Home/Neutral]],def_diff_lookup,6,FALSE))</f>
        <v>106.62497999999999</v>
      </c>
      <c r="N786" s="25"/>
      <c r="O786" s="25"/>
      <c r="P786">
        <f>VLOOKUP(Table2[[#This Row],[Home/Neutral]],pace_lookup,7,FALSE)</f>
        <v>100.3</v>
      </c>
      <c r="Q786" s="5">
        <f>VLOOKUP(Table2[[#This Row],[Visitor/Neutral]],pace_lookup,7,FALSE)</f>
        <v>94.5</v>
      </c>
      <c r="R786" s="9"/>
      <c r="V786" s="2">
        <f>-home-VLOOKUP(Table2[[#This Row],[Home/Neutral]],rtg_vlookup,4,FALSE)+VLOOKUP(Table2[[#This Row],[Visitor/Neutral]],rtg_vlookup,4,FALSE)</f>
        <v>-5.5651184834123315</v>
      </c>
      <c r="W786" s="25"/>
      <c r="X786" s="2"/>
      <c r="Y786" s="2">
        <f>Table2[[#This Row],[Away EV]]-Table2[[#This Row],[Home EV]]</f>
        <v>0.120711462094377</v>
      </c>
      <c r="Z786" s="33"/>
      <c r="AA786" s="34"/>
      <c r="AB786" s="5" t="b">
        <f>IF(VLOOKUP(Table2[[#This Row],[Home/Neutral]],division_lookup,9,FALSE)=VLOOKUP(Table2[[#This Row],[Visitor/Neutral]],division_lookup,9,FALSE),TRUE,FALSE)</f>
        <v>0</v>
      </c>
      <c r="AC786" s="19" t="str">
        <f>VLOOKUP(Table2[[#This Row],[Home/Neutral]],division_lookup,9,FALSE)</f>
        <v>P</v>
      </c>
      <c r="AD786" s="19"/>
      <c r="AE786" s="19" t="str">
        <f>IF(Table2[[#This Row],[Total EV ®]]&lt;Table2[[#This Row],[Total (V)]],"UNDER","OVER")</f>
        <v>OVER</v>
      </c>
      <c r="AF786" s="30">
        <f>Table2[[#This Row],[(A) Spread]]-Table2[[#This Row],[Spread (V)]]</f>
        <v>0</v>
      </c>
      <c r="AG786" s="19"/>
      <c r="AH786" s="2">
        <f>Table2[[#This Row],[EV]]-Table2[[#This Row],[Spread (V)]]</f>
        <v>0.120711462094377</v>
      </c>
      <c r="AI786" s="22">
        <f>Table2[[#This Row],[(A)]]-Table2[[#This Row],[Spread]]</f>
        <v>-5.5651184834123315</v>
      </c>
      <c r="AJ786" s="1">
        <f>Table2[[#This Row],[(A) Err]]^2</f>
        <v>30.970543734417568</v>
      </c>
      <c r="AK786" s="6">
        <f>Table2[[#This Row],[EV]]-Table2[[#This Row],[Spread]]</f>
        <v>0.120711462094377</v>
      </c>
      <c r="AL786" s="1">
        <f>Table2[[#This Row],[EV Err]]^2</f>
        <v>1.4571257080962215E-2</v>
      </c>
    </row>
    <row r="787" spans="1:38" x14ac:dyDescent="0.25">
      <c r="A787" t="s">
        <v>147</v>
      </c>
      <c r="B787" t="s">
        <v>33</v>
      </c>
      <c r="C787" t="s">
        <v>8</v>
      </c>
      <c r="K787" s="25">
        <f>(Table2[[#This Row],[Home Pace]]/100)*(VLOOKUP(Table2[[#This Row],[Home/Neutral]],home_lookup,8,FALSE)+VLOOKUP(Table2[[#This Row],[Home/Neutral]],OFR_lookup,2,FALSE)+VLOOKUP(Table2[[#This Row],[Visitor/Neutral]],def_diff_lookup,6,FALSE))</f>
        <v>105.58445852057507</v>
      </c>
      <c r="L787" s="25"/>
      <c r="M787" s="25">
        <f>(Table2[[#This Row],[Away Pace]]/100)*(VLOOKUP(Table2[[#This Row],[Visitor/Neutral]],OFR_lookup,2,FALSE)+VLOOKUP(Table2[[#This Row],[Home/Neutral]],def_diff_lookup,6,FALSE))</f>
        <v>110.48788800000001</v>
      </c>
      <c r="N787" s="25"/>
      <c r="O787" s="25"/>
      <c r="P787">
        <f>VLOOKUP(Table2[[#This Row],[Home/Neutral]],pace_lookup,7,FALSE)</f>
        <v>98.2</v>
      </c>
      <c r="Q787" s="5">
        <f>VLOOKUP(Table2[[#This Row],[Visitor/Neutral]],pace_lookup,7,FALSE)</f>
        <v>97.2</v>
      </c>
      <c r="R787" s="9"/>
      <c r="V787" s="2">
        <f>-home-VLOOKUP(Table2[[#This Row],[Home/Neutral]],rtg_vlookup,4,FALSE)+VLOOKUP(Table2[[#This Row],[Visitor/Neutral]],rtg_vlookup,4,FALSE)</f>
        <v>9.3748815165876707</v>
      </c>
      <c r="W787" s="25"/>
      <c r="X787" s="2"/>
      <c r="Y787" s="2">
        <f>Table2[[#This Row],[Away EV]]-Table2[[#This Row],[Home EV]]</f>
        <v>4.9034294794249433</v>
      </c>
      <c r="Z787" s="33"/>
      <c r="AA787" s="34"/>
      <c r="AB787" s="5" t="b">
        <f>IF(VLOOKUP(Table2[[#This Row],[Home/Neutral]],division_lookup,9,FALSE)=VLOOKUP(Table2[[#This Row],[Visitor/Neutral]],division_lookup,9,FALSE),TRUE,FALSE)</f>
        <v>1</v>
      </c>
      <c r="AC787" s="19" t="str">
        <f>VLOOKUP(Table2[[#This Row],[Home/Neutral]],division_lookup,9,FALSE)</f>
        <v>C</v>
      </c>
      <c r="AD787" s="19"/>
      <c r="AE787" s="19" t="str">
        <f>IF(Table2[[#This Row],[Total EV ®]]&lt;Table2[[#This Row],[Total (V)]],"UNDER","OVER")</f>
        <v>OVER</v>
      </c>
      <c r="AF787" s="30">
        <f>Table2[[#This Row],[(A) Spread]]-Table2[[#This Row],[Spread (V)]]</f>
        <v>0</v>
      </c>
      <c r="AG787" s="19"/>
      <c r="AH787" s="2">
        <f>Table2[[#This Row],[EV]]-Table2[[#This Row],[Spread (V)]]</f>
        <v>4.9034294794249433</v>
      </c>
      <c r="AI787" s="22">
        <f>Table2[[#This Row],[(A)]]-Table2[[#This Row],[Spread]]</f>
        <v>9.3748815165876707</v>
      </c>
      <c r="AJ787" s="1">
        <f>Table2[[#This Row],[(A) Err]]^2</f>
        <v>87.88840345005714</v>
      </c>
      <c r="AK787" s="6">
        <f>Table2[[#This Row],[EV]]-Table2[[#This Row],[Spread]]</f>
        <v>4.9034294794249433</v>
      </c>
      <c r="AL787" s="1">
        <f>Table2[[#This Row],[EV Err]]^2</f>
        <v>24.04362065969357</v>
      </c>
    </row>
    <row r="788" spans="1:38" x14ac:dyDescent="0.25">
      <c r="A788" t="s">
        <v>147</v>
      </c>
      <c r="B788" t="s">
        <v>23</v>
      </c>
      <c r="C788" t="s">
        <v>36</v>
      </c>
      <c r="K788" s="25">
        <f>(Table2[[#This Row],[Home Pace]]/100)*(VLOOKUP(Table2[[#This Row],[Home/Neutral]],home_lookup,8,FALSE)+VLOOKUP(Table2[[#This Row],[Home/Neutral]],OFR_lookup,2,FALSE)+VLOOKUP(Table2[[#This Row],[Visitor/Neutral]],def_diff_lookup,6,FALSE))</f>
        <v>104.57063735871358</v>
      </c>
      <c r="L788" s="25"/>
      <c r="M788" s="25">
        <f>(Table2[[#This Row],[Away Pace]]/100)*(VLOOKUP(Table2[[#This Row],[Visitor/Neutral]],OFR_lookup,2,FALSE)+VLOOKUP(Table2[[#This Row],[Home/Neutral]],def_diff_lookup,6,FALSE))</f>
        <v>100.74944133333335</v>
      </c>
      <c r="N788" s="25"/>
      <c r="O788" s="25"/>
      <c r="P788">
        <f>VLOOKUP(Table2[[#This Row],[Home/Neutral]],pace_lookup,7,FALSE)</f>
        <v>92.5</v>
      </c>
      <c r="Q788" s="5">
        <f>VLOOKUP(Table2[[#This Row],[Visitor/Neutral]],pace_lookup,7,FALSE)</f>
        <v>102.2</v>
      </c>
      <c r="R788" s="9"/>
      <c r="V788" s="2">
        <f>-home-VLOOKUP(Table2[[#This Row],[Home/Neutral]],rtg_vlookup,4,FALSE)+VLOOKUP(Table2[[#This Row],[Visitor/Neutral]],rtg_vlookup,4,FALSE)</f>
        <v>-11.325118483412332</v>
      </c>
      <c r="W788" s="25"/>
      <c r="X788" s="2"/>
      <c r="Y788" s="2">
        <f>Table2[[#This Row],[Away EV]]-Table2[[#This Row],[Home EV]]</f>
        <v>-3.8211960253802317</v>
      </c>
      <c r="Z788" s="33"/>
      <c r="AA788" s="34"/>
      <c r="AB788" s="5" t="b">
        <f>IF(VLOOKUP(Table2[[#This Row],[Home/Neutral]],division_lookup,9,FALSE)=VLOOKUP(Table2[[#This Row],[Visitor/Neutral]],division_lookup,9,FALSE),TRUE,FALSE)</f>
        <v>0</v>
      </c>
      <c r="AC788" s="19" t="str">
        <f>VLOOKUP(Table2[[#This Row],[Home/Neutral]],division_lookup,9,FALSE)</f>
        <v>SW</v>
      </c>
      <c r="AD788" s="19"/>
      <c r="AE788" s="19" t="str">
        <f>IF(Table2[[#This Row],[Total EV ®]]&lt;Table2[[#This Row],[Total (V)]],"UNDER","OVER")</f>
        <v>OVER</v>
      </c>
      <c r="AF788" s="30">
        <f>Table2[[#This Row],[(A) Spread]]-Table2[[#This Row],[Spread (V)]]</f>
        <v>0</v>
      </c>
      <c r="AG788" s="19"/>
      <c r="AH788" s="2">
        <f>Table2[[#This Row],[EV]]-Table2[[#This Row],[Spread (V)]]</f>
        <v>-3.8211960253802317</v>
      </c>
      <c r="AI788" s="22">
        <f>Table2[[#This Row],[(A)]]-Table2[[#This Row],[Spread]]</f>
        <v>-11.325118483412332</v>
      </c>
      <c r="AJ788" s="1">
        <f>Table2[[#This Row],[(A) Err]]^2</f>
        <v>128.25830866332765</v>
      </c>
      <c r="AK788" s="6">
        <f>Table2[[#This Row],[EV]]-Table2[[#This Row],[Spread]]</f>
        <v>-3.8211960253802317</v>
      </c>
      <c r="AL788" s="1">
        <f>Table2[[#This Row],[EV Err]]^2</f>
        <v>14.601539064381681</v>
      </c>
    </row>
    <row r="789" spans="1:38" x14ac:dyDescent="0.25">
      <c r="A789" t="s">
        <v>147</v>
      </c>
      <c r="B789" t="s">
        <v>30</v>
      </c>
      <c r="C789" t="s">
        <v>21</v>
      </c>
      <c r="K789" s="25">
        <f>(Table2[[#This Row],[Home Pace]]/100)*(VLOOKUP(Table2[[#This Row],[Home/Neutral]],home_lookup,8,FALSE)+VLOOKUP(Table2[[#This Row],[Home/Neutral]],OFR_lookup,2,FALSE)+VLOOKUP(Table2[[#This Row],[Visitor/Neutral]],def_diff_lookup,6,FALSE))</f>
        <v>104.46296034993645</v>
      </c>
      <c r="L789" s="25"/>
      <c r="M789" s="25">
        <f>(Table2[[#This Row],[Away Pace]]/100)*(VLOOKUP(Table2[[#This Row],[Visitor/Neutral]],OFR_lookup,2,FALSE)+VLOOKUP(Table2[[#This Row],[Home/Neutral]],def_diff_lookup,6,FALSE))</f>
        <v>98.336008000000021</v>
      </c>
      <c r="N789" s="25"/>
      <c r="O789" s="25"/>
      <c r="P789">
        <f>VLOOKUP(Table2[[#This Row],[Home/Neutral]],pace_lookup,7,FALSE)</f>
        <v>96.8</v>
      </c>
      <c r="Q789" s="5">
        <f>VLOOKUP(Table2[[#This Row],[Visitor/Neutral]],pace_lookup,7,FALSE)</f>
        <v>94.2</v>
      </c>
      <c r="R789" s="9"/>
      <c r="V789" s="2">
        <f>-home-VLOOKUP(Table2[[#This Row],[Home/Neutral]],rtg_vlookup,4,FALSE)+VLOOKUP(Table2[[#This Row],[Visitor/Neutral]],rtg_vlookup,4,FALSE)</f>
        <v>-0.305118483412331</v>
      </c>
      <c r="W789" s="25"/>
      <c r="X789" s="2"/>
      <c r="Y789" s="2">
        <f>Table2[[#This Row],[Away EV]]-Table2[[#This Row],[Home EV]]</f>
        <v>-6.1269523499364311</v>
      </c>
      <c r="Z789" s="33"/>
      <c r="AA789" s="34"/>
      <c r="AB789" s="5" t="b">
        <f>IF(VLOOKUP(Table2[[#This Row],[Home/Neutral]],division_lookup,9,FALSE)=VLOOKUP(Table2[[#This Row],[Visitor/Neutral]],division_lookup,9,FALSE),TRUE,FALSE)</f>
        <v>0</v>
      </c>
      <c r="AC789" s="19" t="str">
        <f>VLOOKUP(Table2[[#This Row],[Home/Neutral]],division_lookup,9,FALSE)</f>
        <v>C</v>
      </c>
      <c r="AD789" s="19"/>
      <c r="AE789" s="19" t="str">
        <f>IF(Table2[[#This Row],[Total EV ®]]&lt;Table2[[#This Row],[Total (V)]],"UNDER","OVER")</f>
        <v>OVER</v>
      </c>
      <c r="AF789" s="30">
        <f>Table2[[#This Row],[(A) Spread]]-Table2[[#This Row],[Spread (V)]]</f>
        <v>0</v>
      </c>
      <c r="AG789" s="19"/>
      <c r="AH789" s="2">
        <f>Table2[[#This Row],[EV]]-Table2[[#This Row],[Spread (V)]]</f>
        <v>-6.1269523499364311</v>
      </c>
      <c r="AI789" s="22">
        <f>Table2[[#This Row],[(A)]]-Table2[[#This Row],[Spread]]</f>
        <v>-0.305118483412331</v>
      </c>
      <c r="AJ789" s="1">
        <f>Table2[[#This Row],[(A) Err]]^2</f>
        <v>9.3097288919840912E-2</v>
      </c>
      <c r="AK789" s="6">
        <f>Table2[[#This Row],[EV]]-Table2[[#This Row],[Spread]]</f>
        <v>-6.1269523499364311</v>
      </c>
      <c r="AL789" s="1">
        <f>Table2[[#This Row],[EV Err]]^2</f>
        <v>37.539545098391557</v>
      </c>
    </row>
    <row r="790" spans="1:38" x14ac:dyDescent="0.25">
      <c r="A790" t="s">
        <v>147</v>
      </c>
      <c r="B790" t="s">
        <v>22</v>
      </c>
      <c r="C790" t="s">
        <v>14</v>
      </c>
      <c r="K790" s="25">
        <f>(Table2[[#This Row],[Home Pace]]/100)*(VLOOKUP(Table2[[#This Row],[Home/Neutral]],home_lookup,8,FALSE)+VLOOKUP(Table2[[#This Row],[Home/Neutral]],OFR_lookup,2,FALSE)+VLOOKUP(Table2[[#This Row],[Visitor/Neutral]],def_diff_lookup,6,FALSE))</f>
        <v>112.71523922968976</v>
      </c>
      <c r="L790" s="25"/>
      <c r="M790" s="25">
        <f>(Table2[[#This Row],[Away Pace]]/100)*(VLOOKUP(Table2[[#This Row],[Visitor/Neutral]],OFR_lookup,2,FALSE)+VLOOKUP(Table2[[#This Row],[Home/Neutral]],def_diff_lookup,6,FALSE))</f>
        <v>112.40502933333336</v>
      </c>
      <c r="N790" s="25"/>
      <c r="O790" s="25"/>
      <c r="P790">
        <f>VLOOKUP(Table2[[#This Row],[Home/Neutral]],pace_lookup,7,FALSE)</f>
        <v>94.7</v>
      </c>
      <c r="Q790" s="5">
        <f>VLOOKUP(Table2[[#This Row],[Visitor/Neutral]],pace_lookup,7,FALSE)</f>
        <v>95.9</v>
      </c>
      <c r="R790" s="9"/>
      <c r="V790" s="2">
        <f>-home-VLOOKUP(Table2[[#This Row],[Home/Neutral]],rtg_vlookup,4,FALSE)+VLOOKUP(Table2[[#This Row],[Visitor/Neutral]],rtg_vlookup,4,FALSE)</f>
        <v>1.3348815165876688</v>
      </c>
      <c r="W790" s="25"/>
      <c r="X790" s="2"/>
      <c r="Y790" s="2">
        <f>Table2[[#This Row],[Away EV]]-Table2[[#This Row],[Home EV]]</f>
        <v>-0.31020989635639751</v>
      </c>
      <c r="Z790" s="33"/>
      <c r="AA790" s="34"/>
      <c r="AB790" s="5" t="b">
        <f>IF(VLOOKUP(Table2[[#This Row],[Home/Neutral]],division_lookup,9,FALSE)=VLOOKUP(Table2[[#This Row],[Visitor/Neutral]],division_lookup,9,FALSE),TRUE,FALSE)</f>
        <v>0</v>
      </c>
      <c r="AC790" s="19" t="str">
        <f>VLOOKUP(Table2[[#This Row],[Home/Neutral]],division_lookup,9,FALSE)</f>
        <v>NW</v>
      </c>
      <c r="AD790" s="19"/>
      <c r="AE790" s="19" t="str">
        <f>IF(Table2[[#This Row],[Total EV ®]]&lt;Table2[[#This Row],[Total (V)]],"UNDER","OVER")</f>
        <v>OVER</v>
      </c>
      <c r="AF790" s="30">
        <f>Table2[[#This Row],[(A) Spread]]-Table2[[#This Row],[Spread (V)]]</f>
        <v>0</v>
      </c>
      <c r="AG790" s="19"/>
      <c r="AH790" s="2">
        <f>Table2[[#This Row],[EV]]-Table2[[#This Row],[Spread (V)]]</f>
        <v>-0.31020989635639751</v>
      </c>
      <c r="AI790" s="22">
        <f>Table2[[#This Row],[(A)]]-Table2[[#This Row],[Spread]]</f>
        <v>1.3348815165876688</v>
      </c>
      <c r="AJ790" s="1">
        <f>Table2[[#This Row],[(A) Err]]^2</f>
        <v>1.7819086633273948</v>
      </c>
      <c r="AK790" s="6">
        <f>Table2[[#This Row],[EV]]-Table2[[#This Row],[Spread]]</f>
        <v>-0.31020989635639751</v>
      </c>
      <c r="AL790" s="1">
        <f>Table2[[#This Row],[EV Err]]^2</f>
        <v>9.6230179797446885E-2</v>
      </c>
    </row>
    <row r="791" spans="1:38" x14ac:dyDescent="0.25">
      <c r="A791" t="s">
        <v>147</v>
      </c>
      <c r="B791" t="s">
        <v>34</v>
      </c>
      <c r="C791" t="s">
        <v>20</v>
      </c>
      <c r="K791" s="25">
        <f>(Table2[[#This Row],[Home Pace]]/100)*(VLOOKUP(Table2[[#This Row],[Home/Neutral]],home_lookup,8,FALSE)+VLOOKUP(Table2[[#This Row],[Home/Neutral]],OFR_lookup,2,FALSE)+VLOOKUP(Table2[[#This Row],[Visitor/Neutral]],def_diff_lookup,6,FALSE))</f>
        <v>103.45519864565556</v>
      </c>
      <c r="L791" s="25"/>
      <c r="M791" s="25">
        <f>(Table2[[#This Row],[Away Pace]]/100)*(VLOOKUP(Table2[[#This Row],[Visitor/Neutral]],OFR_lookup,2,FALSE)+VLOOKUP(Table2[[#This Row],[Home/Neutral]],def_diff_lookup,6,FALSE))</f>
        <v>96.663666000000021</v>
      </c>
      <c r="N791" s="25"/>
      <c r="O791" s="25"/>
      <c r="P791">
        <f>VLOOKUP(Table2[[#This Row],[Home/Neutral]],pace_lookup,7,FALSE)</f>
        <v>98.8</v>
      </c>
      <c r="Q791" s="5">
        <f>VLOOKUP(Table2[[#This Row],[Visitor/Neutral]],pace_lookup,7,FALSE)</f>
        <v>90.9</v>
      </c>
      <c r="R791" s="9"/>
      <c r="V791" s="2">
        <f>-home-VLOOKUP(Table2[[#This Row],[Home/Neutral]],rtg_vlookup,4,FALSE)+VLOOKUP(Table2[[#This Row],[Visitor/Neutral]],rtg_vlookup,4,FALSE)</f>
        <v>4.0448815165876697</v>
      </c>
      <c r="W791" s="25"/>
      <c r="X791" s="2"/>
      <c r="Y791" s="2">
        <f>Table2[[#This Row],[Away EV]]-Table2[[#This Row],[Home EV]]</f>
        <v>-6.7915326456555363</v>
      </c>
      <c r="Z791" s="33"/>
      <c r="AA791" s="34"/>
      <c r="AB791" s="5" t="b">
        <f>IF(VLOOKUP(Table2[[#This Row],[Home/Neutral]],division_lookup,9,FALSE)=VLOOKUP(Table2[[#This Row],[Visitor/Neutral]],division_lookup,9,FALSE),TRUE,FALSE)</f>
        <v>0</v>
      </c>
      <c r="AC791" s="19" t="str">
        <f>VLOOKUP(Table2[[#This Row],[Home/Neutral]],division_lookup,9,FALSE)</f>
        <v>SW</v>
      </c>
      <c r="AD791" s="19"/>
      <c r="AE791" s="19" t="str">
        <f>IF(Table2[[#This Row],[Total EV ®]]&lt;Table2[[#This Row],[Total (V)]],"UNDER","OVER")</f>
        <v>OVER</v>
      </c>
      <c r="AF791" s="30">
        <f>Table2[[#This Row],[(A) Spread]]-Table2[[#This Row],[Spread (V)]]</f>
        <v>0</v>
      </c>
      <c r="AG791" s="19"/>
      <c r="AH791" s="2">
        <f>Table2[[#This Row],[EV]]-Table2[[#This Row],[Spread (V)]]</f>
        <v>-6.7915326456555363</v>
      </c>
      <c r="AI791" s="22">
        <f>Table2[[#This Row],[(A)]]-Table2[[#This Row],[Spread]]</f>
        <v>4.0448815165876697</v>
      </c>
      <c r="AJ791" s="1">
        <f>Table2[[#This Row],[(A) Err]]^2</f>
        <v>16.361066483232566</v>
      </c>
      <c r="AK791" s="6">
        <f>Table2[[#This Row],[EV]]-Table2[[#This Row],[Spread]]</f>
        <v>-6.7915326456555363</v>
      </c>
      <c r="AL791" s="1">
        <f>Table2[[#This Row],[EV Err]]^2</f>
        <v>46.124915677004886</v>
      </c>
    </row>
    <row r="792" spans="1:38" x14ac:dyDescent="0.25">
      <c r="A792" t="s">
        <v>147</v>
      </c>
      <c r="B792" t="s">
        <v>31</v>
      </c>
      <c r="C792" t="s">
        <v>4</v>
      </c>
      <c r="K792" s="25">
        <f>(Table2[[#This Row],[Home Pace]]/100)*(VLOOKUP(Table2[[#This Row],[Home/Neutral]],home_lookup,8,FALSE)+VLOOKUP(Table2[[#This Row],[Home/Neutral]],OFR_lookup,2,FALSE)+VLOOKUP(Table2[[#This Row],[Visitor/Neutral]],def_diff_lookup,6,FALSE))</f>
        <v>104.50537430217889</v>
      </c>
      <c r="L792" s="25"/>
      <c r="M792" s="25">
        <f>(Table2[[#This Row],[Away Pace]]/100)*(VLOOKUP(Table2[[#This Row],[Visitor/Neutral]],OFR_lookup,2,FALSE)+VLOOKUP(Table2[[#This Row],[Home/Neutral]],def_diff_lookup,6,FALSE))</f>
        <v>115.51492400000001</v>
      </c>
      <c r="N792" s="25"/>
      <c r="O792" s="25"/>
      <c r="P792">
        <f>VLOOKUP(Table2[[#This Row],[Home/Neutral]],pace_lookup,7,FALSE)</f>
        <v>96</v>
      </c>
      <c r="Q792" s="5">
        <f>VLOOKUP(Table2[[#This Row],[Visitor/Neutral]],pace_lookup,7,FALSE)</f>
        <v>96.6</v>
      </c>
      <c r="R792" s="9"/>
      <c r="V792" s="2">
        <f>-home-VLOOKUP(Table2[[#This Row],[Home/Neutral]],rtg_vlookup,4,FALSE)+VLOOKUP(Table2[[#This Row],[Visitor/Neutral]],rtg_vlookup,4,FALSE)</f>
        <v>14.15488151658767</v>
      </c>
      <c r="W792" s="25"/>
      <c r="X792" s="2"/>
      <c r="Y792" s="2">
        <f>Table2[[#This Row],[Away EV]]-Table2[[#This Row],[Home EV]]</f>
        <v>11.009549697821114</v>
      </c>
      <c r="Z792" s="33"/>
      <c r="AA792" s="34"/>
      <c r="AB792" s="5" t="b">
        <f>IF(VLOOKUP(Table2[[#This Row],[Home/Neutral]],division_lookup,9,FALSE)=VLOOKUP(Table2[[#This Row],[Visitor/Neutral]],division_lookup,9,FALSE),TRUE,FALSE)</f>
        <v>0</v>
      </c>
      <c r="AC792" s="19" t="str">
        <f>VLOOKUP(Table2[[#This Row],[Home/Neutral]],division_lookup,9,FALSE)</f>
        <v>A</v>
      </c>
      <c r="AD792" s="19"/>
      <c r="AE792" s="19" t="str">
        <f>IF(Table2[[#This Row],[Total EV ®]]&lt;Table2[[#This Row],[Total (V)]],"UNDER","OVER")</f>
        <v>OVER</v>
      </c>
      <c r="AF792" s="30">
        <f>Table2[[#This Row],[(A) Spread]]-Table2[[#This Row],[Spread (V)]]</f>
        <v>0</v>
      </c>
      <c r="AG792" s="19"/>
      <c r="AH792" s="2">
        <f>Table2[[#This Row],[EV]]-Table2[[#This Row],[Spread (V)]]</f>
        <v>11.009549697821114</v>
      </c>
      <c r="AI792" s="22">
        <f>Table2[[#This Row],[(A)]]-Table2[[#This Row],[Spread]]</f>
        <v>14.15488151658767</v>
      </c>
      <c r="AJ792" s="1">
        <f>Table2[[#This Row],[(A) Err]]^2</f>
        <v>200.36067074863524</v>
      </c>
      <c r="AK792" s="6">
        <f>Table2[[#This Row],[EV]]-Table2[[#This Row],[Spread]]</f>
        <v>11.009549697821114</v>
      </c>
      <c r="AL792" s="1">
        <f>Table2[[#This Row],[EV Err]]^2</f>
        <v>121.21018454879299</v>
      </c>
    </row>
    <row r="793" spans="1:38" x14ac:dyDescent="0.25">
      <c r="A793" t="s">
        <v>147</v>
      </c>
      <c r="B793" t="s">
        <v>39</v>
      </c>
      <c r="C793" t="s">
        <v>6</v>
      </c>
      <c r="K793" s="25">
        <f>(Table2[[#This Row],[Home Pace]]/100)*(VLOOKUP(Table2[[#This Row],[Home/Neutral]],home_lookup,8,FALSE)+VLOOKUP(Table2[[#This Row],[Home/Neutral]],OFR_lookup,2,FALSE)+VLOOKUP(Table2[[#This Row],[Visitor/Neutral]],def_diff_lookup,6,FALSE))</f>
        <v>105.09527211468578</v>
      </c>
      <c r="L793" s="25"/>
      <c r="M793" s="25">
        <f>(Table2[[#This Row],[Away Pace]]/100)*(VLOOKUP(Table2[[#This Row],[Visitor/Neutral]],OFR_lookup,2,FALSE)+VLOOKUP(Table2[[#This Row],[Home/Neutral]],def_diff_lookup,6,FALSE))</f>
        <v>106.16255066666668</v>
      </c>
      <c r="N793" s="25"/>
      <c r="O793" s="25"/>
      <c r="P793">
        <f>VLOOKUP(Table2[[#This Row],[Home/Neutral]],pace_lookup,7,FALSE)</f>
        <v>97.5</v>
      </c>
      <c r="Q793" s="5">
        <f>VLOOKUP(Table2[[#This Row],[Visitor/Neutral]],pace_lookup,7,FALSE)</f>
        <v>93.1</v>
      </c>
      <c r="R793" s="9"/>
      <c r="V793" s="2">
        <f>-home-VLOOKUP(Table2[[#This Row],[Home/Neutral]],rtg_vlookup,4,FALSE)+VLOOKUP(Table2[[#This Row],[Visitor/Neutral]],rtg_vlookup,4,FALSE)</f>
        <v>13.544881516587669</v>
      </c>
      <c r="W793" s="25"/>
      <c r="X793" s="2"/>
      <c r="Y793" s="2">
        <f>Table2[[#This Row],[Away EV]]-Table2[[#This Row],[Home EV]]</f>
        <v>1.0672785519808912</v>
      </c>
      <c r="Z793" s="33"/>
      <c r="AA793" s="34"/>
      <c r="AB793" s="5" t="b">
        <f>IF(VLOOKUP(Table2[[#This Row],[Home/Neutral]],division_lookup,9,FALSE)=VLOOKUP(Table2[[#This Row],[Visitor/Neutral]],division_lookup,9,FALSE),TRUE,FALSE)</f>
        <v>0</v>
      </c>
      <c r="AC793" s="19" t="str">
        <f>VLOOKUP(Table2[[#This Row],[Home/Neutral]],division_lookup,9,FALSE)</f>
        <v>A</v>
      </c>
      <c r="AD793" s="19"/>
      <c r="AE793" s="19" t="str">
        <f>IF(Table2[[#This Row],[Total EV ®]]&lt;Table2[[#This Row],[Total (V)]],"UNDER","OVER")</f>
        <v>OVER</v>
      </c>
      <c r="AF793" s="30">
        <f>Table2[[#This Row],[(A) Spread]]-Table2[[#This Row],[Spread (V)]]</f>
        <v>0</v>
      </c>
      <c r="AG793" s="19"/>
      <c r="AH793" s="2">
        <f>Table2[[#This Row],[EV]]-Table2[[#This Row],[Spread (V)]]</f>
        <v>1.0672785519808912</v>
      </c>
      <c r="AI793" s="22">
        <f>Table2[[#This Row],[(A)]]-Table2[[#This Row],[Spread]]</f>
        <v>13.544881516587669</v>
      </c>
      <c r="AJ793" s="1">
        <f>Table2[[#This Row],[(A) Err]]^2</f>
        <v>183.46381529839826</v>
      </c>
      <c r="AK793" s="6">
        <f>Table2[[#This Row],[EV]]-Table2[[#This Row],[Spread]]</f>
        <v>1.0672785519808912</v>
      </c>
      <c r="AL793" s="1">
        <f>Table2[[#This Row],[EV Err]]^2</f>
        <v>1.1390835075184278</v>
      </c>
    </row>
    <row r="794" spans="1:38" x14ac:dyDescent="0.25">
      <c r="A794" t="s">
        <v>147</v>
      </c>
      <c r="B794" t="s">
        <v>29</v>
      </c>
      <c r="C794" t="s">
        <v>26</v>
      </c>
      <c r="K794" s="25">
        <f>(Table2[[#This Row],[Home Pace]]/100)*(VLOOKUP(Table2[[#This Row],[Home/Neutral]],home_lookup,8,FALSE)+VLOOKUP(Table2[[#This Row],[Home/Neutral]],OFR_lookup,2,FALSE)+VLOOKUP(Table2[[#This Row],[Visitor/Neutral]],def_diff_lookup,6,FALSE))</f>
        <v>110.60258926898523</v>
      </c>
      <c r="L794" s="25"/>
      <c r="M794" s="25">
        <f>(Table2[[#This Row],[Away Pace]]/100)*(VLOOKUP(Table2[[#This Row],[Visitor/Neutral]],OFR_lookup,2,FALSE)+VLOOKUP(Table2[[#This Row],[Home/Neutral]],def_diff_lookup,6,FALSE))</f>
        <v>106.71424</v>
      </c>
      <c r="N794" s="25"/>
      <c r="O794" s="25"/>
      <c r="P794">
        <f>VLOOKUP(Table2[[#This Row],[Home/Neutral]],pace_lookup,7,FALSE)</f>
        <v>93.8</v>
      </c>
      <c r="Q794" s="5">
        <f>VLOOKUP(Table2[[#This Row],[Visitor/Neutral]],pace_lookup,7,FALSE)</f>
        <v>96</v>
      </c>
      <c r="R794" s="9"/>
      <c r="V794" s="2">
        <f>-home-VLOOKUP(Table2[[#This Row],[Home/Neutral]],rtg_vlookup,4,FALSE)+VLOOKUP(Table2[[#This Row],[Visitor/Neutral]],rtg_vlookup,4,FALSE)</f>
        <v>-0.6551184834123307</v>
      </c>
      <c r="W794" s="25"/>
      <c r="X794" s="2"/>
      <c r="Y794" s="2">
        <f>Table2[[#This Row],[Away EV]]-Table2[[#This Row],[Home EV]]</f>
        <v>-3.8883492689852233</v>
      </c>
      <c r="Z794" s="33"/>
      <c r="AA794" s="34"/>
      <c r="AB794" s="5" t="b">
        <f>IF(VLOOKUP(Table2[[#This Row],[Home/Neutral]],division_lookup,9,FALSE)=VLOOKUP(Table2[[#This Row],[Visitor/Neutral]],division_lookup,9,FALSE),TRUE,FALSE)</f>
        <v>0</v>
      </c>
      <c r="AC794" s="19" t="str">
        <f>VLOOKUP(Table2[[#This Row],[Home/Neutral]],division_lookup,9,FALSE)</f>
        <v>P</v>
      </c>
      <c r="AD794" s="19"/>
      <c r="AE794" s="19" t="str">
        <f>IF(Table2[[#This Row],[Total EV ®]]&lt;Table2[[#This Row],[Total (V)]],"UNDER","OVER")</f>
        <v>OVER</v>
      </c>
      <c r="AF794" s="30">
        <f>Table2[[#This Row],[(A) Spread]]-Table2[[#This Row],[Spread (V)]]</f>
        <v>0</v>
      </c>
      <c r="AG794" s="19"/>
      <c r="AH794" s="2">
        <f>Table2[[#This Row],[EV]]-Table2[[#This Row],[Spread (V)]]</f>
        <v>-3.8883492689852233</v>
      </c>
      <c r="AI794" s="22">
        <f>Table2[[#This Row],[(A)]]-Table2[[#This Row],[Spread]]</f>
        <v>-0.6551184834123307</v>
      </c>
      <c r="AJ794" s="1">
        <f>Table2[[#This Row],[(A) Err]]^2</f>
        <v>0.42918022730847222</v>
      </c>
      <c r="AK794" s="6">
        <f>Table2[[#This Row],[EV]]-Table2[[#This Row],[Spread]]</f>
        <v>-3.8883492689852233</v>
      </c>
      <c r="AL794" s="1">
        <f>Table2[[#This Row],[EV Err]]^2</f>
        <v>15.11926003761792</v>
      </c>
    </row>
    <row r="795" spans="1:38" x14ac:dyDescent="0.25">
      <c r="A795" t="s">
        <v>148</v>
      </c>
      <c r="B795" t="s">
        <v>16</v>
      </c>
      <c r="C795" t="s">
        <v>17</v>
      </c>
      <c r="K795" s="25">
        <f>(Table2[[#This Row],[Home Pace]]/100)*(VLOOKUP(Table2[[#This Row],[Home/Neutral]],home_lookup,8,FALSE)+VLOOKUP(Table2[[#This Row],[Home/Neutral]],OFR_lookup,2,FALSE)+VLOOKUP(Table2[[#This Row],[Visitor/Neutral]],def_diff_lookup,6,FALSE))</f>
        <v>106.91210601115951</v>
      </c>
      <c r="L795" s="25"/>
      <c r="M795" s="25">
        <f>(Table2[[#This Row],[Away Pace]]/100)*(VLOOKUP(Table2[[#This Row],[Visitor/Neutral]],OFR_lookup,2,FALSE)+VLOOKUP(Table2[[#This Row],[Home/Neutral]],def_diff_lookup,6,FALSE))</f>
        <v>108.36266466666669</v>
      </c>
      <c r="N795" s="25"/>
      <c r="O795" s="25"/>
      <c r="P795">
        <f>VLOOKUP(Table2[[#This Row],[Home/Neutral]],pace_lookup,7,FALSE)</f>
        <v>97.5</v>
      </c>
      <c r="Q795" s="5">
        <f>VLOOKUP(Table2[[#This Row],[Visitor/Neutral]],pace_lookup,7,FALSE)</f>
        <v>96.7</v>
      </c>
      <c r="R795" s="9"/>
      <c r="V795" s="2">
        <f>-home-VLOOKUP(Table2[[#This Row],[Home/Neutral]],rtg_vlookup,4,FALSE)+VLOOKUP(Table2[[#This Row],[Visitor/Neutral]],rtg_vlookup,4,FALSE)</f>
        <v>-1.1051184834123307</v>
      </c>
      <c r="W795" s="25"/>
      <c r="X795" s="2"/>
      <c r="Y795" s="2">
        <f>Table2[[#This Row],[Away EV]]-Table2[[#This Row],[Home EV]]</f>
        <v>1.4505586555071801</v>
      </c>
      <c r="Z795" s="33"/>
      <c r="AA795" s="34"/>
      <c r="AB795" s="5" t="b">
        <f>IF(VLOOKUP(Table2[[#This Row],[Home/Neutral]],division_lookup,9,FALSE)=VLOOKUP(Table2[[#This Row],[Visitor/Neutral]],division_lookup,9,FALSE),TRUE,FALSE)</f>
        <v>0</v>
      </c>
      <c r="AC795" s="19" t="str">
        <f>VLOOKUP(Table2[[#This Row],[Home/Neutral]],division_lookup,9,FALSE)</f>
        <v>SE</v>
      </c>
      <c r="AD795" s="19"/>
      <c r="AE795" s="19" t="str">
        <f>IF(Table2[[#This Row],[Total EV ®]]&lt;Table2[[#This Row],[Total (V)]],"UNDER","OVER")</f>
        <v>OVER</v>
      </c>
      <c r="AF795" s="30">
        <f>Table2[[#This Row],[(A) Spread]]-Table2[[#This Row],[Spread (V)]]</f>
        <v>0</v>
      </c>
      <c r="AG795" s="19"/>
      <c r="AH795" s="2">
        <f>Table2[[#This Row],[EV]]-Table2[[#This Row],[Spread (V)]]</f>
        <v>1.4505586555071801</v>
      </c>
      <c r="AI795" s="22">
        <f>Table2[[#This Row],[(A)]]-Table2[[#This Row],[Spread]]</f>
        <v>-1.1051184834123307</v>
      </c>
      <c r="AJ795" s="1">
        <f>Table2[[#This Row],[(A) Err]]^2</f>
        <v>1.2212868623795698</v>
      </c>
      <c r="AK795" s="6">
        <f>Table2[[#This Row],[EV]]-Table2[[#This Row],[Spread]]</f>
        <v>1.4505586555071801</v>
      </c>
      <c r="AL795" s="1">
        <f>Table2[[#This Row],[EV Err]]^2</f>
        <v>2.1041204130667981</v>
      </c>
    </row>
    <row r="796" spans="1:38" x14ac:dyDescent="0.25">
      <c r="A796" t="s">
        <v>148</v>
      </c>
      <c r="B796" t="s">
        <v>37</v>
      </c>
      <c r="C796" t="s">
        <v>20</v>
      </c>
      <c r="K796" s="25">
        <f>(Table2[[#This Row],[Home Pace]]/100)*(VLOOKUP(Table2[[#This Row],[Home/Neutral]],home_lookup,8,FALSE)+VLOOKUP(Table2[[#This Row],[Home/Neutral]],OFR_lookup,2,FALSE)+VLOOKUP(Table2[[#This Row],[Visitor/Neutral]],def_diff_lookup,6,FALSE))</f>
        <v>101.03195809362123</v>
      </c>
      <c r="L796" s="25"/>
      <c r="M796" s="25">
        <f>(Table2[[#This Row],[Away Pace]]/100)*(VLOOKUP(Table2[[#This Row],[Visitor/Neutral]],OFR_lookup,2,FALSE)+VLOOKUP(Table2[[#This Row],[Home/Neutral]],def_diff_lookup,6,FALSE))</f>
        <v>94.118466000000012</v>
      </c>
      <c r="N796" s="25"/>
      <c r="O796" s="25"/>
      <c r="P796">
        <f>VLOOKUP(Table2[[#This Row],[Home/Neutral]],pace_lookup,7,FALSE)</f>
        <v>92.1</v>
      </c>
      <c r="Q796" s="5">
        <f>VLOOKUP(Table2[[#This Row],[Visitor/Neutral]],pace_lookup,7,FALSE)</f>
        <v>90.9</v>
      </c>
      <c r="R796" s="9"/>
      <c r="V796" s="2">
        <f>-home-VLOOKUP(Table2[[#This Row],[Home/Neutral]],rtg_vlookup,4,FALSE)+VLOOKUP(Table2[[#This Row],[Visitor/Neutral]],rtg_vlookup,4,FALSE)</f>
        <v>6.4948815165876699</v>
      </c>
      <c r="W796" s="25"/>
      <c r="X796" s="2"/>
      <c r="Y796" s="2">
        <f>Table2[[#This Row],[Away EV]]-Table2[[#This Row],[Home EV]]</f>
        <v>-6.9134920936212154</v>
      </c>
      <c r="Z796" s="33"/>
      <c r="AA796" s="34"/>
      <c r="AB796" s="5" t="b">
        <f>IF(VLOOKUP(Table2[[#This Row],[Home/Neutral]],division_lookup,9,FALSE)=VLOOKUP(Table2[[#This Row],[Visitor/Neutral]],division_lookup,9,FALSE),TRUE,FALSE)</f>
        <v>0</v>
      </c>
      <c r="AC796" s="19" t="str">
        <f>VLOOKUP(Table2[[#This Row],[Home/Neutral]],division_lookup,9,FALSE)</f>
        <v>SW</v>
      </c>
      <c r="AD796" s="19"/>
      <c r="AE796" s="19" t="str">
        <f>IF(Table2[[#This Row],[Total EV ®]]&lt;Table2[[#This Row],[Total (V)]],"UNDER","OVER")</f>
        <v>OVER</v>
      </c>
      <c r="AF796" s="30">
        <f>Table2[[#This Row],[(A) Spread]]-Table2[[#This Row],[Spread (V)]]</f>
        <v>0</v>
      </c>
      <c r="AG796" s="19"/>
      <c r="AH796" s="2">
        <f>Table2[[#This Row],[EV]]-Table2[[#This Row],[Spread (V)]]</f>
        <v>-6.9134920936212154</v>
      </c>
      <c r="AI796" s="22">
        <f>Table2[[#This Row],[(A)]]-Table2[[#This Row],[Spread]]</f>
        <v>6.4948815165876699</v>
      </c>
      <c r="AJ796" s="1">
        <f>Table2[[#This Row],[(A) Err]]^2</f>
        <v>42.183485914512154</v>
      </c>
      <c r="AK796" s="6">
        <f>Table2[[#This Row],[EV]]-Table2[[#This Row],[Spread]]</f>
        <v>-6.9134920936212154</v>
      </c>
      <c r="AL796" s="1">
        <f>Table2[[#This Row],[EV Err]]^2</f>
        <v>47.796372928563059</v>
      </c>
    </row>
    <row r="797" spans="1:38" x14ac:dyDescent="0.25">
      <c r="A797" t="s">
        <v>148</v>
      </c>
      <c r="B797" t="s">
        <v>18</v>
      </c>
      <c r="C797" t="s">
        <v>8</v>
      </c>
      <c r="K797" s="25">
        <f>(Table2[[#This Row],[Home Pace]]/100)*(VLOOKUP(Table2[[#This Row],[Home/Neutral]],home_lookup,8,FALSE)+VLOOKUP(Table2[[#This Row],[Home/Neutral]],OFR_lookup,2,FALSE)+VLOOKUP(Table2[[#This Row],[Visitor/Neutral]],def_diff_lookup,6,FALSE))</f>
        <v>100.91510616021132</v>
      </c>
      <c r="L797" s="25"/>
      <c r="M797" s="25">
        <f>(Table2[[#This Row],[Away Pace]]/100)*(VLOOKUP(Table2[[#This Row],[Visitor/Neutral]],OFR_lookup,2,FALSE)+VLOOKUP(Table2[[#This Row],[Home/Neutral]],def_diff_lookup,6,FALSE))</f>
        <v>104.01436799999999</v>
      </c>
      <c r="N797" s="25"/>
      <c r="O797" s="25"/>
      <c r="P797">
        <f>VLOOKUP(Table2[[#This Row],[Home/Neutral]],pace_lookup,7,FALSE)</f>
        <v>99.5</v>
      </c>
      <c r="Q797" s="5">
        <f>VLOOKUP(Table2[[#This Row],[Visitor/Neutral]],pace_lookup,7,FALSE)</f>
        <v>97.2</v>
      </c>
      <c r="R797" s="9"/>
      <c r="V797" s="2">
        <f>-home-VLOOKUP(Table2[[#This Row],[Home/Neutral]],rtg_vlookup,4,FALSE)+VLOOKUP(Table2[[#This Row],[Visitor/Neutral]],rtg_vlookup,4,FALSE)</f>
        <v>1.8048815165876695</v>
      </c>
      <c r="W797" s="25"/>
      <c r="X797" s="2"/>
      <c r="Y797" s="2">
        <f>Table2[[#This Row],[Away EV]]-Table2[[#This Row],[Home EV]]</f>
        <v>3.0992618397886673</v>
      </c>
      <c r="Z797" s="33"/>
      <c r="AA797" s="34"/>
      <c r="AB797" s="5" t="b">
        <f>IF(VLOOKUP(Table2[[#This Row],[Home/Neutral]],division_lookup,9,FALSE)=VLOOKUP(Table2[[#This Row],[Visitor/Neutral]],division_lookup,9,FALSE),TRUE,FALSE)</f>
        <v>0</v>
      </c>
      <c r="AC797" s="19" t="str">
        <f>VLOOKUP(Table2[[#This Row],[Home/Neutral]],division_lookup,9,FALSE)</f>
        <v>NW</v>
      </c>
      <c r="AD797" s="19"/>
      <c r="AE797" s="19" t="str">
        <f>IF(Table2[[#This Row],[Total EV ®]]&lt;Table2[[#This Row],[Total (V)]],"UNDER","OVER")</f>
        <v>OVER</v>
      </c>
      <c r="AF797" s="30">
        <f>Table2[[#This Row],[(A) Spread]]-Table2[[#This Row],[Spread (V)]]</f>
        <v>0</v>
      </c>
      <c r="AG797" s="19"/>
      <c r="AH797" s="2">
        <f>Table2[[#This Row],[EV]]-Table2[[#This Row],[Spread (V)]]</f>
        <v>3.0992618397886673</v>
      </c>
      <c r="AI797" s="22">
        <f>Table2[[#This Row],[(A)]]-Table2[[#This Row],[Spread]]</f>
        <v>1.8048815165876695</v>
      </c>
      <c r="AJ797" s="1">
        <f>Table2[[#This Row],[(A) Err]]^2</f>
        <v>3.2575972889198059</v>
      </c>
      <c r="AK797" s="6">
        <f>Table2[[#This Row],[EV]]-Table2[[#This Row],[Spread]]</f>
        <v>3.0992618397886673</v>
      </c>
      <c r="AL797" s="1">
        <f>Table2[[#This Row],[EV Err]]^2</f>
        <v>9.6054239515702342</v>
      </c>
    </row>
    <row r="798" spans="1:38" x14ac:dyDescent="0.25">
      <c r="A798" t="s">
        <v>148</v>
      </c>
      <c r="B798" t="s">
        <v>38</v>
      </c>
      <c r="C798" t="s">
        <v>39</v>
      </c>
      <c r="K798" s="25">
        <f>(Table2[[#This Row],[Home Pace]]/100)*(VLOOKUP(Table2[[#This Row],[Home/Neutral]],home_lookup,8,FALSE)+VLOOKUP(Table2[[#This Row],[Home/Neutral]],OFR_lookup,2,FALSE)+VLOOKUP(Table2[[#This Row],[Visitor/Neutral]],def_diff_lookup,6,FALSE))</f>
        <v>108.8414716789148</v>
      </c>
      <c r="L798" s="25"/>
      <c r="M798" s="25">
        <f>(Table2[[#This Row],[Away Pace]]/100)*(VLOOKUP(Table2[[#This Row],[Visitor/Neutral]],OFR_lookup,2,FALSE)+VLOOKUP(Table2[[#This Row],[Home/Neutral]],def_diff_lookup,6,FALSE))</f>
        <v>98.641400000000004</v>
      </c>
      <c r="N798" s="25"/>
      <c r="O798" s="25"/>
      <c r="P798">
        <f>VLOOKUP(Table2[[#This Row],[Home/Neutral]],pace_lookup,7,FALSE)</f>
        <v>94.2</v>
      </c>
      <c r="Q798" s="5">
        <f>VLOOKUP(Table2[[#This Row],[Visitor/Neutral]],pace_lookup,7,FALSE)</f>
        <v>97.5</v>
      </c>
      <c r="R798" s="9"/>
      <c r="V798" s="2">
        <f>-home-VLOOKUP(Table2[[#This Row],[Home/Neutral]],rtg_vlookup,4,FALSE)+VLOOKUP(Table2[[#This Row],[Visitor/Neutral]],rtg_vlookup,4,FALSE)</f>
        <v>-3.3051184834123308</v>
      </c>
      <c r="W798" s="25"/>
      <c r="X798" s="2"/>
      <c r="Y798" s="2">
        <f>Table2[[#This Row],[Away EV]]-Table2[[#This Row],[Home EV]]</f>
        <v>-10.200071678914796</v>
      </c>
      <c r="Z798" s="33"/>
      <c r="AA798" s="34"/>
      <c r="AB798" s="5" t="b">
        <f>IF(VLOOKUP(Table2[[#This Row],[Home/Neutral]],division_lookup,9,FALSE)=VLOOKUP(Table2[[#This Row],[Visitor/Neutral]],division_lookup,9,FALSE),TRUE,FALSE)</f>
        <v>0</v>
      </c>
      <c r="AC798" s="19" t="str">
        <f>VLOOKUP(Table2[[#This Row],[Home/Neutral]],division_lookup,9,FALSE)</f>
        <v>SE</v>
      </c>
      <c r="AD798" s="19"/>
      <c r="AE798" s="19" t="str">
        <f>IF(Table2[[#This Row],[Total EV ®]]&lt;Table2[[#This Row],[Total (V)]],"UNDER","OVER")</f>
        <v>OVER</v>
      </c>
      <c r="AF798" s="30">
        <f>Table2[[#This Row],[(A) Spread]]-Table2[[#This Row],[Spread (V)]]</f>
        <v>0</v>
      </c>
      <c r="AG798" s="19"/>
      <c r="AH798" s="2">
        <f>Table2[[#This Row],[EV]]-Table2[[#This Row],[Spread (V)]]</f>
        <v>-10.200071678914796</v>
      </c>
      <c r="AI798" s="22">
        <f>Table2[[#This Row],[(A)]]-Table2[[#This Row],[Spread]]</f>
        <v>-3.3051184834123308</v>
      </c>
      <c r="AJ798" s="1">
        <f>Table2[[#This Row],[(A) Err]]^2</f>
        <v>10.923808189393826</v>
      </c>
      <c r="AK798" s="6">
        <f>Table2[[#This Row],[EV]]-Table2[[#This Row],[Spread]]</f>
        <v>-10.200071678914796</v>
      </c>
      <c r="AL798" s="1">
        <f>Table2[[#This Row],[EV Err]]^2</f>
        <v>104.0414622549997</v>
      </c>
    </row>
    <row r="799" spans="1:38" x14ac:dyDescent="0.25">
      <c r="A799" t="s">
        <v>148</v>
      </c>
      <c r="B799" t="s">
        <v>32</v>
      </c>
      <c r="C799" t="s">
        <v>26</v>
      </c>
      <c r="K799" s="25">
        <f>(Table2[[#This Row],[Home Pace]]/100)*(VLOOKUP(Table2[[#This Row],[Home/Neutral]],home_lookup,8,FALSE)+VLOOKUP(Table2[[#This Row],[Home/Neutral]],OFR_lookup,2,FALSE)+VLOOKUP(Table2[[#This Row],[Visitor/Neutral]],def_diff_lookup,6,FALSE))</f>
        <v>110.94375112001839</v>
      </c>
      <c r="L799" s="25"/>
      <c r="M799" s="25">
        <f>(Table2[[#This Row],[Away Pace]]/100)*(VLOOKUP(Table2[[#This Row],[Visitor/Neutral]],OFR_lookup,2,FALSE)+VLOOKUP(Table2[[#This Row],[Home/Neutral]],def_diff_lookup,6,FALSE))</f>
        <v>108.38464</v>
      </c>
      <c r="N799" s="25"/>
      <c r="O799" s="25"/>
      <c r="P799">
        <f>VLOOKUP(Table2[[#This Row],[Home/Neutral]],pace_lookup,7,FALSE)</f>
        <v>98.6</v>
      </c>
      <c r="Q799" s="5">
        <f>VLOOKUP(Table2[[#This Row],[Visitor/Neutral]],pace_lookup,7,FALSE)</f>
        <v>96</v>
      </c>
      <c r="R799" s="9"/>
      <c r="V799" s="2">
        <f>-home-VLOOKUP(Table2[[#This Row],[Home/Neutral]],rtg_vlookup,4,FALSE)+VLOOKUP(Table2[[#This Row],[Visitor/Neutral]],rtg_vlookup,4,FALSE)</f>
        <v>-6.5118483412330841E-2</v>
      </c>
      <c r="W799" s="25"/>
      <c r="X799" s="2"/>
      <c r="Y799" s="2">
        <f>Table2[[#This Row],[Away EV]]-Table2[[#This Row],[Home EV]]</f>
        <v>-2.559111120018386</v>
      </c>
      <c r="Z799" s="33"/>
      <c r="AA799" s="34"/>
      <c r="AB799" s="5" t="b">
        <f>IF(VLOOKUP(Table2[[#This Row],[Home/Neutral]],division_lookup,9,FALSE)=VLOOKUP(Table2[[#This Row],[Visitor/Neutral]],division_lookup,9,FALSE),TRUE,FALSE)</f>
        <v>0</v>
      </c>
      <c r="AC799" s="19" t="str">
        <f>VLOOKUP(Table2[[#This Row],[Home/Neutral]],division_lookup,9,FALSE)</f>
        <v>NW</v>
      </c>
      <c r="AD799" s="19"/>
      <c r="AE799" s="19" t="str">
        <f>IF(Table2[[#This Row],[Total EV ®]]&lt;Table2[[#This Row],[Total (V)]],"UNDER","OVER")</f>
        <v>OVER</v>
      </c>
      <c r="AF799" s="30">
        <f>Table2[[#This Row],[(A) Spread]]-Table2[[#This Row],[Spread (V)]]</f>
        <v>0</v>
      </c>
      <c r="AG799" s="19"/>
      <c r="AH799" s="2">
        <f>Table2[[#This Row],[EV]]-Table2[[#This Row],[Spread (V)]]</f>
        <v>-2.559111120018386</v>
      </c>
      <c r="AI799" s="22">
        <f>Table2[[#This Row],[(A)]]-Table2[[#This Row],[Spread]]</f>
        <v>-6.5118483412330841E-2</v>
      </c>
      <c r="AJ799" s="1">
        <f>Table2[[#This Row],[(A) Err]]^2</f>
        <v>4.2404168819220071E-3</v>
      </c>
      <c r="AK799" s="6">
        <f>Table2[[#This Row],[EV]]-Table2[[#This Row],[Spread]]</f>
        <v>-2.559111120018386</v>
      </c>
      <c r="AL799" s="1">
        <f>Table2[[#This Row],[EV Err]]^2</f>
        <v>6.5490497246017583</v>
      </c>
    </row>
    <row r="800" spans="1:38" x14ac:dyDescent="0.25">
      <c r="A800" t="s">
        <v>149</v>
      </c>
      <c r="B800" t="s">
        <v>35</v>
      </c>
      <c r="C800" t="s">
        <v>21</v>
      </c>
      <c r="K800" s="25">
        <f>(Table2[[#This Row],[Home Pace]]/100)*(VLOOKUP(Table2[[#This Row],[Home/Neutral]],home_lookup,8,FALSE)+VLOOKUP(Table2[[#This Row],[Home/Neutral]],OFR_lookup,2,FALSE)+VLOOKUP(Table2[[#This Row],[Visitor/Neutral]],def_diff_lookup,6,FALSE))</f>
        <v>103.76711121209625</v>
      </c>
      <c r="L800" s="25"/>
      <c r="M800" s="25">
        <f>(Table2[[#This Row],[Away Pace]]/100)*(VLOOKUP(Table2[[#This Row],[Visitor/Neutral]],OFR_lookup,2,FALSE)+VLOOKUP(Table2[[#This Row],[Home/Neutral]],def_diff_lookup,6,FALSE))</f>
        <v>99.880888000000013</v>
      </c>
      <c r="N800" s="25"/>
      <c r="O800" s="25"/>
      <c r="P800">
        <f>VLOOKUP(Table2[[#This Row],[Home/Neutral]],pace_lookup,7,FALSE)</f>
        <v>102.2</v>
      </c>
      <c r="Q800" s="5">
        <f>VLOOKUP(Table2[[#This Row],[Visitor/Neutral]],pace_lookup,7,FALSE)</f>
        <v>94.2</v>
      </c>
      <c r="R800" s="9"/>
      <c r="V800" s="2">
        <f>-home-VLOOKUP(Table2[[#This Row],[Home/Neutral]],rtg_vlookup,4,FALSE)+VLOOKUP(Table2[[#This Row],[Visitor/Neutral]],rtg_vlookup,4,FALSE)</f>
        <v>3.494881516587669</v>
      </c>
      <c r="W800" s="25"/>
      <c r="X800" s="2"/>
      <c r="Y800" s="2">
        <f>Table2[[#This Row],[Away EV]]-Table2[[#This Row],[Home EV]]</f>
        <v>-3.8862232120962403</v>
      </c>
      <c r="Z800" s="33"/>
      <c r="AA800" s="34"/>
      <c r="AB800" s="5" t="b">
        <f>IF(VLOOKUP(Table2[[#This Row],[Home/Neutral]],division_lookup,9,FALSE)=VLOOKUP(Table2[[#This Row],[Visitor/Neutral]],division_lookup,9,FALSE),TRUE,FALSE)</f>
        <v>0</v>
      </c>
      <c r="AC800" s="19" t="str">
        <f>VLOOKUP(Table2[[#This Row],[Home/Neutral]],division_lookup,9,FALSE)</f>
        <v>A</v>
      </c>
      <c r="AD800" s="19"/>
      <c r="AE800" s="19" t="str">
        <f>IF(Table2[[#This Row],[Total EV ®]]&lt;Table2[[#This Row],[Total (V)]],"UNDER","OVER")</f>
        <v>OVER</v>
      </c>
      <c r="AF800" s="30">
        <f>Table2[[#This Row],[(A) Spread]]-Table2[[#This Row],[Spread (V)]]</f>
        <v>0</v>
      </c>
      <c r="AG800" s="19"/>
      <c r="AH800" s="2">
        <f>Table2[[#This Row],[EV]]-Table2[[#This Row],[Spread (V)]]</f>
        <v>-3.8862232120962403</v>
      </c>
      <c r="AI800" s="22">
        <f>Table2[[#This Row],[(A)]]-Table2[[#This Row],[Spread]]</f>
        <v>3.494881516587669</v>
      </c>
      <c r="AJ800" s="1">
        <f>Table2[[#This Row],[(A) Err]]^2</f>
        <v>12.214196814986126</v>
      </c>
      <c r="AK800" s="6">
        <f>Table2[[#This Row],[EV]]-Table2[[#This Row],[Spread]]</f>
        <v>-3.8862232120962403</v>
      </c>
      <c r="AL800" s="1">
        <f>Table2[[#This Row],[EV Err]]^2</f>
        <v>15.10273085423562</v>
      </c>
    </row>
    <row r="801" spans="1:38" x14ac:dyDescent="0.25">
      <c r="A801" t="s">
        <v>149</v>
      </c>
      <c r="B801" t="s">
        <v>25</v>
      </c>
      <c r="C801" t="s">
        <v>6</v>
      </c>
      <c r="K801" s="25">
        <f>(Table2[[#This Row],[Home Pace]]/100)*(VLOOKUP(Table2[[#This Row],[Home/Neutral]],home_lookup,8,FALSE)+VLOOKUP(Table2[[#This Row],[Home/Neutral]],OFR_lookup,2,FALSE)+VLOOKUP(Table2[[#This Row],[Visitor/Neutral]],def_diff_lookup,6,FALSE))</f>
        <v>101.10094444427257</v>
      </c>
      <c r="L801" s="25"/>
      <c r="M801" s="25">
        <f>(Table2[[#This Row],[Away Pace]]/100)*(VLOOKUP(Table2[[#This Row],[Visitor/Neutral]],OFR_lookup,2,FALSE)+VLOOKUP(Table2[[#This Row],[Home/Neutral]],def_diff_lookup,6,FALSE))</f>
        <v>99.915540666666672</v>
      </c>
      <c r="N801" s="25"/>
      <c r="O801" s="25"/>
      <c r="P801">
        <f>VLOOKUP(Table2[[#This Row],[Home/Neutral]],pace_lookup,7,FALSE)</f>
        <v>94.4</v>
      </c>
      <c r="Q801" s="5">
        <f>VLOOKUP(Table2[[#This Row],[Visitor/Neutral]],pace_lookup,7,FALSE)</f>
        <v>93.1</v>
      </c>
      <c r="R801" s="9"/>
      <c r="V801" s="2">
        <f>-home-VLOOKUP(Table2[[#This Row],[Home/Neutral]],rtg_vlookup,4,FALSE)+VLOOKUP(Table2[[#This Row],[Visitor/Neutral]],rtg_vlookup,4,FALSE)</f>
        <v>4.284881516587669</v>
      </c>
      <c r="W801" s="25"/>
      <c r="X801" s="2"/>
      <c r="Y801" s="2">
        <f>Table2[[#This Row],[Away EV]]-Table2[[#This Row],[Home EV]]</f>
        <v>-1.1854037776058988</v>
      </c>
      <c r="Z801" s="33"/>
      <c r="AA801" s="34"/>
      <c r="AB801" s="5" t="b">
        <f>IF(VLOOKUP(Table2[[#This Row],[Home/Neutral]],division_lookup,9,FALSE)=VLOOKUP(Table2[[#This Row],[Visitor/Neutral]],division_lookup,9,FALSE),TRUE,FALSE)</f>
        <v>0</v>
      </c>
      <c r="AC801" s="19" t="str">
        <f>VLOOKUP(Table2[[#This Row],[Home/Neutral]],division_lookup,9,FALSE)</f>
        <v>C</v>
      </c>
      <c r="AD801" s="19"/>
      <c r="AE801" s="19" t="str">
        <f>IF(Table2[[#This Row],[Total EV ®]]&lt;Table2[[#This Row],[Total (V)]],"UNDER","OVER")</f>
        <v>OVER</v>
      </c>
      <c r="AF801" s="30">
        <f>Table2[[#This Row],[(A) Spread]]-Table2[[#This Row],[Spread (V)]]</f>
        <v>0</v>
      </c>
      <c r="AG801" s="19"/>
      <c r="AH801" s="2">
        <f>Table2[[#This Row],[EV]]-Table2[[#This Row],[Spread (V)]]</f>
        <v>-1.1854037776058988</v>
      </c>
      <c r="AI801" s="22">
        <f>Table2[[#This Row],[(A)]]-Table2[[#This Row],[Spread]]</f>
        <v>4.284881516587669</v>
      </c>
      <c r="AJ801" s="1">
        <f>Table2[[#This Row],[(A) Err]]^2</f>
        <v>18.360209611194641</v>
      </c>
      <c r="AK801" s="6">
        <f>Table2[[#This Row],[EV]]-Table2[[#This Row],[Spread]]</f>
        <v>-1.1854037776058988</v>
      </c>
      <c r="AL801" s="1">
        <f>Table2[[#This Row],[EV Err]]^2</f>
        <v>1.405182115962335</v>
      </c>
    </row>
    <row r="802" spans="1:38" x14ac:dyDescent="0.25">
      <c r="A802" t="s">
        <v>149</v>
      </c>
      <c r="B802" t="s">
        <v>23</v>
      </c>
      <c r="C802" t="s">
        <v>10</v>
      </c>
      <c r="K802" s="25">
        <f>(Table2[[#This Row],[Home Pace]]/100)*(VLOOKUP(Table2[[#This Row],[Home/Neutral]],home_lookup,8,FALSE)+VLOOKUP(Table2[[#This Row],[Home/Neutral]],OFR_lookup,2,FALSE)+VLOOKUP(Table2[[#This Row],[Visitor/Neutral]],def_diff_lookup,6,FALSE))</f>
        <v>103.38663735871359</v>
      </c>
      <c r="L802" s="25"/>
      <c r="M802" s="25">
        <f>(Table2[[#This Row],[Away Pace]]/100)*(VLOOKUP(Table2[[#This Row],[Visitor/Neutral]],OFR_lookup,2,FALSE)+VLOOKUP(Table2[[#This Row],[Home/Neutral]],def_diff_lookup,6,FALSE))</f>
        <v>112.31660866666667</v>
      </c>
      <c r="N802" s="25"/>
      <c r="O802" s="25"/>
      <c r="P802">
        <f>VLOOKUP(Table2[[#This Row],[Home/Neutral]],pace_lookup,7,FALSE)</f>
        <v>92.5</v>
      </c>
      <c r="Q802" s="5">
        <f>VLOOKUP(Table2[[#This Row],[Visitor/Neutral]],pace_lookup,7,FALSE)</f>
        <v>100.3</v>
      </c>
      <c r="R802" s="9"/>
      <c r="V802" s="2">
        <f>-home-VLOOKUP(Table2[[#This Row],[Home/Neutral]],rtg_vlookup,4,FALSE)+VLOOKUP(Table2[[#This Row],[Visitor/Neutral]],rtg_vlookup,4,FALSE)</f>
        <v>3.3548815165876693</v>
      </c>
      <c r="W802" s="25"/>
      <c r="X802" s="2"/>
      <c r="Y802" s="2">
        <f>Table2[[#This Row],[Away EV]]-Table2[[#This Row],[Home EV]]</f>
        <v>8.9299713079530818</v>
      </c>
      <c r="Z802" s="33"/>
      <c r="AA802" s="34"/>
      <c r="AB802" s="5" t="b">
        <f>IF(VLOOKUP(Table2[[#This Row],[Home/Neutral]],division_lookup,9,FALSE)=VLOOKUP(Table2[[#This Row],[Visitor/Neutral]],division_lookup,9,FALSE),TRUE,FALSE)</f>
        <v>0</v>
      </c>
      <c r="AC802" s="19" t="str">
        <f>VLOOKUP(Table2[[#This Row],[Home/Neutral]],division_lookup,9,FALSE)</f>
        <v>SW</v>
      </c>
      <c r="AD802" s="19"/>
      <c r="AE802" s="19" t="str">
        <f>IF(Table2[[#This Row],[Total EV ®]]&lt;Table2[[#This Row],[Total (V)]],"UNDER","OVER")</f>
        <v>OVER</v>
      </c>
      <c r="AF802" s="30">
        <f>Table2[[#This Row],[(A) Spread]]-Table2[[#This Row],[Spread (V)]]</f>
        <v>0</v>
      </c>
      <c r="AG802" s="19"/>
      <c r="AH802" s="2">
        <f>Table2[[#This Row],[EV]]-Table2[[#This Row],[Spread (V)]]</f>
        <v>8.9299713079530818</v>
      </c>
      <c r="AI802" s="22">
        <f>Table2[[#This Row],[(A)]]-Table2[[#This Row],[Spread]]</f>
        <v>3.3548815165876693</v>
      </c>
      <c r="AJ802" s="1">
        <f>Table2[[#This Row],[(A) Err]]^2</f>
        <v>11.255229990341579</v>
      </c>
      <c r="AK802" s="6">
        <f>Table2[[#This Row],[EV]]-Table2[[#This Row],[Spread]]</f>
        <v>8.9299713079530818</v>
      </c>
      <c r="AL802" s="1">
        <f>Table2[[#This Row],[EV Err]]^2</f>
        <v>79.744387560865277</v>
      </c>
    </row>
    <row r="803" spans="1:38" x14ac:dyDescent="0.25">
      <c r="A803" t="s">
        <v>149</v>
      </c>
      <c r="B803" t="s">
        <v>30</v>
      </c>
      <c r="C803" t="s">
        <v>24</v>
      </c>
      <c r="K803" s="25">
        <f>(Table2[[#This Row],[Home Pace]]/100)*(VLOOKUP(Table2[[#This Row],[Home/Neutral]],home_lookup,8,FALSE)+VLOOKUP(Table2[[#This Row],[Home/Neutral]],OFR_lookup,2,FALSE)+VLOOKUP(Table2[[#This Row],[Visitor/Neutral]],def_diff_lookup,6,FALSE))</f>
        <v>111.94560034993644</v>
      </c>
      <c r="L803" s="25"/>
      <c r="M803" s="25">
        <f>(Table2[[#This Row],[Away Pace]]/100)*(VLOOKUP(Table2[[#This Row],[Visitor/Neutral]],OFR_lookup,2,FALSE)+VLOOKUP(Table2[[#This Row],[Home/Neutral]],def_diff_lookup,6,FALSE))</f>
        <v>112.34820600000003</v>
      </c>
      <c r="N803" s="25"/>
      <c r="O803" s="25"/>
      <c r="P803">
        <f>VLOOKUP(Table2[[#This Row],[Home/Neutral]],pace_lookup,7,FALSE)</f>
        <v>96.8</v>
      </c>
      <c r="Q803" s="5">
        <f>VLOOKUP(Table2[[#This Row],[Visitor/Neutral]],pace_lookup,7,FALSE)</f>
        <v>99.9</v>
      </c>
      <c r="R803" s="9"/>
      <c r="V803" s="2">
        <f>-home-VLOOKUP(Table2[[#This Row],[Home/Neutral]],rtg_vlookup,4,FALSE)+VLOOKUP(Table2[[#This Row],[Visitor/Neutral]],rtg_vlookup,4,FALSE)</f>
        <v>4.4881516587669028E-2</v>
      </c>
      <c r="W803" s="25"/>
      <c r="X803" s="2"/>
      <c r="Y803" s="2">
        <f>Table2[[#This Row],[Away EV]]-Table2[[#This Row],[Home EV]]</f>
        <v>0.40260565006359172</v>
      </c>
      <c r="Z803" s="33"/>
      <c r="AA803" s="34"/>
      <c r="AB803" s="5" t="b">
        <f>IF(VLOOKUP(Table2[[#This Row],[Home/Neutral]],division_lookup,9,FALSE)=VLOOKUP(Table2[[#This Row],[Visitor/Neutral]],division_lookup,9,FALSE),TRUE,FALSE)</f>
        <v>0</v>
      </c>
      <c r="AC803" s="19" t="str">
        <f>VLOOKUP(Table2[[#This Row],[Home/Neutral]],division_lookup,9,FALSE)</f>
        <v>C</v>
      </c>
      <c r="AD803" s="19"/>
      <c r="AE803" s="19" t="str">
        <f>IF(Table2[[#This Row],[Total EV ®]]&lt;Table2[[#This Row],[Total (V)]],"UNDER","OVER")</f>
        <v>OVER</v>
      </c>
      <c r="AF803" s="30">
        <f>Table2[[#This Row],[(A) Spread]]-Table2[[#This Row],[Spread (V)]]</f>
        <v>0</v>
      </c>
      <c r="AG803" s="19"/>
      <c r="AH803" s="2">
        <f>Table2[[#This Row],[EV]]-Table2[[#This Row],[Spread (V)]]</f>
        <v>0.40260565006359172</v>
      </c>
      <c r="AI803" s="22">
        <f>Table2[[#This Row],[(A)]]-Table2[[#This Row],[Spread]]</f>
        <v>4.4881516587669028E-2</v>
      </c>
      <c r="AJ803" s="1">
        <f>Table2[[#This Row],[(A) Err]]^2</f>
        <v>2.0143505312092101E-3</v>
      </c>
      <c r="AK803" s="6">
        <f>Table2[[#This Row],[EV]]-Table2[[#This Row],[Spread]]</f>
        <v>0.40260565006359172</v>
      </c>
      <c r="AL803" s="1">
        <f>Table2[[#This Row],[EV Err]]^2</f>
        <v>0.16209130946312728</v>
      </c>
    </row>
    <row r="804" spans="1:38" x14ac:dyDescent="0.25">
      <c r="A804" t="s">
        <v>149</v>
      </c>
      <c r="B804" t="s">
        <v>22</v>
      </c>
      <c r="C804" t="s">
        <v>34</v>
      </c>
      <c r="K804" s="25">
        <f>(Table2[[#This Row],[Home Pace]]/100)*(VLOOKUP(Table2[[#This Row],[Home/Neutral]],home_lookup,8,FALSE)+VLOOKUP(Table2[[#This Row],[Home/Neutral]],OFR_lookup,2,FALSE)+VLOOKUP(Table2[[#This Row],[Visitor/Neutral]],def_diff_lookup,6,FALSE))</f>
        <v>110.67918922968975</v>
      </c>
      <c r="L804" s="25"/>
      <c r="M804" s="25">
        <f>(Table2[[#This Row],[Away Pace]]/100)*(VLOOKUP(Table2[[#This Row],[Visitor/Neutral]],OFR_lookup,2,FALSE)+VLOOKUP(Table2[[#This Row],[Home/Neutral]],def_diff_lookup,6,FALSE))</f>
        <v>103.79005866666667</v>
      </c>
      <c r="N804" s="25"/>
      <c r="O804" s="25"/>
      <c r="P804">
        <f>VLOOKUP(Table2[[#This Row],[Home/Neutral]],pace_lookup,7,FALSE)</f>
        <v>94.7</v>
      </c>
      <c r="Q804" s="5">
        <f>VLOOKUP(Table2[[#This Row],[Visitor/Neutral]],pace_lookup,7,FALSE)</f>
        <v>98.8</v>
      </c>
      <c r="R804" s="9"/>
      <c r="V804" s="2">
        <f>-home-VLOOKUP(Table2[[#This Row],[Home/Neutral]],rtg_vlookup,4,FALSE)+VLOOKUP(Table2[[#This Row],[Visitor/Neutral]],rtg_vlookup,4,FALSE)</f>
        <v>-8.665118483412332</v>
      </c>
      <c r="W804" s="25"/>
      <c r="X804" s="2"/>
      <c r="Y804" s="2">
        <f>Table2[[#This Row],[Away EV]]-Table2[[#This Row],[Home EV]]</f>
        <v>-6.8891305630230875</v>
      </c>
      <c r="Z804" s="33"/>
      <c r="AA804" s="34"/>
      <c r="AB804" s="5" t="b">
        <f>IF(VLOOKUP(Table2[[#This Row],[Home/Neutral]],division_lookup,9,FALSE)=VLOOKUP(Table2[[#This Row],[Visitor/Neutral]],division_lookup,9,FALSE),TRUE,FALSE)</f>
        <v>0</v>
      </c>
      <c r="AC804" s="19" t="str">
        <f>VLOOKUP(Table2[[#This Row],[Home/Neutral]],division_lookup,9,FALSE)</f>
        <v>NW</v>
      </c>
      <c r="AD804" s="19"/>
      <c r="AE804" s="19" t="str">
        <f>IF(Table2[[#This Row],[Total EV ®]]&lt;Table2[[#This Row],[Total (V)]],"UNDER","OVER")</f>
        <v>OVER</v>
      </c>
      <c r="AF804" s="30">
        <f>Table2[[#This Row],[(A) Spread]]-Table2[[#This Row],[Spread (V)]]</f>
        <v>0</v>
      </c>
      <c r="AG804" s="19"/>
      <c r="AH804" s="2">
        <f>Table2[[#This Row],[EV]]-Table2[[#This Row],[Spread (V)]]</f>
        <v>-6.8891305630230875</v>
      </c>
      <c r="AI804" s="22">
        <f>Table2[[#This Row],[(A)]]-Table2[[#This Row],[Spread]]</f>
        <v>-8.665118483412332</v>
      </c>
      <c r="AJ804" s="1">
        <f>Table2[[#This Row],[(A) Err]]^2</f>
        <v>75.084278331574026</v>
      </c>
      <c r="AK804" s="6">
        <f>Table2[[#This Row],[EV]]-Table2[[#This Row],[Spread]]</f>
        <v>-6.8891305630230875</v>
      </c>
      <c r="AL804" s="1">
        <f>Table2[[#This Row],[EV Err]]^2</f>
        <v>47.460119914378801</v>
      </c>
    </row>
    <row r="805" spans="1:38" x14ac:dyDescent="0.25">
      <c r="A805" t="s">
        <v>149</v>
      </c>
      <c r="B805" t="s">
        <v>31</v>
      </c>
      <c r="C805" t="s">
        <v>27</v>
      </c>
      <c r="K805" s="25">
        <f>(Table2[[#This Row],[Home Pace]]/100)*(VLOOKUP(Table2[[#This Row],[Home/Neutral]],home_lookup,8,FALSE)+VLOOKUP(Table2[[#This Row],[Home/Neutral]],OFR_lookup,2,FALSE)+VLOOKUP(Table2[[#This Row],[Visitor/Neutral]],def_diff_lookup,6,FALSE))</f>
        <v>109.9485743021789</v>
      </c>
      <c r="L805" s="25"/>
      <c r="M805" s="25">
        <f>(Table2[[#This Row],[Away Pace]]/100)*(VLOOKUP(Table2[[#This Row],[Visitor/Neutral]],OFR_lookup,2,FALSE)+VLOOKUP(Table2[[#This Row],[Home/Neutral]],def_diff_lookup,6,FALSE))</f>
        <v>108.92046000000001</v>
      </c>
      <c r="N805" s="25"/>
      <c r="O805" s="25"/>
      <c r="P805">
        <f>VLOOKUP(Table2[[#This Row],[Home/Neutral]],pace_lookup,7,FALSE)</f>
        <v>96</v>
      </c>
      <c r="Q805" s="5">
        <f>VLOOKUP(Table2[[#This Row],[Visitor/Neutral]],pace_lookup,7,FALSE)</f>
        <v>99</v>
      </c>
      <c r="R805" s="9"/>
      <c r="V805" s="2">
        <f>-home-VLOOKUP(Table2[[#This Row],[Home/Neutral]],rtg_vlookup,4,FALSE)+VLOOKUP(Table2[[#This Row],[Visitor/Neutral]],rtg_vlookup,4,FALSE)</f>
        <v>-1.0751184834123304</v>
      </c>
      <c r="W805" s="25"/>
      <c r="X805" s="2"/>
      <c r="Y805" s="2">
        <f>Table2[[#This Row],[Away EV]]-Table2[[#This Row],[Home EV]]</f>
        <v>-1.0281143021788921</v>
      </c>
      <c r="Z805" s="33"/>
      <c r="AA805" s="34"/>
      <c r="AB805" s="5" t="b">
        <f>IF(VLOOKUP(Table2[[#This Row],[Home/Neutral]],division_lookup,9,FALSE)=VLOOKUP(Table2[[#This Row],[Visitor/Neutral]],division_lookup,9,FALSE),TRUE,FALSE)</f>
        <v>0</v>
      </c>
      <c r="AC805" s="19" t="str">
        <f>VLOOKUP(Table2[[#This Row],[Home/Neutral]],division_lookup,9,FALSE)</f>
        <v>A</v>
      </c>
      <c r="AD805" s="19"/>
      <c r="AE805" s="19" t="str">
        <f>IF(Table2[[#This Row],[Total EV ®]]&lt;Table2[[#This Row],[Total (V)]],"UNDER","OVER")</f>
        <v>OVER</v>
      </c>
      <c r="AF805" s="30">
        <f>Table2[[#This Row],[(A) Spread]]-Table2[[#This Row],[Spread (V)]]</f>
        <v>0</v>
      </c>
      <c r="AG805" s="19"/>
      <c r="AH805" s="2">
        <f>Table2[[#This Row],[EV]]-Table2[[#This Row],[Spread (V)]]</f>
        <v>-1.0281143021788921</v>
      </c>
      <c r="AI805" s="22">
        <f>Table2[[#This Row],[(A)]]-Table2[[#This Row],[Spread]]</f>
        <v>-1.0751184834123304</v>
      </c>
      <c r="AJ805" s="1">
        <f>Table2[[#This Row],[(A) Err]]^2</f>
        <v>1.1558797533748293</v>
      </c>
      <c r="AK805" s="6">
        <f>Table2[[#This Row],[EV]]-Table2[[#This Row],[Spread]]</f>
        <v>-1.0281143021788921</v>
      </c>
      <c r="AL805" s="1">
        <f>Table2[[#This Row],[EV Err]]^2</f>
        <v>1.0570190183447903</v>
      </c>
    </row>
    <row r="806" spans="1:38" x14ac:dyDescent="0.25">
      <c r="A806" t="s">
        <v>149</v>
      </c>
      <c r="B806" t="s">
        <v>36</v>
      </c>
      <c r="C806" t="s">
        <v>13</v>
      </c>
      <c r="K806" s="25">
        <f>(Table2[[#This Row],[Home Pace]]/100)*(VLOOKUP(Table2[[#This Row],[Home/Neutral]],home_lookup,8,FALSE)+VLOOKUP(Table2[[#This Row],[Home/Neutral]],OFR_lookup,2,FALSE)+VLOOKUP(Table2[[#This Row],[Visitor/Neutral]],def_diff_lookup,6,FALSE))</f>
        <v>106.77721156604044</v>
      </c>
      <c r="L806" s="25"/>
      <c r="M806" s="25">
        <f>(Table2[[#This Row],[Away Pace]]/100)*(VLOOKUP(Table2[[#This Row],[Visitor/Neutral]],OFR_lookup,2,FALSE)+VLOOKUP(Table2[[#This Row],[Home/Neutral]],def_diff_lookup,6,FALSE))</f>
        <v>107.83458</v>
      </c>
      <c r="N806" s="25"/>
      <c r="O806" s="25"/>
      <c r="P806">
        <f>VLOOKUP(Table2[[#This Row],[Home/Neutral]],pace_lookup,7,FALSE)</f>
        <v>102.2</v>
      </c>
      <c r="Q806" s="5">
        <f>VLOOKUP(Table2[[#This Row],[Visitor/Neutral]],pace_lookup,7,FALSE)</f>
        <v>94.5</v>
      </c>
      <c r="R806" s="9"/>
      <c r="V806" s="2">
        <f>-home-VLOOKUP(Table2[[#This Row],[Home/Neutral]],rtg_vlookup,4,FALSE)+VLOOKUP(Table2[[#This Row],[Visitor/Neutral]],rtg_vlookup,4,FALSE)</f>
        <v>9.1148815165876691</v>
      </c>
      <c r="W806" s="25"/>
      <c r="X806" s="2"/>
      <c r="Y806" s="2">
        <f>Table2[[#This Row],[Away EV]]-Table2[[#This Row],[Home EV]]</f>
        <v>1.0573684339595673</v>
      </c>
      <c r="Z806" s="33"/>
      <c r="AA806" s="34"/>
      <c r="AB806" s="5" t="b">
        <f>IF(VLOOKUP(Table2[[#This Row],[Home/Neutral]],division_lookup,9,FALSE)=VLOOKUP(Table2[[#This Row],[Visitor/Neutral]],division_lookup,9,FALSE),TRUE,FALSE)</f>
        <v>0</v>
      </c>
      <c r="AC806" s="19" t="str">
        <f>VLOOKUP(Table2[[#This Row],[Home/Neutral]],division_lookup,9,FALSE)</f>
        <v>P</v>
      </c>
      <c r="AD806" s="19"/>
      <c r="AE806" s="19" t="str">
        <f>IF(Table2[[#This Row],[Total EV ®]]&lt;Table2[[#This Row],[Total (V)]],"UNDER","OVER")</f>
        <v>OVER</v>
      </c>
      <c r="AF806" s="30">
        <f>Table2[[#This Row],[(A) Spread]]-Table2[[#This Row],[Spread (V)]]</f>
        <v>0</v>
      </c>
      <c r="AG806" s="19"/>
      <c r="AH806" s="2">
        <f>Table2[[#This Row],[EV]]-Table2[[#This Row],[Spread (V)]]</f>
        <v>1.0573684339595673</v>
      </c>
      <c r="AI806" s="22">
        <f>Table2[[#This Row],[(A)]]-Table2[[#This Row],[Spread]]</f>
        <v>9.1148815165876691</v>
      </c>
      <c r="AJ806" s="1">
        <f>Table2[[#This Row],[(A) Err]]^2</f>
        <v>83.081065061431531</v>
      </c>
      <c r="AK806" s="6">
        <f>Table2[[#This Row],[EV]]-Table2[[#This Row],[Spread]]</f>
        <v>1.0573684339595673</v>
      </c>
      <c r="AL806" s="1">
        <f>Table2[[#This Row],[EV Err]]^2</f>
        <v>1.1180280051341078</v>
      </c>
    </row>
    <row r="807" spans="1:38" x14ac:dyDescent="0.25">
      <c r="A807" t="s">
        <v>149</v>
      </c>
      <c r="B807" t="s">
        <v>29</v>
      </c>
      <c r="C807" t="s">
        <v>11</v>
      </c>
      <c r="K807" s="25">
        <f>(Table2[[#This Row],[Home Pace]]/100)*(VLOOKUP(Table2[[#This Row],[Home/Neutral]],home_lookup,8,FALSE)+VLOOKUP(Table2[[#This Row],[Home/Neutral]],OFR_lookup,2,FALSE)+VLOOKUP(Table2[[#This Row],[Visitor/Neutral]],def_diff_lookup,6,FALSE))</f>
        <v>101.64468926898523</v>
      </c>
      <c r="L807" s="25"/>
      <c r="M807" s="25">
        <f>(Table2[[#This Row],[Away Pace]]/100)*(VLOOKUP(Table2[[#This Row],[Visitor/Neutral]],OFR_lookup,2,FALSE)+VLOOKUP(Table2[[#This Row],[Home/Neutral]],def_diff_lookup,6,FALSE))</f>
        <v>107.82621466666667</v>
      </c>
      <c r="N807" s="25"/>
      <c r="O807" s="25"/>
      <c r="P807">
        <f>VLOOKUP(Table2[[#This Row],[Home/Neutral]],pace_lookup,7,FALSE)</f>
        <v>93.8</v>
      </c>
      <c r="Q807" s="5">
        <f>VLOOKUP(Table2[[#This Row],[Visitor/Neutral]],pace_lookup,7,FALSE)</f>
        <v>99.7</v>
      </c>
      <c r="R807" s="9"/>
      <c r="V807" s="2">
        <f>-home-VLOOKUP(Table2[[#This Row],[Home/Neutral]],rtg_vlookup,4,FALSE)+VLOOKUP(Table2[[#This Row],[Visitor/Neutral]],rtg_vlookup,4,FALSE)</f>
        <v>5.8848815165876696</v>
      </c>
      <c r="W807" s="25"/>
      <c r="X807" s="2"/>
      <c r="Y807" s="2">
        <f>Table2[[#This Row],[Away EV]]-Table2[[#This Row],[Home EV]]</f>
        <v>6.1815253976814404</v>
      </c>
      <c r="Z807" s="33"/>
      <c r="AA807" s="34"/>
      <c r="AB807" s="5" t="b">
        <f>IF(VLOOKUP(Table2[[#This Row],[Home/Neutral]],division_lookup,9,FALSE)=VLOOKUP(Table2[[#This Row],[Visitor/Neutral]],division_lookup,9,FALSE),TRUE,FALSE)</f>
        <v>0</v>
      </c>
      <c r="AC807" s="19" t="str">
        <f>VLOOKUP(Table2[[#This Row],[Home/Neutral]],division_lookup,9,FALSE)</f>
        <v>P</v>
      </c>
      <c r="AD807" s="19"/>
      <c r="AE807" s="19" t="str">
        <f>IF(Table2[[#This Row],[Total EV ®]]&lt;Table2[[#This Row],[Total (V)]],"UNDER","OVER")</f>
        <v>OVER</v>
      </c>
      <c r="AF807" s="30">
        <f>Table2[[#This Row],[(A) Spread]]-Table2[[#This Row],[Spread (V)]]</f>
        <v>0</v>
      </c>
      <c r="AG807" s="19"/>
      <c r="AH807" s="2">
        <f>Table2[[#This Row],[EV]]-Table2[[#This Row],[Spread (V)]]</f>
        <v>6.1815253976814404</v>
      </c>
      <c r="AI807" s="22">
        <f>Table2[[#This Row],[(A)]]-Table2[[#This Row],[Spread]]</f>
        <v>5.8848815165876696</v>
      </c>
      <c r="AJ807" s="1">
        <f>Table2[[#This Row],[(A) Err]]^2</f>
        <v>34.63183046427519</v>
      </c>
      <c r="AK807" s="6">
        <f>Table2[[#This Row],[EV]]-Table2[[#This Row],[Spread]]</f>
        <v>6.1815253976814404</v>
      </c>
      <c r="AL807" s="1">
        <f>Table2[[#This Row],[EV Err]]^2</f>
        <v>38.211256242180689</v>
      </c>
    </row>
    <row r="808" spans="1:38" x14ac:dyDescent="0.25">
      <c r="A808" t="s">
        <v>149</v>
      </c>
      <c r="B808" t="s">
        <v>28</v>
      </c>
      <c r="C808" t="s">
        <v>33</v>
      </c>
      <c r="K808" s="25">
        <f>(Table2[[#This Row],[Home Pace]]/100)*(VLOOKUP(Table2[[#This Row],[Home/Neutral]],home_lookup,8,FALSE)+VLOOKUP(Table2[[#This Row],[Home/Neutral]],OFR_lookup,2,FALSE)+VLOOKUP(Table2[[#This Row],[Visitor/Neutral]],def_diff_lookup,6,FALSE))</f>
        <v>110.71328553204273</v>
      </c>
      <c r="L808" s="25"/>
      <c r="M808" s="25">
        <f>(Table2[[#This Row],[Away Pace]]/100)*(VLOOKUP(Table2[[#This Row],[Visitor/Neutral]],OFR_lookup,2,FALSE)+VLOOKUP(Table2[[#This Row],[Home/Neutral]],def_diff_lookup,6,FALSE))</f>
        <v>104.61311466666668</v>
      </c>
      <c r="N808" s="25"/>
      <c r="O808" s="25"/>
      <c r="P808">
        <f>VLOOKUP(Table2[[#This Row],[Home/Neutral]],pace_lookup,7,FALSE)</f>
        <v>96.3</v>
      </c>
      <c r="Q808" s="5">
        <f>VLOOKUP(Table2[[#This Row],[Visitor/Neutral]],pace_lookup,7,FALSE)</f>
        <v>98.2</v>
      </c>
      <c r="R808" s="9"/>
      <c r="V808" s="2">
        <f>-home-VLOOKUP(Table2[[#This Row],[Home/Neutral]],rtg_vlookup,4,FALSE)+VLOOKUP(Table2[[#This Row],[Visitor/Neutral]],rtg_vlookup,4,FALSE)</f>
        <v>-6.0551184834123308</v>
      </c>
      <c r="W808" s="25"/>
      <c r="X808" s="2"/>
      <c r="Y808" s="2">
        <f>Table2[[#This Row],[Away EV]]-Table2[[#This Row],[Home EV]]</f>
        <v>-6.1001708653760573</v>
      </c>
      <c r="Z808" s="33"/>
      <c r="AA808" s="34"/>
      <c r="AB808" s="5" t="b">
        <f>IF(VLOOKUP(Table2[[#This Row],[Home/Neutral]],division_lookup,9,FALSE)=VLOOKUP(Table2[[#This Row],[Visitor/Neutral]],division_lookup,9,FALSE),TRUE,FALSE)</f>
        <v>0</v>
      </c>
      <c r="AC808" s="19" t="str">
        <f>VLOOKUP(Table2[[#This Row],[Home/Neutral]],division_lookup,9,FALSE)</f>
        <v>SE</v>
      </c>
      <c r="AD808" s="19"/>
      <c r="AE808" s="19" t="str">
        <f>IF(Table2[[#This Row],[Total EV ®]]&lt;Table2[[#This Row],[Total (V)]],"UNDER","OVER")</f>
        <v>OVER</v>
      </c>
      <c r="AF808" s="30">
        <f>Table2[[#This Row],[(A) Spread]]-Table2[[#This Row],[Spread (V)]]</f>
        <v>0</v>
      </c>
      <c r="AG808" s="19"/>
      <c r="AH808" s="2">
        <f>Table2[[#This Row],[EV]]-Table2[[#This Row],[Spread (V)]]</f>
        <v>-6.1001708653760573</v>
      </c>
      <c r="AI808" s="22">
        <f>Table2[[#This Row],[(A)]]-Table2[[#This Row],[Spread]]</f>
        <v>-6.0551184834123308</v>
      </c>
      <c r="AJ808" s="1">
        <f>Table2[[#This Row],[(A) Err]]^2</f>
        <v>36.664459848161648</v>
      </c>
      <c r="AK808" s="6">
        <f>Table2[[#This Row],[EV]]-Table2[[#This Row],[Spread]]</f>
        <v>-6.1001708653760573</v>
      </c>
      <c r="AL808" s="1">
        <f>Table2[[#This Row],[EV Err]]^2</f>
        <v>37.212084586782879</v>
      </c>
    </row>
    <row r="809" spans="1:38" x14ac:dyDescent="0.25">
      <c r="A809" t="s">
        <v>150</v>
      </c>
      <c r="B809" t="s">
        <v>16</v>
      </c>
      <c r="C809" t="s">
        <v>4</v>
      </c>
      <c r="K809" s="25">
        <f>(Table2[[#This Row],[Home Pace]]/100)*(VLOOKUP(Table2[[#This Row],[Home/Neutral]],home_lookup,8,FALSE)+VLOOKUP(Table2[[#This Row],[Home/Neutral]],OFR_lookup,2,FALSE)+VLOOKUP(Table2[[#This Row],[Visitor/Neutral]],def_diff_lookup,6,FALSE))</f>
        <v>97.776356011159507</v>
      </c>
      <c r="L809" s="25"/>
      <c r="M809" s="25">
        <f>(Table2[[#This Row],[Away Pace]]/100)*(VLOOKUP(Table2[[#This Row],[Visitor/Neutral]],OFR_lookup,2,FALSE)+VLOOKUP(Table2[[#This Row],[Home/Neutral]],def_diff_lookup,6,FALSE))</f>
        <v>109.24558400000001</v>
      </c>
      <c r="N809" s="25"/>
      <c r="O809" s="25"/>
      <c r="P809">
        <f>VLOOKUP(Table2[[#This Row],[Home/Neutral]],pace_lookup,7,FALSE)</f>
        <v>97.5</v>
      </c>
      <c r="Q809" s="5">
        <f>VLOOKUP(Table2[[#This Row],[Visitor/Neutral]],pace_lookup,7,FALSE)</f>
        <v>96.6</v>
      </c>
      <c r="R809" s="9"/>
      <c r="V809" s="2">
        <f>-home-VLOOKUP(Table2[[#This Row],[Home/Neutral]],rtg_vlookup,4,FALSE)+VLOOKUP(Table2[[#This Row],[Visitor/Neutral]],rtg_vlookup,4,FALSE)</f>
        <v>9.2948815165876688</v>
      </c>
      <c r="W809" s="25"/>
      <c r="X809" s="2"/>
      <c r="Y809" s="2">
        <f>Table2[[#This Row],[Away EV]]-Table2[[#This Row],[Home EV]]</f>
        <v>11.469227988840501</v>
      </c>
      <c r="Z809" s="33"/>
      <c r="AA809" s="34"/>
      <c r="AB809" s="5" t="b">
        <f>IF(VLOOKUP(Table2[[#This Row],[Home/Neutral]],division_lookup,9,FALSE)=VLOOKUP(Table2[[#This Row],[Visitor/Neutral]],division_lookup,9,FALSE),TRUE,FALSE)</f>
        <v>0</v>
      </c>
      <c r="AC809" s="19" t="str">
        <f>VLOOKUP(Table2[[#This Row],[Home/Neutral]],division_lookup,9,FALSE)</f>
        <v>SE</v>
      </c>
      <c r="AD809" s="19"/>
      <c r="AE809" s="19" t="str">
        <f>IF(Table2[[#This Row],[Total EV ®]]&lt;Table2[[#This Row],[Total (V)]],"UNDER","OVER")</f>
        <v>OVER</v>
      </c>
      <c r="AF809" s="30">
        <f>Table2[[#This Row],[(A) Spread]]-Table2[[#This Row],[Spread (V)]]</f>
        <v>0</v>
      </c>
      <c r="AG809" s="19"/>
      <c r="AH809" s="2">
        <f>Table2[[#This Row],[EV]]-Table2[[#This Row],[Spread (V)]]</f>
        <v>11.469227988840501</v>
      </c>
      <c r="AI809" s="22">
        <f>Table2[[#This Row],[(A)]]-Table2[[#This Row],[Spread]]</f>
        <v>9.2948815165876688</v>
      </c>
      <c r="AJ809" s="1">
        <f>Table2[[#This Row],[(A) Err]]^2</f>
        <v>86.394822407403083</v>
      </c>
      <c r="AK809" s="6">
        <f>Table2[[#This Row],[EV]]-Table2[[#This Row],[Spread]]</f>
        <v>11.469227988840501</v>
      </c>
      <c r="AL809" s="1">
        <f>Table2[[#This Row],[EV Err]]^2</f>
        <v>131.54319066000232</v>
      </c>
    </row>
    <row r="810" spans="1:38" x14ac:dyDescent="0.25">
      <c r="A810" t="s">
        <v>150</v>
      </c>
      <c r="B810" t="s">
        <v>8</v>
      </c>
      <c r="C810" t="s">
        <v>27</v>
      </c>
      <c r="K810" s="25">
        <f>(Table2[[#This Row],[Home Pace]]/100)*(VLOOKUP(Table2[[#This Row],[Home/Neutral]],home_lookup,8,FALSE)+VLOOKUP(Table2[[#This Row],[Home/Neutral]],OFR_lookup,2,FALSE)+VLOOKUP(Table2[[#This Row],[Visitor/Neutral]],def_diff_lookup,6,FALSE))</f>
        <v>104.37846036898181</v>
      </c>
      <c r="L810" s="25"/>
      <c r="M810" s="25">
        <f>(Table2[[#This Row],[Away Pace]]/100)*(VLOOKUP(Table2[[#This Row],[Visitor/Neutral]],OFR_lookup,2,FALSE)+VLOOKUP(Table2[[#This Row],[Home/Neutral]],def_diff_lookup,6,FALSE))</f>
        <v>102.29736000000001</v>
      </c>
      <c r="N810" s="25"/>
      <c r="O810" s="25"/>
      <c r="P810">
        <f>VLOOKUP(Table2[[#This Row],[Home/Neutral]],pace_lookup,7,FALSE)</f>
        <v>97.2</v>
      </c>
      <c r="Q810" s="5">
        <f>VLOOKUP(Table2[[#This Row],[Visitor/Neutral]],pace_lookup,7,FALSE)</f>
        <v>99</v>
      </c>
      <c r="R810" s="9"/>
      <c r="V810" s="2">
        <f>-home-VLOOKUP(Table2[[#This Row],[Home/Neutral]],rtg_vlookup,4,FALSE)+VLOOKUP(Table2[[#This Row],[Visitor/Neutral]],rtg_vlookup,4,FALSE)</f>
        <v>-10.17511848341233</v>
      </c>
      <c r="W810" s="25"/>
      <c r="X810" s="2"/>
      <c r="Y810" s="2">
        <f>Table2[[#This Row],[Away EV]]-Table2[[#This Row],[Home EV]]</f>
        <v>-2.0811003689817937</v>
      </c>
      <c r="Z810" s="33"/>
      <c r="AA810" s="34"/>
      <c r="AB810" s="5" t="b">
        <f>IF(VLOOKUP(Table2[[#This Row],[Home/Neutral]],division_lookup,9,FALSE)=VLOOKUP(Table2[[#This Row],[Visitor/Neutral]],division_lookup,9,FALSE),TRUE,FALSE)</f>
        <v>0</v>
      </c>
      <c r="AC810" s="19" t="str">
        <f>VLOOKUP(Table2[[#This Row],[Home/Neutral]],division_lookup,9,FALSE)</f>
        <v>C</v>
      </c>
      <c r="AD810" s="19"/>
      <c r="AE810" s="19" t="str">
        <f>IF(Table2[[#This Row],[Total EV ®]]&lt;Table2[[#This Row],[Total (V)]],"UNDER","OVER")</f>
        <v>OVER</v>
      </c>
      <c r="AF810" s="30">
        <f>Table2[[#This Row],[(A) Spread]]-Table2[[#This Row],[Spread (V)]]</f>
        <v>0</v>
      </c>
      <c r="AG810" s="19"/>
      <c r="AH810" s="2">
        <f>Table2[[#This Row],[EV]]-Table2[[#This Row],[Spread (V)]]</f>
        <v>-2.0811003689817937</v>
      </c>
      <c r="AI810" s="22">
        <f>Table2[[#This Row],[(A)]]-Table2[[#This Row],[Spread]]</f>
        <v>-10.17511848341233</v>
      </c>
      <c r="AJ810" s="1">
        <f>Table2[[#This Row],[(A) Err]]^2</f>
        <v>103.53303615147924</v>
      </c>
      <c r="AK810" s="6">
        <f>Table2[[#This Row],[EV]]-Table2[[#This Row],[Spread]]</f>
        <v>-2.0811003689817937</v>
      </c>
      <c r="AL810" s="1">
        <f>Table2[[#This Row],[EV Err]]^2</f>
        <v>4.3309787457761582</v>
      </c>
    </row>
    <row r="811" spans="1:38" x14ac:dyDescent="0.25">
      <c r="A811" t="s">
        <v>150</v>
      </c>
      <c r="B811" t="s">
        <v>37</v>
      </c>
      <c r="C811" t="s">
        <v>38</v>
      </c>
      <c r="K811" s="25">
        <f>(Table2[[#This Row],[Home Pace]]/100)*(VLOOKUP(Table2[[#This Row],[Home/Neutral]],home_lookup,8,FALSE)+VLOOKUP(Table2[[#This Row],[Home/Neutral]],OFR_lookup,2,FALSE)+VLOOKUP(Table2[[#This Row],[Visitor/Neutral]],def_diff_lookup,6,FALSE))</f>
        <v>103.39892809362122</v>
      </c>
      <c r="L811" s="25"/>
      <c r="M811" s="25">
        <f>(Table2[[#This Row],[Away Pace]]/100)*(VLOOKUP(Table2[[#This Row],[Visitor/Neutral]],OFR_lookup,2,FALSE)+VLOOKUP(Table2[[#This Row],[Home/Neutral]],def_diff_lookup,6,FALSE))</f>
        <v>90.131188000000023</v>
      </c>
      <c r="N811" s="25"/>
      <c r="O811" s="25"/>
      <c r="P811">
        <f>VLOOKUP(Table2[[#This Row],[Home/Neutral]],pace_lookup,7,FALSE)</f>
        <v>92.1</v>
      </c>
      <c r="Q811" s="5">
        <f>VLOOKUP(Table2[[#This Row],[Visitor/Neutral]],pace_lookup,7,FALSE)</f>
        <v>94.2</v>
      </c>
      <c r="R811" s="9"/>
      <c r="V811" s="2">
        <f>-home-VLOOKUP(Table2[[#This Row],[Home/Neutral]],rtg_vlookup,4,FALSE)+VLOOKUP(Table2[[#This Row],[Visitor/Neutral]],rtg_vlookup,4,FALSE)</f>
        <v>-3.9351184834123298</v>
      </c>
      <c r="W811" s="25"/>
      <c r="X811" s="2"/>
      <c r="Y811" s="2">
        <f>Table2[[#This Row],[Away EV]]-Table2[[#This Row],[Home EV]]</f>
        <v>-13.2677400936212</v>
      </c>
      <c r="Z811" s="33"/>
      <c r="AA811" s="34"/>
      <c r="AB811" s="5" t="b">
        <f>IF(VLOOKUP(Table2[[#This Row],[Home/Neutral]],division_lookup,9,FALSE)=VLOOKUP(Table2[[#This Row],[Visitor/Neutral]],division_lookup,9,FALSE),TRUE,FALSE)</f>
        <v>0</v>
      </c>
      <c r="AC811" s="19" t="str">
        <f>VLOOKUP(Table2[[#This Row],[Home/Neutral]],division_lookup,9,FALSE)</f>
        <v>SW</v>
      </c>
      <c r="AD811" s="19"/>
      <c r="AE811" s="19" t="str">
        <f>IF(Table2[[#This Row],[Total EV ®]]&lt;Table2[[#This Row],[Total (V)]],"UNDER","OVER")</f>
        <v>OVER</v>
      </c>
      <c r="AF811" s="30">
        <f>Table2[[#This Row],[(A) Spread]]-Table2[[#This Row],[Spread (V)]]</f>
        <v>0</v>
      </c>
      <c r="AG811" s="19"/>
      <c r="AH811" s="2">
        <f>Table2[[#This Row],[EV]]-Table2[[#This Row],[Spread (V)]]</f>
        <v>-13.2677400936212</v>
      </c>
      <c r="AI811" s="22">
        <f>Table2[[#This Row],[(A)]]-Table2[[#This Row],[Spread]]</f>
        <v>-3.9351184834123298</v>
      </c>
      <c r="AJ811" s="1">
        <f>Table2[[#This Row],[(A) Err]]^2</f>
        <v>15.485157478493354</v>
      </c>
      <c r="AK811" s="6">
        <f>Table2[[#This Row],[EV]]-Table2[[#This Row],[Spread]]</f>
        <v>-13.2677400936212</v>
      </c>
      <c r="AL811" s="1">
        <f>Table2[[#This Row],[EV Err]]^2</f>
        <v>176.03292719188349</v>
      </c>
    </row>
    <row r="812" spans="1:38" x14ac:dyDescent="0.25">
      <c r="A812" t="s">
        <v>150</v>
      </c>
      <c r="B812" t="s">
        <v>17</v>
      </c>
      <c r="C812" t="s">
        <v>36</v>
      </c>
      <c r="K812" s="25">
        <f>(Table2[[#This Row],[Home Pace]]/100)*(VLOOKUP(Table2[[#This Row],[Home/Neutral]],home_lookup,8,FALSE)+VLOOKUP(Table2[[#This Row],[Home/Neutral]],OFR_lookup,2,FALSE)+VLOOKUP(Table2[[#This Row],[Visitor/Neutral]],def_diff_lookup,6,FALSE))</f>
        <v>112.05347692873545</v>
      </c>
      <c r="L812" s="25"/>
      <c r="M812" s="25">
        <f>(Table2[[#This Row],[Away Pace]]/100)*(VLOOKUP(Table2[[#This Row],[Visitor/Neutral]],OFR_lookup,2,FALSE)+VLOOKUP(Table2[[#This Row],[Home/Neutral]],def_diff_lookup,6,FALSE))</f>
        <v>108.57796133333335</v>
      </c>
      <c r="N812" s="25"/>
      <c r="O812" s="25"/>
      <c r="P812">
        <f>VLOOKUP(Table2[[#This Row],[Home/Neutral]],pace_lookup,7,FALSE)</f>
        <v>96.7</v>
      </c>
      <c r="Q812" s="5">
        <f>VLOOKUP(Table2[[#This Row],[Visitor/Neutral]],pace_lookup,7,FALSE)</f>
        <v>102.2</v>
      </c>
      <c r="R812" s="9"/>
      <c r="V812" s="2">
        <f>-home-VLOOKUP(Table2[[#This Row],[Home/Neutral]],rtg_vlookup,4,FALSE)+VLOOKUP(Table2[[#This Row],[Visitor/Neutral]],rtg_vlookup,4,FALSE)</f>
        <v>-13.165118483412332</v>
      </c>
      <c r="W812" s="25"/>
      <c r="X812" s="2"/>
      <c r="Y812" s="2">
        <f>Table2[[#This Row],[Away EV]]-Table2[[#This Row],[Home EV]]</f>
        <v>-3.4755155954021006</v>
      </c>
      <c r="Z812" s="33"/>
      <c r="AA812" s="34"/>
      <c r="AB812" s="5" t="b">
        <f>IF(VLOOKUP(Table2[[#This Row],[Home/Neutral]],division_lookup,9,FALSE)=VLOOKUP(Table2[[#This Row],[Visitor/Neutral]],division_lookup,9,FALSE),TRUE,FALSE)</f>
        <v>0</v>
      </c>
      <c r="AC812" s="19" t="str">
        <f>VLOOKUP(Table2[[#This Row],[Home/Neutral]],division_lookup,9,FALSE)</f>
        <v>SW</v>
      </c>
      <c r="AD812" s="19"/>
      <c r="AE812" s="19" t="str">
        <f>IF(Table2[[#This Row],[Total EV ®]]&lt;Table2[[#This Row],[Total (V)]],"UNDER","OVER")</f>
        <v>OVER</v>
      </c>
      <c r="AF812" s="30">
        <f>Table2[[#This Row],[(A) Spread]]-Table2[[#This Row],[Spread (V)]]</f>
        <v>0</v>
      </c>
      <c r="AG812" s="19"/>
      <c r="AH812" s="2">
        <f>Table2[[#This Row],[EV]]-Table2[[#This Row],[Spread (V)]]</f>
        <v>-3.4755155954021006</v>
      </c>
      <c r="AI812" s="22">
        <f>Table2[[#This Row],[(A)]]-Table2[[#This Row],[Spread]]</f>
        <v>-13.165118483412332</v>
      </c>
      <c r="AJ812" s="1">
        <f>Table2[[#This Row],[(A) Err]]^2</f>
        <v>173.32034468228503</v>
      </c>
      <c r="AK812" s="6">
        <f>Table2[[#This Row],[EV]]-Table2[[#This Row],[Spread]]</f>
        <v>-3.4755155954021006</v>
      </c>
      <c r="AL812" s="1">
        <f>Table2[[#This Row],[EV Err]]^2</f>
        <v>12.079208653883217</v>
      </c>
    </row>
    <row r="813" spans="1:38" x14ac:dyDescent="0.25">
      <c r="A813" t="s">
        <v>150</v>
      </c>
      <c r="B813" t="s">
        <v>33</v>
      </c>
      <c r="C813" t="s">
        <v>30</v>
      </c>
      <c r="K813" s="25">
        <f>(Table2[[#This Row],[Home Pace]]/100)*(VLOOKUP(Table2[[#This Row],[Home/Neutral]],home_lookup,8,FALSE)+VLOOKUP(Table2[[#This Row],[Home/Neutral]],OFR_lookup,2,FALSE)+VLOOKUP(Table2[[#This Row],[Visitor/Neutral]],def_diff_lookup,6,FALSE))</f>
        <v>109.41425852057507</v>
      </c>
      <c r="L813" s="25"/>
      <c r="M813" s="25">
        <f>(Table2[[#This Row],[Away Pace]]/100)*(VLOOKUP(Table2[[#This Row],[Visitor/Neutral]],OFR_lookup,2,FALSE)+VLOOKUP(Table2[[#This Row],[Home/Neutral]],def_diff_lookup,6,FALSE))</f>
        <v>104.74792533333334</v>
      </c>
      <c r="N813" s="25"/>
      <c r="O813" s="25"/>
      <c r="P813">
        <f>VLOOKUP(Table2[[#This Row],[Home/Neutral]],pace_lookup,7,FALSE)</f>
        <v>98.2</v>
      </c>
      <c r="Q813" s="5">
        <f>VLOOKUP(Table2[[#This Row],[Visitor/Neutral]],pace_lookup,7,FALSE)</f>
        <v>96.8</v>
      </c>
      <c r="R813" s="9"/>
      <c r="V813" s="2">
        <f>-home-VLOOKUP(Table2[[#This Row],[Home/Neutral]],rtg_vlookup,4,FALSE)+VLOOKUP(Table2[[#This Row],[Visitor/Neutral]],rtg_vlookup,4,FALSE)</f>
        <v>4.8815165876696653E-3</v>
      </c>
      <c r="W813" s="25"/>
      <c r="X813" s="2"/>
      <c r="Y813" s="2">
        <f>Table2[[#This Row],[Away EV]]-Table2[[#This Row],[Home EV]]</f>
        <v>-4.6663331872417331</v>
      </c>
      <c r="Z813" s="33"/>
      <c r="AA813" s="34"/>
      <c r="AB813" s="5" t="b">
        <f>IF(VLOOKUP(Table2[[#This Row],[Home/Neutral]],division_lookup,9,FALSE)=VLOOKUP(Table2[[#This Row],[Visitor/Neutral]],division_lookup,9,FALSE),TRUE,FALSE)</f>
        <v>1</v>
      </c>
      <c r="AC813" s="19" t="str">
        <f>VLOOKUP(Table2[[#This Row],[Home/Neutral]],division_lookup,9,FALSE)</f>
        <v>C</v>
      </c>
      <c r="AD813" s="19"/>
      <c r="AE813" s="19" t="str">
        <f>IF(Table2[[#This Row],[Total EV ®]]&lt;Table2[[#This Row],[Total (V)]],"UNDER","OVER")</f>
        <v>OVER</v>
      </c>
      <c r="AF813" s="30">
        <f>Table2[[#This Row],[(A) Spread]]-Table2[[#This Row],[Spread (V)]]</f>
        <v>0</v>
      </c>
      <c r="AG813" s="19"/>
      <c r="AH813" s="2">
        <f>Table2[[#This Row],[EV]]-Table2[[#This Row],[Spread (V)]]</f>
        <v>-4.6663331872417331</v>
      </c>
      <c r="AI813" s="22">
        <f>Table2[[#This Row],[(A)]]-Table2[[#This Row],[Spread]]</f>
        <v>4.8815165876696653E-3</v>
      </c>
      <c r="AJ813" s="1">
        <f>Table2[[#This Row],[(A) Err]]^2</f>
        <v>2.3829204195694094E-5</v>
      </c>
      <c r="AK813" s="6">
        <f>Table2[[#This Row],[EV]]-Table2[[#This Row],[Spread]]</f>
        <v>-4.6663331872417331</v>
      </c>
      <c r="AL813" s="1">
        <f>Table2[[#This Row],[EV Err]]^2</f>
        <v>21.774665414353592</v>
      </c>
    </row>
    <row r="814" spans="1:38" x14ac:dyDescent="0.25">
      <c r="A814" t="s">
        <v>150</v>
      </c>
      <c r="B814" t="s">
        <v>18</v>
      </c>
      <c r="C814" t="s">
        <v>10</v>
      </c>
      <c r="K814" s="25">
        <f>(Table2[[#This Row],[Home Pace]]/100)*(VLOOKUP(Table2[[#This Row],[Home/Neutral]],home_lookup,8,FALSE)+VLOOKUP(Table2[[#This Row],[Home/Neutral]],OFR_lookup,2,FALSE)+VLOOKUP(Table2[[#This Row],[Visitor/Neutral]],def_diff_lookup,6,FALSE))</f>
        <v>104.43740616021131</v>
      </c>
      <c r="L814" s="25"/>
      <c r="M814" s="25">
        <f>(Table2[[#This Row],[Away Pace]]/100)*(VLOOKUP(Table2[[#This Row],[Visitor/Neutral]],OFR_lookup,2,FALSE)+VLOOKUP(Table2[[#This Row],[Home/Neutral]],def_diff_lookup,6,FALSE))</f>
        <v>112.51720866666666</v>
      </c>
      <c r="N814" s="25"/>
      <c r="O814" s="25"/>
      <c r="P814">
        <f>VLOOKUP(Table2[[#This Row],[Home/Neutral]],pace_lookup,7,FALSE)</f>
        <v>99.5</v>
      </c>
      <c r="Q814" s="5">
        <f>VLOOKUP(Table2[[#This Row],[Visitor/Neutral]],pace_lookup,7,FALSE)</f>
        <v>100.3</v>
      </c>
      <c r="R814" s="9"/>
      <c r="V814" s="2">
        <f>-home-VLOOKUP(Table2[[#This Row],[Home/Neutral]],rtg_vlookup,4,FALSE)+VLOOKUP(Table2[[#This Row],[Visitor/Neutral]],rtg_vlookup,4,FALSE)</f>
        <v>3.4248815165876696</v>
      </c>
      <c r="W814" s="25"/>
      <c r="X814" s="2"/>
      <c r="Y814" s="2">
        <f>Table2[[#This Row],[Away EV]]-Table2[[#This Row],[Home EV]]</f>
        <v>8.0798025064553514</v>
      </c>
      <c r="Z814" s="33"/>
      <c r="AA814" s="34"/>
      <c r="AB814" s="5" t="b">
        <f>IF(VLOOKUP(Table2[[#This Row],[Home/Neutral]],division_lookup,9,FALSE)=VLOOKUP(Table2[[#This Row],[Visitor/Neutral]],division_lookup,9,FALSE),TRUE,FALSE)</f>
        <v>0</v>
      </c>
      <c r="AC814" s="19" t="str">
        <f>VLOOKUP(Table2[[#This Row],[Home/Neutral]],division_lookup,9,FALSE)</f>
        <v>NW</v>
      </c>
      <c r="AD814" s="19"/>
      <c r="AE814" s="19" t="str">
        <f>IF(Table2[[#This Row],[Total EV ®]]&lt;Table2[[#This Row],[Total (V)]],"UNDER","OVER")</f>
        <v>OVER</v>
      </c>
      <c r="AF814" s="30">
        <f>Table2[[#This Row],[(A) Spread]]-Table2[[#This Row],[Spread (V)]]</f>
        <v>0</v>
      </c>
      <c r="AG814" s="19"/>
      <c r="AH814" s="2">
        <f>Table2[[#This Row],[EV]]-Table2[[#This Row],[Spread (V)]]</f>
        <v>8.0798025064553514</v>
      </c>
      <c r="AI814" s="22">
        <f>Table2[[#This Row],[(A)]]-Table2[[#This Row],[Spread]]</f>
        <v>3.4248815165876696</v>
      </c>
      <c r="AJ814" s="1">
        <f>Table2[[#This Row],[(A) Err]]^2</f>
        <v>11.729813402663856</v>
      </c>
      <c r="AK814" s="6">
        <f>Table2[[#This Row],[EV]]-Table2[[#This Row],[Spread]]</f>
        <v>8.0798025064553514</v>
      </c>
      <c r="AL814" s="1">
        <f>Table2[[#This Row],[EV Err]]^2</f>
        <v>65.283208543322175</v>
      </c>
    </row>
    <row r="815" spans="1:38" x14ac:dyDescent="0.25">
      <c r="A815" t="s">
        <v>150</v>
      </c>
      <c r="B815" t="s">
        <v>39</v>
      </c>
      <c r="C815" t="s">
        <v>21</v>
      </c>
      <c r="K815" s="25">
        <f>(Table2[[#This Row],[Home Pace]]/100)*(VLOOKUP(Table2[[#This Row],[Home/Neutral]],home_lookup,8,FALSE)+VLOOKUP(Table2[[#This Row],[Home/Neutral]],OFR_lookup,2,FALSE)+VLOOKUP(Table2[[#This Row],[Visitor/Neutral]],def_diff_lookup,6,FALSE))</f>
        <v>103.66202211468578</v>
      </c>
      <c r="L815" s="25"/>
      <c r="M815" s="25">
        <f>(Table2[[#This Row],[Away Pace]]/100)*(VLOOKUP(Table2[[#This Row],[Visitor/Neutral]],OFR_lookup,2,FALSE)+VLOOKUP(Table2[[#This Row],[Home/Neutral]],def_diff_lookup,6,FALSE))</f>
        <v>99.362788000000023</v>
      </c>
      <c r="N815" s="25"/>
      <c r="O815" s="25"/>
      <c r="P815">
        <f>VLOOKUP(Table2[[#This Row],[Home/Neutral]],pace_lookup,7,FALSE)</f>
        <v>97.5</v>
      </c>
      <c r="Q815" s="5">
        <f>VLOOKUP(Table2[[#This Row],[Visitor/Neutral]],pace_lookup,7,FALSE)</f>
        <v>94.2</v>
      </c>
      <c r="R815" s="9"/>
      <c r="V815" s="2">
        <f>-home-VLOOKUP(Table2[[#This Row],[Home/Neutral]],rtg_vlookup,4,FALSE)+VLOOKUP(Table2[[#This Row],[Visitor/Neutral]],rtg_vlookup,4,FALSE)</f>
        <v>6.454881516587669</v>
      </c>
      <c r="W815" s="25"/>
      <c r="X815" s="2"/>
      <c r="Y815" s="2">
        <f>Table2[[#This Row],[Away EV]]-Table2[[#This Row],[Home EV]]</f>
        <v>-4.2992341146857598</v>
      </c>
      <c r="Z815" s="33"/>
      <c r="AA815" s="34"/>
      <c r="AB815" s="5" t="b">
        <f>IF(VLOOKUP(Table2[[#This Row],[Home/Neutral]],division_lookup,9,FALSE)=VLOOKUP(Table2[[#This Row],[Visitor/Neutral]],division_lookup,9,FALSE),TRUE,FALSE)</f>
        <v>0</v>
      </c>
      <c r="AC815" s="19" t="str">
        <f>VLOOKUP(Table2[[#This Row],[Home/Neutral]],division_lookup,9,FALSE)</f>
        <v>A</v>
      </c>
      <c r="AD815" s="19"/>
      <c r="AE815" s="19" t="str">
        <f>IF(Table2[[#This Row],[Total EV ®]]&lt;Table2[[#This Row],[Total (V)]],"UNDER","OVER")</f>
        <v>OVER</v>
      </c>
      <c r="AF815" s="30">
        <f>Table2[[#This Row],[(A) Spread]]-Table2[[#This Row],[Spread (V)]]</f>
        <v>0</v>
      </c>
      <c r="AG815" s="19"/>
      <c r="AH815" s="2">
        <f>Table2[[#This Row],[EV]]-Table2[[#This Row],[Spread (V)]]</f>
        <v>-4.2992341146857598</v>
      </c>
      <c r="AI815" s="22">
        <f>Table2[[#This Row],[(A)]]-Table2[[#This Row],[Spread]]</f>
        <v>6.454881516587669</v>
      </c>
      <c r="AJ815" s="1">
        <f>Table2[[#This Row],[(A) Err]]^2</f>
        <v>41.665495393185125</v>
      </c>
      <c r="AK815" s="6">
        <f>Table2[[#This Row],[EV]]-Table2[[#This Row],[Spread]]</f>
        <v>-4.2992341146857598</v>
      </c>
      <c r="AL815" s="1">
        <f>Table2[[#This Row],[EV Err]]^2</f>
        <v>18.483413972877848</v>
      </c>
    </row>
    <row r="816" spans="1:38" x14ac:dyDescent="0.25">
      <c r="A816" t="s">
        <v>150</v>
      </c>
      <c r="B816" t="s">
        <v>20</v>
      </c>
      <c r="C816" t="s">
        <v>26</v>
      </c>
      <c r="K816" s="25">
        <f>(Table2[[#This Row],[Home Pace]]/100)*(VLOOKUP(Table2[[#This Row],[Home/Neutral]],home_lookup,8,FALSE)+VLOOKUP(Table2[[#This Row],[Home/Neutral]],OFR_lookup,2,FALSE)+VLOOKUP(Table2[[#This Row],[Visitor/Neutral]],def_diff_lookup,6,FALSE))</f>
        <v>105.50135528915177</v>
      </c>
      <c r="L816" s="25"/>
      <c r="M816" s="25">
        <f>(Table2[[#This Row],[Away Pace]]/100)*(VLOOKUP(Table2[[#This Row],[Visitor/Neutral]],OFR_lookup,2,FALSE)+VLOOKUP(Table2[[#This Row],[Home/Neutral]],def_diff_lookup,6,FALSE))</f>
        <v>102.12544000000001</v>
      </c>
      <c r="N816" s="25"/>
      <c r="O816" s="25"/>
      <c r="P816">
        <f>VLOOKUP(Table2[[#This Row],[Home/Neutral]],pace_lookup,7,FALSE)</f>
        <v>90.9</v>
      </c>
      <c r="Q816" s="5">
        <f>VLOOKUP(Table2[[#This Row],[Visitor/Neutral]],pace_lookup,7,FALSE)</f>
        <v>96</v>
      </c>
      <c r="R816" s="9"/>
      <c r="V816" s="2">
        <f>-home-VLOOKUP(Table2[[#This Row],[Home/Neutral]],rtg_vlookup,4,FALSE)+VLOOKUP(Table2[[#This Row],[Visitor/Neutral]],rtg_vlookup,4,FALSE)</f>
        <v>-4.6851184834123307</v>
      </c>
      <c r="W816" s="25"/>
      <c r="X816" s="2"/>
      <c r="Y816" s="2">
        <f>Table2[[#This Row],[Away EV]]-Table2[[#This Row],[Home EV]]</f>
        <v>-3.375915289151763</v>
      </c>
      <c r="Z816" s="33"/>
      <c r="AA816" s="34"/>
      <c r="AB816" s="5" t="b">
        <f>IF(VLOOKUP(Table2[[#This Row],[Home/Neutral]],division_lookup,9,FALSE)=VLOOKUP(Table2[[#This Row],[Visitor/Neutral]],division_lookup,9,FALSE),TRUE,FALSE)</f>
        <v>0</v>
      </c>
      <c r="AC816" s="19" t="str">
        <f>VLOOKUP(Table2[[#This Row],[Home/Neutral]],division_lookup,9,FALSE)</f>
        <v>NW</v>
      </c>
      <c r="AD816" s="19"/>
      <c r="AE816" s="19" t="str">
        <f>IF(Table2[[#This Row],[Total EV ®]]&lt;Table2[[#This Row],[Total (V)]],"UNDER","OVER")</f>
        <v>OVER</v>
      </c>
      <c r="AF816" s="30">
        <f>Table2[[#This Row],[(A) Spread]]-Table2[[#This Row],[Spread (V)]]</f>
        <v>0</v>
      </c>
      <c r="AG816" s="19"/>
      <c r="AH816" s="2">
        <f>Table2[[#This Row],[EV]]-Table2[[#This Row],[Spread (V)]]</f>
        <v>-3.375915289151763</v>
      </c>
      <c r="AI816" s="22">
        <f>Table2[[#This Row],[(A)]]-Table2[[#This Row],[Spread]]</f>
        <v>-4.6851184834123307</v>
      </c>
      <c r="AJ816" s="1">
        <f>Table2[[#This Row],[(A) Err]]^2</f>
        <v>21.950335203611857</v>
      </c>
      <c r="AK816" s="6">
        <f>Table2[[#This Row],[EV]]-Table2[[#This Row],[Spread]]</f>
        <v>-3.375915289151763</v>
      </c>
      <c r="AL816" s="1">
        <f>Table2[[#This Row],[EV Err]]^2</f>
        <v>11.396804039528632</v>
      </c>
    </row>
    <row r="817" spans="1:38" x14ac:dyDescent="0.25">
      <c r="A817" t="s">
        <v>151</v>
      </c>
      <c r="B817" t="s">
        <v>22</v>
      </c>
      <c r="C817" t="s">
        <v>13</v>
      </c>
      <c r="K817" s="25">
        <f>(Table2[[#This Row],[Home Pace]]/100)*(VLOOKUP(Table2[[#This Row],[Home/Neutral]],home_lookup,8,FALSE)+VLOOKUP(Table2[[#This Row],[Home/Neutral]],OFR_lookup,2,FALSE)+VLOOKUP(Table2[[#This Row],[Visitor/Neutral]],def_diff_lookup,6,FALSE))</f>
        <v>110.27197922968976</v>
      </c>
      <c r="L817" s="25"/>
      <c r="M817" s="25">
        <f>(Table2[[#This Row],[Away Pace]]/100)*(VLOOKUP(Table2[[#This Row],[Visitor/Neutral]],OFR_lookup,2,FALSE)+VLOOKUP(Table2[[#This Row],[Home/Neutral]],def_diff_lookup,6,FALSE))</f>
        <v>108.94968</v>
      </c>
      <c r="N817" s="25"/>
      <c r="O817" s="25"/>
      <c r="P817">
        <f>VLOOKUP(Table2[[#This Row],[Home/Neutral]],pace_lookup,7,FALSE)</f>
        <v>94.7</v>
      </c>
      <c r="Q817" s="5">
        <f>VLOOKUP(Table2[[#This Row],[Visitor/Neutral]],pace_lookup,7,FALSE)</f>
        <v>94.5</v>
      </c>
      <c r="R817" s="9"/>
      <c r="V817" s="2">
        <f>-home-VLOOKUP(Table2[[#This Row],[Home/Neutral]],rtg_vlookup,4,FALSE)+VLOOKUP(Table2[[#This Row],[Visitor/Neutral]],rtg_vlookup,4,FALSE)</f>
        <v>2.0048815165876688</v>
      </c>
      <c r="W817" s="25"/>
      <c r="X817" s="2"/>
      <c r="Y817" s="2">
        <f>Table2[[#This Row],[Away EV]]-Table2[[#This Row],[Home EV]]</f>
        <v>-1.3222992296897615</v>
      </c>
      <c r="Z817" s="33"/>
      <c r="AA817" s="34"/>
      <c r="AB817" s="5" t="b">
        <f>IF(VLOOKUP(Table2[[#This Row],[Home/Neutral]],division_lookup,9,FALSE)=VLOOKUP(Table2[[#This Row],[Visitor/Neutral]],division_lookup,9,FALSE),TRUE,FALSE)</f>
        <v>0</v>
      </c>
      <c r="AC817" s="19" t="str">
        <f>VLOOKUP(Table2[[#This Row],[Home/Neutral]],division_lookup,9,FALSE)</f>
        <v>NW</v>
      </c>
      <c r="AD817" s="19"/>
      <c r="AE817" s="19" t="str">
        <f>IF(Table2[[#This Row],[Total EV ®]]&lt;Table2[[#This Row],[Total (V)]],"UNDER","OVER")</f>
        <v>OVER</v>
      </c>
      <c r="AF817" s="30">
        <f>Table2[[#This Row],[(A) Spread]]-Table2[[#This Row],[Spread (V)]]</f>
        <v>0</v>
      </c>
      <c r="AG817" s="19"/>
      <c r="AH817" s="2">
        <f>Table2[[#This Row],[EV]]-Table2[[#This Row],[Spread (V)]]</f>
        <v>-1.3222992296897615</v>
      </c>
      <c r="AI817" s="22">
        <f>Table2[[#This Row],[(A)]]-Table2[[#This Row],[Spread]]</f>
        <v>2.0048815165876688</v>
      </c>
      <c r="AJ817" s="1">
        <f>Table2[[#This Row],[(A) Err]]^2</f>
        <v>4.0195498955548707</v>
      </c>
      <c r="AK817" s="6">
        <f>Table2[[#This Row],[EV]]-Table2[[#This Row],[Spread]]</f>
        <v>-1.3222992296897615</v>
      </c>
      <c r="AL817" s="1">
        <f>Table2[[#This Row],[EV Err]]^2</f>
        <v>1.7484752528381369</v>
      </c>
    </row>
    <row r="818" spans="1:38" x14ac:dyDescent="0.25">
      <c r="A818" t="s">
        <v>151</v>
      </c>
      <c r="B818" t="s">
        <v>31</v>
      </c>
      <c r="C818" t="s">
        <v>6</v>
      </c>
      <c r="K818" s="25">
        <f>(Table2[[#This Row],[Home Pace]]/100)*(VLOOKUP(Table2[[#This Row],[Home/Neutral]],home_lookup,8,FALSE)+VLOOKUP(Table2[[#This Row],[Home/Neutral]],OFR_lookup,2,FALSE)+VLOOKUP(Table2[[#This Row],[Visitor/Neutral]],def_diff_lookup,6,FALSE))</f>
        <v>108.1437743021789</v>
      </c>
      <c r="L818" s="25"/>
      <c r="M818" s="25">
        <f>(Table2[[#This Row],[Away Pace]]/100)*(VLOOKUP(Table2[[#This Row],[Visitor/Neutral]],OFR_lookup,2,FALSE)+VLOOKUP(Table2[[#This Row],[Home/Neutral]],def_diff_lookup,6,FALSE))</f>
        <v>107.74525066666666</v>
      </c>
      <c r="N818" s="25"/>
      <c r="O818" s="25"/>
      <c r="P818">
        <f>VLOOKUP(Table2[[#This Row],[Home/Neutral]],pace_lookup,7,FALSE)</f>
        <v>96</v>
      </c>
      <c r="Q818" s="5">
        <f>VLOOKUP(Table2[[#This Row],[Visitor/Neutral]],pace_lookup,7,FALSE)</f>
        <v>93.1</v>
      </c>
      <c r="R818" s="9"/>
      <c r="V818" s="2">
        <f>-home-VLOOKUP(Table2[[#This Row],[Home/Neutral]],rtg_vlookup,4,FALSE)+VLOOKUP(Table2[[#This Row],[Visitor/Neutral]],rtg_vlookup,4,FALSE)</f>
        <v>6.5148815165876695</v>
      </c>
      <c r="W818" s="25"/>
      <c r="X818" s="2"/>
      <c r="Y818" s="2">
        <f>Table2[[#This Row],[Away EV]]-Table2[[#This Row],[Home EV]]</f>
        <v>-0.39852363551223391</v>
      </c>
      <c r="Z818" s="33"/>
      <c r="AA818" s="34"/>
      <c r="AB818" s="5" t="b">
        <f>IF(VLOOKUP(Table2[[#This Row],[Home/Neutral]],division_lookup,9,FALSE)=VLOOKUP(Table2[[#This Row],[Visitor/Neutral]],division_lookup,9,FALSE),TRUE,FALSE)</f>
        <v>0</v>
      </c>
      <c r="AC818" s="19" t="str">
        <f>VLOOKUP(Table2[[#This Row],[Home/Neutral]],division_lookup,9,FALSE)</f>
        <v>A</v>
      </c>
      <c r="AD818" s="19"/>
      <c r="AE818" s="19" t="str">
        <f>IF(Table2[[#This Row],[Total EV ®]]&lt;Table2[[#This Row],[Total (V)]],"UNDER","OVER")</f>
        <v>OVER</v>
      </c>
      <c r="AF818" s="30">
        <f>Table2[[#This Row],[(A) Spread]]-Table2[[#This Row],[Spread (V)]]</f>
        <v>0</v>
      </c>
      <c r="AG818" s="19"/>
      <c r="AH818" s="2">
        <f>Table2[[#This Row],[EV]]-Table2[[#This Row],[Spread (V)]]</f>
        <v>-0.39852363551223391</v>
      </c>
      <c r="AI818" s="22">
        <f>Table2[[#This Row],[(A)]]-Table2[[#This Row],[Spread]]</f>
        <v>6.5148815165876695</v>
      </c>
      <c r="AJ818" s="1">
        <f>Table2[[#This Row],[(A) Err]]^2</f>
        <v>42.443681175175655</v>
      </c>
      <c r="AK818" s="6">
        <f>Table2[[#This Row],[EV]]-Table2[[#This Row],[Spread]]</f>
        <v>-0.39852363551223391</v>
      </c>
      <c r="AL818" s="1">
        <f>Table2[[#This Row],[EV Err]]^2</f>
        <v>0.15882108806188786</v>
      </c>
    </row>
    <row r="819" spans="1:38" x14ac:dyDescent="0.25">
      <c r="A819" t="s">
        <v>151</v>
      </c>
      <c r="B819" t="s">
        <v>29</v>
      </c>
      <c r="C819" t="s">
        <v>34</v>
      </c>
      <c r="K819" s="25">
        <f>(Table2[[#This Row],[Home Pace]]/100)*(VLOOKUP(Table2[[#This Row],[Home/Neutral]],home_lookup,8,FALSE)+VLOOKUP(Table2[[#This Row],[Home/Neutral]],OFR_lookup,2,FALSE)+VLOOKUP(Table2[[#This Row],[Visitor/Neutral]],def_diff_lookup,6,FALSE))</f>
        <v>108.71720926898523</v>
      </c>
      <c r="L819" s="25"/>
      <c r="M819" s="25">
        <f>(Table2[[#This Row],[Away Pace]]/100)*(VLOOKUP(Table2[[#This Row],[Visitor/Neutral]],OFR_lookup,2,FALSE)+VLOOKUP(Table2[[#This Row],[Home/Neutral]],def_diff_lookup,6,FALSE))</f>
        <v>103.08857866666666</v>
      </c>
      <c r="N819" s="25"/>
      <c r="O819" s="25"/>
      <c r="P819">
        <f>VLOOKUP(Table2[[#This Row],[Home/Neutral]],pace_lookup,7,FALSE)</f>
        <v>93.8</v>
      </c>
      <c r="Q819" s="5">
        <f>VLOOKUP(Table2[[#This Row],[Visitor/Neutral]],pace_lookup,7,FALSE)</f>
        <v>98.8</v>
      </c>
      <c r="R819" s="9"/>
      <c r="V819" s="2">
        <f>-home-VLOOKUP(Table2[[#This Row],[Home/Neutral]],rtg_vlookup,4,FALSE)+VLOOKUP(Table2[[#This Row],[Visitor/Neutral]],rtg_vlookup,4,FALSE)</f>
        <v>-5.465118483412331</v>
      </c>
      <c r="W819" s="25"/>
      <c r="X819" s="2"/>
      <c r="Y819" s="2">
        <f>Table2[[#This Row],[Away EV]]-Table2[[#This Row],[Home EV]]</f>
        <v>-5.6286306023185659</v>
      </c>
      <c r="Z819" s="33"/>
      <c r="AA819" s="34"/>
      <c r="AB819" s="5" t="b">
        <f>IF(VLOOKUP(Table2[[#This Row],[Home/Neutral]],division_lookup,9,FALSE)=VLOOKUP(Table2[[#This Row],[Visitor/Neutral]],division_lookup,9,FALSE),TRUE,FALSE)</f>
        <v>0</v>
      </c>
      <c r="AC819" s="19" t="str">
        <f>VLOOKUP(Table2[[#This Row],[Home/Neutral]],division_lookup,9,FALSE)</f>
        <v>P</v>
      </c>
      <c r="AD819" s="19"/>
      <c r="AE819" s="19" t="str">
        <f>IF(Table2[[#This Row],[Total EV ®]]&lt;Table2[[#This Row],[Total (V)]],"UNDER","OVER")</f>
        <v>OVER</v>
      </c>
      <c r="AF819" s="30">
        <f>Table2[[#This Row],[(A) Spread]]-Table2[[#This Row],[Spread (V)]]</f>
        <v>0</v>
      </c>
      <c r="AG819" s="19"/>
      <c r="AH819" s="2">
        <f>Table2[[#This Row],[EV]]-Table2[[#This Row],[Spread (V)]]</f>
        <v>-5.6286306023185659</v>
      </c>
      <c r="AI819" s="22">
        <f>Table2[[#This Row],[(A)]]-Table2[[#This Row],[Spread]]</f>
        <v>-5.465118483412331</v>
      </c>
      <c r="AJ819" s="1">
        <f>Table2[[#This Row],[(A) Err]]^2</f>
        <v>29.867520037735098</v>
      </c>
      <c r="AK819" s="6">
        <f>Table2[[#This Row],[EV]]-Table2[[#This Row],[Spread]]</f>
        <v>-5.6286306023185659</v>
      </c>
      <c r="AL819" s="1">
        <f>Table2[[#This Row],[EV Err]]^2</f>
        <v>31.681482457357063</v>
      </c>
    </row>
    <row r="820" spans="1:38" x14ac:dyDescent="0.25">
      <c r="A820" t="s">
        <v>151</v>
      </c>
      <c r="B820" t="s">
        <v>14</v>
      </c>
      <c r="C820" t="s">
        <v>25</v>
      </c>
      <c r="K820" s="25">
        <f>(Table2[[#This Row],[Home Pace]]/100)*(VLOOKUP(Table2[[#This Row],[Home/Neutral]],home_lookup,8,FALSE)+VLOOKUP(Table2[[#This Row],[Home/Neutral]],OFR_lookup,2,FALSE)+VLOOKUP(Table2[[#This Row],[Visitor/Neutral]],def_diff_lookup,6,FALSE))</f>
        <v>103.62907414241451</v>
      </c>
      <c r="L820" s="25"/>
      <c r="M820" s="25">
        <f>(Table2[[#This Row],[Away Pace]]/100)*(VLOOKUP(Table2[[#This Row],[Visitor/Neutral]],OFR_lookup,2,FALSE)+VLOOKUP(Table2[[#This Row],[Home/Neutral]],def_diff_lookup,6,FALSE))</f>
        <v>98.648629333333346</v>
      </c>
      <c r="N820" s="25"/>
      <c r="O820" s="25"/>
      <c r="P820">
        <f>VLOOKUP(Table2[[#This Row],[Home/Neutral]],pace_lookup,7,FALSE)</f>
        <v>95.9</v>
      </c>
      <c r="Q820" s="5">
        <f>VLOOKUP(Table2[[#This Row],[Visitor/Neutral]],pace_lookup,7,FALSE)</f>
        <v>94.4</v>
      </c>
      <c r="R820" s="9"/>
      <c r="V820" s="2">
        <f>-home-VLOOKUP(Table2[[#This Row],[Home/Neutral]],rtg_vlookup,4,FALSE)+VLOOKUP(Table2[[#This Row],[Visitor/Neutral]],rtg_vlookup,4,FALSE)</f>
        <v>-7.7051184834123303</v>
      </c>
      <c r="W820" s="25"/>
      <c r="X820" s="2"/>
      <c r="Y820" s="2">
        <f>Table2[[#This Row],[Away EV]]-Table2[[#This Row],[Home EV]]</f>
        <v>-4.9804448090811633</v>
      </c>
      <c r="Z820" s="33"/>
      <c r="AA820" s="34"/>
      <c r="AB820" s="5" t="b">
        <f>IF(VLOOKUP(Table2[[#This Row],[Home/Neutral]],division_lookup,9,FALSE)=VLOOKUP(Table2[[#This Row],[Visitor/Neutral]],division_lookup,9,FALSE),TRUE,FALSE)</f>
        <v>0</v>
      </c>
      <c r="AC820" s="19" t="str">
        <f>VLOOKUP(Table2[[#This Row],[Home/Neutral]],division_lookup,9,FALSE)</f>
        <v>A</v>
      </c>
      <c r="AD820" s="19"/>
      <c r="AE820" s="19" t="str">
        <f>IF(Table2[[#This Row],[Total EV ®]]&lt;Table2[[#This Row],[Total (V)]],"UNDER","OVER")</f>
        <v>OVER</v>
      </c>
      <c r="AF820" s="30">
        <f>Table2[[#This Row],[(A) Spread]]-Table2[[#This Row],[Spread (V)]]</f>
        <v>0</v>
      </c>
      <c r="AG820" s="19"/>
      <c r="AH820" s="2">
        <f>Table2[[#This Row],[EV]]-Table2[[#This Row],[Spread (V)]]</f>
        <v>-4.9804448090811633</v>
      </c>
      <c r="AI820" s="22">
        <f>Table2[[#This Row],[(A)]]-Table2[[#This Row],[Spread]]</f>
        <v>-7.7051184834123303</v>
      </c>
      <c r="AJ820" s="1">
        <f>Table2[[#This Row],[(A) Err]]^2</f>
        <v>59.368850843422329</v>
      </c>
      <c r="AK820" s="6">
        <f>Table2[[#This Row],[EV]]-Table2[[#This Row],[Spread]]</f>
        <v>-4.9804448090811633</v>
      </c>
      <c r="AL820" s="1">
        <f>Table2[[#This Row],[EV Err]]^2</f>
        <v>24.804830496303506</v>
      </c>
    </row>
    <row r="821" spans="1:38" x14ac:dyDescent="0.25">
      <c r="A821" t="s">
        <v>152</v>
      </c>
      <c r="B821" t="s">
        <v>35</v>
      </c>
      <c r="C821" t="s">
        <v>23</v>
      </c>
      <c r="K821" s="25">
        <f>(Table2[[#This Row],[Home Pace]]/100)*(VLOOKUP(Table2[[#This Row],[Home/Neutral]],home_lookup,8,FALSE)+VLOOKUP(Table2[[#This Row],[Home/Neutral]],OFR_lookup,2,FALSE)+VLOOKUP(Table2[[#This Row],[Visitor/Neutral]],def_diff_lookup,6,FALSE))</f>
        <v>103.14369121209626</v>
      </c>
      <c r="L821" s="25"/>
      <c r="M821" s="25">
        <f>(Table2[[#This Row],[Away Pace]]/100)*(VLOOKUP(Table2[[#This Row],[Visitor/Neutral]],OFR_lookup,2,FALSE)+VLOOKUP(Table2[[#This Row],[Home/Neutral]],def_diff_lookup,6,FALSE))</f>
        <v>99.798866666666683</v>
      </c>
      <c r="N821" s="25"/>
      <c r="O821" s="25"/>
      <c r="P821">
        <f>VLOOKUP(Table2[[#This Row],[Home/Neutral]],pace_lookup,7,FALSE)</f>
        <v>102.2</v>
      </c>
      <c r="Q821" s="5">
        <f>VLOOKUP(Table2[[#This Row],[Visitor/Neutral]],pace_lookup,7,FALSE)</f>
        <v>92.5</v>
      </c>
      <c r="R821" s="9"/>
      <c r="V821" s="2">
        <f>-home-VLOOKUP(Table2[[#This Row],[Home/Neutral]],rtg_vlookup,4,FALSE)+VLOOKUP(Table2[[#This Row],[Visitor/Neutral]],rtg_vlookup,4,FALSE)</f>
        <v>5.9848815165876683</v>
      </c>
      <c r="W821" s="25"/>
      <c r="X821" s="2"/>
      <c r="Y821" s="2">
        <f>Table2[[#This Row],[Away EV]]-Table2[[#This Row],[Home EV]]</f>
        <v>-3.3448245454295744</v>
      </c>
      <c r="Z821" s="33"/>
      <c r="AA821" s="34"/>
      <c r="AB821" s="5" t="b">
        <f>IF(VLOOKUP(Table2[[#This Row],[Home/Neutral]],division_lookup,9,FALSE)=VLOOKUP(Table2[[#This Row],[Visitor/Neutral]],division_lookup,9,FALSE),TRUE,FALSE)</f>
        <v>0</v>
      </c>
      <c r="AC821" s="19" t="str">
        <f>VLOOKUP(Table2[[#This Row],[Home/Neutral]],division_lookup,9,FALSE)</f>
        <v>A</v>
      </c>
      <c r="AD821" s="19"/>
      <c r="AE821" s="19" t="str">
        <f>IF(Table2[[#This Row],[Total EV ®]]&lt;Table2[[#This Row],[Total (V)]],"UNDER","OVER")</f>
        <v>OVER</v>
      </c>
      <c r="AF821" s="30">
        <f>Table2[[#This Row],[(A) Spread]]-Table2[[#This Row],[Spread (V)]]</f>
        <v>0</v>
      </c>
      <c r="AG821" s="19"/>
      <c r="AH821" s="2">
        <f>Table2[[#This Row],[EV]]-Table2[[#This Row],[Spread (V)]]</f>
        <v>-3.3448245454295744</v>
      </c>
      <c r="AI821" s="22">
        <f>Table2[[#This Row],[(A)]]-Table2[[#This Row],[Spread]]</f>
        <v>5.9848815165876683</v>
      </c>
      <c r="AJ821" s="1">
        <f>Table2[[#This Row],[(A) Err]]^2</f>
        <v>35.818806767592712</v>
      </c>
      <c r="AK821" s="6">
        <f>Table2[[#This Row],[EV]]-Table2[[#This Row],[Spread]]</f>
        <v>-3.3448245454295744</v>
      </c>
      <c r="AL821" s="1">
        <f>Table2[[#This Row],[EV Err]]^2</f>
        <v>11.187851239708159</v>
      </c>
    </row>
    <row r="822" spans="1:38" x14ac:dyDescent="0.25">
      <c r="A822" t="s">
        <v>152</v>
      </c>
      <c r="B822" t="s">
        <v>16</v>
      </c>
      <c r="C822" t="s">
        <v>39</v>
      </c>
      <c r="K822" s="25">
        <f>(Table2[[#This Row],[Home Pace]]/100)*(VLOOKUP(Table2[[#This Row],[Home/Neutral]],home_lookup,8,FALSE)+VLOOKUP(Table2[[#This Row],[Home/Neutral]],OFR_lookup,2,FALSE)+VLOOKUP(Table2[[#This Row],[Visitor/Neutral]],def_diff_lookup,6,FALSE))</f>
        <v>106.65860601115951</v>
      </c>
      <c r="L822" s="25"/>
      <c r="M822" s="25">
        <f>(Table2[[#This Row],[Away Pace]]/100)*(VLOOKUP(Table2[[#This Row],[Visitor/Neutral]],OFR_lookup,2,FALSE)+VLOOKUP(Table2[[#This Row],[Home/Neutral]],def_diff_lookup,6,FALSE))</f>
        <v>95.833400000000012</v>
      </c>
      <c r="N822" s="25"/>
      <c r="O822" s="25"/>
      <c r="P822">
        <f>VLOOKUP(Table2[[#This Row],[Home/Neutral]],pace_lookup,7,FALSE)</f>
        <v>97.5</v>
      </c>
      <c r="Q822" s="5">
        <f>VLOOKUP(Table2[[#This Row],[Visitor/Neutral]],pace_lookup,7,FALSE)</f>
        <v>97.5</v>
      </c>
      <c r="R822" s="9"/>
      <c r="V822" s="2">
        <f>-home-VLOOKUP(Table2[[#This Row],[Home/Neutral]],rtg_vlookup,4,FALSE)+VLOOKUP(Table2[[#This Row],[Visitor/Neutral]],rtg_vlookup,4,FALSE)</f>
        <v>-14.615118483412331</v>
      </c>
      <c r="W822" s="25"/>
      <c r="X822" s="2"/>
      <c r="Y822" s="2">
        <f>Table2[[#This Row],[Away EV]]-Table2[[#This Row],[Home EV]]</f>
        <v>-10.825206011159494</v>
      </c>
      <c r="Z822" s="33"/>
      <c r="AA822" s="34"/>
      <c r="AB822" s="5" t="b">
        <f>IF(VLOOKUP(Table2[[#This Row],[Home/Neutral]],division_lookup,9,FALSE)=VLOOKUP(Table2[[#This Row],[Visitor/Neutral]],division_lookup,9,FALSE),TRUE,FALSE)</f>
        <v>0</v>
      </c>
      <c r="AC822" s="19" t="str">
        <f>VLOOKUP(Table2[[#This Row],[Home/Neutral]],division_lookup,9,FALSE)</f>
        <v>SE</v>
      </c>
      <c r="AD822" s="19"/>
      <c r="AE822" s="19" t="str">
        <f>IF(Table2[[#This Row],[Total EV ®]]&lt;Table2[[#This Row],[Total (V)]],"UNDER","OVER")</f>
        <v>OVER</v>
      </c>
      <c r="AF822" s="30">
        <f>Table2[[#This Row],[(A) Spread]]-Table2[[#This Row],[Spread (V)]]</f>
        <v>0</v>
      </c>
      <c r="AG822" s="19"/>
      <c r="AH822" s="2">
        <f>Table2[[#This Row],[EV]]-Table2[[#This Row],[Spread (V)]]</f>
        <v>-10.825206011159494</v>
      </c>
      <c r="AI822" s="22">
        <f>Table2[[#This Row],[(A)]]-Table2[[#This Row],[Spread]]</f>
        <v>-14.615118483412331</v>
      </c>
      <c r="AJ822" s="1">
        <f>Table2[[#This Row],[(A) Err]]^2</f>
        <v>213.60168828418077</v>
      </c>
      <c r="AK822" s="6">
        <f>Table2[[#This Row],[EV]]-Table2[[#This Row],[Spread]]</f>
        <v>-10.825206011159494</v>
      </c>
      <c r="AL822" s="1">
        <f>Table2[[#This Row],[EV Err]]^2</f>
        <v>117.18508518404364</v>
      </c>
    </row>
    <row r="823" spans="1:38" x14ac:dyDescent="0.25">
      <c r="A823" t="s">
        <v>152</v>
      </c>
      <c r="B823" t="s">
        <v>37</v>
      </c>
      <c r="C823" t="s">
        <v>26</v>
      </c>
      <c r="K823" s="25">
        <f>(Table2[[#This Row],[Home Pace]]/100)*(VLOOKUP(Table2[[#This Row],[Home/Neutral]],home_lookup,8,FALSE)+VLOOKUP(Table2[[#This Row],[Home/Neutral]],OFR_lookup,2,FALSE)+VLOOKUP(Table2[[#This Row],[Visitor/Neutral]],def_diff_lookup,6,FALSE))</f>
        <v>103.98836809362122</v>
      </c>
      <c r="L823" s="25"/>
      <c r="M823" s="25">
        <f>(Table2[[#This Row],[Away Pace]]/100)*(VLOOKUP(Table2[[#This Row],[Visitor/Neutral]],OFR_lookup,2,FALSE)+VLOOKUP(Table2[[#This Row],[Home/Neutral]],def_diff_lookup,6,FALSE))</f>
        <v>100.58944000000001</v>
      </c>
      <c r="N823" s="25"/>
      <c r="O823" s="25"/>
      <c r="P823">
        <f>VLOOKUP(Table2[[#This Row],[Home/Neutral]],pace_lookup,7,FALSE)</f>
        <v>92.1</v>
      </c>
      <c r="Q823" s="5">
        <f>VLOOKUP(Table2[[#This Row],[Visitor/Neutral]],pace_lookup,7,FALSE)</f>
        <v>96</v>
      </c>
      <c r="R823" s="9"/>
      <c r="V823" s="2">
        <f>-home-VLOOKUP(Table2[[#This Row],[Home/Neutral]],rtg_vlookup,4,FALSE)+VLOOKUP(Table2[[#This Row],[Visitor/Neutral]],rtg_vlookup,4,FALSE)</f>
        <v>4.5348815165876699</v>
      </c>
      <c r="W823" s="25"/>
      <c r="X823" s="2"/>
      <c r="Y823" s="2">
        <f>Table2[[#This Row],[Away EV]]-Table2[[#This Row],[Home EV]]</f>
        <v>-3.3989280936212083</v>
      </c>
      <c r="Z823" s="33"/>
      <c r="AA823" s="34"/>
      <c r="AB823" s="5" t="b">
        <f>IF(VLOOKUP(Table2[[#This Row],[Home/Neutral]],division_lookup,9,FALSE)=VLOOKUP(Table2[[#This Row],[Visitor/Neutral]],division_lookup,9,FALSE),TRUE,FALSE)</f>
        <v>0</v>
      </c>
      <c r="AC823" s="19" t="str">
        <f>VLOOKUP(Table2[[#This Row],[Home/Neutral]],division_lookup,9,FALSE)</f>
        <v>SW</v>
      </c>
      <c r="AD823" s="19"/>
      <c r="AE823" s="19" t="str">
        <f>IF(Table2[[#This Row],[Total EV ®]]&lt;Table2[[#This Row],[Total (V)]],"UNDER","OVER")</f>
        <v>OVER</v>
      </c>
      <c r="AF823" s="30">
        <f>Table2[[#This Row],[(A) Spread]]-Table2[[#This Row],[Spread (V)]]</f>
        <v>0</v>
      </c>
      <c r="AG823" s="19"/>
      <c r="AH823" s="2">
        <f>Table2[[#This Row],[EV]]-Table2[[#This Row],[Spread (V)]]</f>
        <v>-3.3989280936212083</v>
      </c>
      <c r="AI823" s="22">
        <f>Table2[[#This Row],[(A)]]-Table2[[#This Row],[Spread]]</f>
        <v>4.5348815165876699</v>
      </c>
      <c r="AJ823" s="1">
        <f>Table2[[#This Row],[(A) Err]]^2</f>
        <v>20.565150369488485</v>
      </c>
      <c r="AK823" s="6">
        <f>Table2[[#This Row],[EV]]-Table2[[#This Row],[Spread]]</f>
        <v>-3.3989280936212083</v>
      </c>
      <c r="AL823" s="1">
        <f>Table2[[#This Row],[EV Err]]^2</f>
        <v>11.552712185607501</v>
      </c>
    </row>
    <row r="824" spans="1:38" x14ac:dyDescent="0.25">
      <c r="A824" t="s">
        <v>152</v>
      </c>
      <c r="B824" t="s">
        <v>27</v>
      </c>
      <c r="C824" t="s">
        <v>10</v>
      </c>
      <c r="K824" s="25">
        <f>(Table2[[#This Row],[Home Pace]]/100)*(VLOOKUP(Table2[[#This Row],[Home/Neutral]],home_lookup,8,FALSE)+VLOOKUP(Table2[[#This Row],[Home/Neutral]],OFR_lookup,2,FALSE)+VLOOKUP(Table2[[#This Row],[Visitor/Neutral]],def_diff_lookup,6,FALSE))</f>
        <v>106.10955642647257</v>
      </c>
      <c r="L824" s="25"/>
      <c r="M824" s="25">
        <f>(Table2[[#This Row],[Away Pace]]/100)*(VLOOKUP(Table2[[#This Row],[Visitor/Neutral]],OFR_lookup,2,FALSE)+VLOOKUP(Table2[[#This Row],[Home/Neutral]],def_diff_lookup,6,FALSE))</f>
        <v>116.28848866666667</v>
      </c>
      <c r="N824" s="25"/>
      <c r="O824" s="25"/>
      <c r="P824">
        <f>VLOOKUP(Table2[[#This Row],[Home/Neutral]],pace_lookup,7,FALSE)</f>
        <v>99</v>
      </c>
      <c r="Q824" s="5">
        <f>VLOOKUP(Table2[[#This Row],[Visitor/Neutral]],pace_lookup,7,FALSE)</f>
        <v>100.3</v>
      </c>
      <c r="R824" s="9"/>
      <c r="V824" s="2">
        <f>-home-VLOOKUP(Table2[[#This Row],[Home/Neutral]],rtg_vlookup,4,FALSE)+VLOOKUP(Table2[[#This Row],[Visitor/Neutral]],rtg_vlookup,4,FALSE)</f>
        <v>6.3448815165876695</v>
      </c>
      <c r="W824" s="25"/>
      <c r="X824" s="2"/>
      <c r="Y824" s="2">
        <f>Table2[[#This Row],[Away EV]]-Table2[[#This Row],[Home EV]]</f>
        <v>10.178932240194101</v>
      </c>
      <c r="Z824" s="33"/>
      <c r="AA824" s="34"/>
      <c r="AB824" s="5" t="b">
        <f>IF(VLOOKUP(Table2[[#This Row],[Home/Neutral]],division_lookup,9,FALSE)=VLOOKUP(Table2[[#This Row],[Visitor/Neutral]],division_lookup,9,FALSE),TRUE,FALSE)</f>
        <v>0</v>
      </c>
      <c r="AC824" s="19" t="str">
        <f>VLOOKUP(Table2[[#This Row],[Home/Neutral]],division_lookup,9,FALSE)</f>
        <v>NW</v>
      </c>
      <c r="AD824" s="19"/>
      <c r="AE824" s="19" t="str">
        <f>IF(Table2[[#This Row],[Total EV ®]]&lt;Table2[[#This Row],[Total (V)]],"UNDER","OVER")</f>
        <v>OVER</v>
      </c>
      <c r="AF824" s="30">
        <f>Table2[[#This Row],[(A) Spread]]-Table2[[#This Row],[Spread (V)]]</f>
        <v>0</v>
      </c>
      <c r="AG824" s="19"/>
      <c r="AH824" s="2">
        <f>Table2[[#This Row],[EV]]-Table2[[#This Row],[Spread (V)]]</f>
        <v>10.178932240194101</v>
      </c>
      <c r="AI824" s="22">
        <f>Table2[[#This Row],[(A)]]-Table2[[#This Row],[Spread]]</f>
        <v>6.3448815165876695</v>
      </c>
      <c r="AJ824" s="1">
        <f>Table2[[#This Row],[(A) Err]]^2</f>
        <v>40.257521459535845</v>
      </c>
      <c r="AK824" s="6">
        <f>Table2[[#This Row],[EV]]-Table2[[#This Row],[Spread]]</f>
        <v>10.178932240194101</v>
      </c>
      <c r="AL824" s="1">
        <f>Table2[[#This Row],[EV Err]]^2</f>
        <v>103.61066155046289</v>
      </c>
    </row>
    <row r="825" spans="1:38" x14ac:dyDescent="0.25">
      <c r="A825" t="s">
        <v>152</v>
      </c>
      <c r="B825" t="s">
        <v>33</v>
      </c>
      <c r="C825" t="s">
        <v>6</v>
      </c>
      <c r="K825" s="25">
        <f>(Table2[[#This Row],[Home Pace]]/100)*(VLOOKUP(Table2[[#This Row],[Home/Neutral]],home_lookup,8,FALSE)+VLOOKUP(Table2[[#This Row],[Home/Neutral]],OFR_lookup,2,FALSE)+VLOOKUP(Table2[[#This Row],[Visitor/Neutral]],def_diff_lookup,6,FALSE))</f>
        <v>105.26039852057507</v>
      </c>
      <c r="L825" s="25"/>
      <c r="M825" s="25">
        <f>(Table2[[#This Row],[Away Pace]]/100)*(VLOOKUP(Table2[[#This Row],[Visitor/Neutral]],OFR_lookup,2,FALSE)+VLOOKUP(Table2[[#This Row],[Home/Neutral]],def_diff_lookup,6,FALSE))</f>
        <v>105.65981066666667</v>
      </c>
      <c r="N825" s="25"/>
      <c r="O825" s="25"/>
      <c r="P825">
        <f>VLOOKUP(Table2[[#This Row],[Home/Neutral]],pace_lookup,7,FALSE)</f>
        <v>98.2</v>
      </c>
      <c r="Q825" s="5">
        <f>VLOOKUP(Table2[[#This Row],[Visitor/Neutral]],pace_lookup,7,FALSE)</f>
        <v>93.1</v>
      </c>
      <c r="R825" s="9"/>
      <c r="V825" s="2">
        <f>-home-VLOOKUP(Table2[[#This Row],[Home/Neutral]],rtg_vlookup,4,FALSE)+VLOOKUP(Table2[[#This Row],[Visitor/Neutral]],rtg_vlookup,4,FALSE)</f>
        <v>9.5148815165876695</v>
      </c>
      <c r="W825" s="25"/>
      <c r="X825" s="2"/>
      <c r="Y825" s="2">
        <f>Table2[[#This Row],[Away EV]]-Table2[[#This Row],[Home EV]]</f>
        <v>0.39941214609160625</v>
      </c>
      <c r="Z825" s="33"/>
      <c r="AA825" s="34"/>
      <c r="AB825" s="5" t="b">
        <f>IF(VLOOKUP(Table2[[#This Row],[Home/Neutral]],division_lookup,9,FALSE)=VLOOKUP(Table2[[#This Row],[Visitor/Neutral]],division_lookup,9,FALSE),TRUE,FALSE)</f>
        <v>0</v>
      </c>
      <c r="AC825" s="19" t="str">
        <f>VLOOKUP(Table2[[#This Row],[Home/Neutral]],division_lookup,9,FALSE)</f>
        <v>C</v>
      </c>
      <c r="AD825" s="19"/>
      <c r="AE825" s="19" t="str">
        <f>IF(Table2[[#This Row],[Total EV ®]]&lt;Table2[[#This Row],[Total (V)]],"UNDER","OVER")</f>
        <v>OVER</v>
      </c>
      <c r="AF825" s="30">
        <f>Table2[[#This Row],[(A) Spread]]-Table2[[#This Row],[Spread (V)]]</f>
        <v>0</v>
      </c>
      <c r="AG825" s="19"/>
      <c r="AH825" s="2">
        <f>Table2[[#This Row],[EV]]-Table2[[#This Row],[Spread (V)]]</f>
        <v>0.39941214609160625</v>
      </c>
      <c r="AI825" s="22">
        <f>Table2[[#This Row],[(A)]]-Table2[[#This Row],[Spread]]</f>
        <v>9.5148815165876695</v>
      </c>
      <c r="AJ825" s="1">
        <f>Table2[[#This Row],[(A) Err]]^2</f>
        <v>90.532970274701668</v>
      </c>
      <c r="AK825" s="6">
        <f>Table2[[#This Row],[EV]]-Table2[[#This Row],[Spread]]</f>
        <v>0.39941214609160625</v>
      </c>
      <c r="AL825" s="1">
        <f>Table2[[#This Row],[EV Err]]^2</f>
        <v>0.15953006244550261</v>
      </c>
    </row>
    <row r="826" spans="1:38" x14ac:dyDescent="0.25">
      <c r="A826" t="s">
        <v>152</v>
      </c>
      <c r="B826" t="s">
        <v>21</v>
      </c>
      <c r="C826" t="s">
        <v>38</v>
      </c>
      <c r="K826" s="25">
        <f>(Table2[[#This Row],[Home Pace]]/100)*(VLOOKUP(Table2[[#This Row],[Home/Neutral]],home_lookup,8,FALSE)+VLOOKUP(Table2[[#This Row],[Home/Neutral]],OFR_lookup,2,FALSE)+VLOOKUP(Table2[[#This Row],[Visitor/Neutral]],def_diff_lookup,6,FALSE))</f>
        <v>102.5242311752439</v>
      </c>
      <c r="L826" s="25"/>
      <c r="M826" s="25">
        <f>(Table2[[#This Row],[Away Pace]]/100)*(VLOOKUP(Table2[[#This Row],[Visitor/Neutral]],OFR_lookup,2,FALSE)+VLOOKUP(Table2[[#This Row],[Home/Neutral]],def_diff_lookup,6,FALSE))</f>
        <v>89.462368000000026</v>
      </c>
      <c r="N826" s="25"/>
      <c r="O826" s="25"/>
      <c r="P826">
        <f>VLOOKUP(Table2[[#This Row],[Home/Neutral]],pace_lookup,7,FALSE)</f>
        <v>94.2</v>
      </c>
      <c r="Q826" s="5">
        <f>VLOOKUP(Table2[[#This Row],[Visitor/Neutral]],pace_lookup,7,FALSE)</f>
        <v>94.2</v>
      </c>
      <c r="R826" s="9"/>
      <c r="V826" s="2">
        <f>-home-VLOOKUP(Table2[[#This Row],[Home/Neutral]],rtg_vlookup,4,FALSE)+VLOOKUP(Table2[[#This Row],[Visitor/Neutral]],rtg_vlookup,4,FALSE)</f>
        <v>-11.32511848341233</v>
      </c>
      <c r="W826" s="25"/>
      <c r="X826" s="2"/>
      <c r="Y826" s="2">
        <f>Table2[[#This Row],[Away EV]]-Table2[[#This Row],[Home EV]]</f>
        <v>-13.061863175243872</v>
      </c>
      <c r="Z826" s="33"/>
      <c r="AA826" s="34"/>
      <c r="AB826" s="5" t="b">
        <f>IF(VLOOKUP(Table2[[#This Row],[Home/Neutral]],division_lookup,9,FALSE)=VLOOKUP(Table2[[#This Row],[Visitor/Neutral]],division_lookup,9,FALSE),TRUE,FALSE)</f>
        <v>1</v>
      </c>
      <c r="AC826" s="19" t="str">
        <f>VLOOKUP(Table2[[#This Row],[Home/Neutral]],division_lookup,9,FALSE)</f>
        <v>SE</v>
      </c>
      <c r="AD826" s="19"/>
      <c r="AE826" s="19" t="str">
        <f>IF(Table2[[#This Row],[Total EV ®]]&lt;Table2[[#This Row],[Total (V)]],"UNDER","OVER")</f>
        <v>OVER</v>
      </c>
      <c r="AF826" s="30">
        <f>Table2[[#This Row],[(A) Spread]]-Table2[[#This Row],[Spread (V)]]</f>
        <v>0</v>
      </c>
      <c r="AG826" s="19"/>
      <c r="AH826" s="2">
        <f>Table2[[#This Row],[EV]]-Table2[[#This Row],[Spread (V)]]</f>
        <v>-13.061863175243872</v>
      </c>
      <c r="AI826" s="22">
        <f>Table2[[#This Row],[(A)]]-Table2[[#This Row],[Spread]]</f>
        <v>-11.32511848341233</v>
      </c>
      <c r="AJ826" s="1">
        <f>Table2[[#This Row],[(A) Err]]^2</f>
        <v>128.2583086633276</v>
      </c>
      <c r="AK826" s="6">
        <f>Table2[[#This Row],[EV]]-Table2[[#This Row],[Spread]]</f>
        <v>-13.061863175243872</v>
      </c>
      <c r="AL826" s="1">
        <f>Table2[[#This Row],[EV Err]]^2</f>
        <v>170.61226960879191</v>
      </c>
    </row>
    <row r="827" spans="1:38" x14ac:dyDescent="0.25">
      <c r="A827" t="s">
        <v>152</v>
      </c>
      <c r="B827" t="s">
        <v>30</v>
      </c>
      <c r="C827" t="s">
        <v>25</v>
      </c>
      <c r="K827" s="25">
        <f>(Table2[[#This Row],[Home Pace]]/100)*(VLOOKUP(Table2[[#This Row],[Home/Neutral]],home_lookup,8,FALSE)+VLOOKUP(Table2[[#This Row],[Home/Neutral]],OFR_lookup,2,FALSE)+VLOOKUP(Table2[[#This Row],[Visitor/Neutral]],def_diff_lookup,6,FALSE))</f>
        <v>104.54040034993645</v>
      </c>
      <c r="L827" s="25"/>
      <c r="M827" s="25">
        <f>(Table2[[#This Row],[Away Pace]]/100)*(VLOOKUP(Table2[[#This Row],[Visitor/Neutral]],OFR_lookup,2,FALSE)+VLOOKUP(Table2[[#This Row],[Home/Neutral]],def_diff_lookup,6,FALSE))</f>
        <v>98.686389333333352</v>
      </c>
      <c r="N827" s="25"/>
      <c r="O827" s="25"/>
      <c r="P827">
        <f>VLOOKUP(Table2[[#This Row],[Home/Neutral]],pace_lookup,7,FALSE)</f>
        <v>96.8</v>
      </c>
      <c r="Q827" s="5">
        <f>VLOOKUP(Table2[[#This Row],[Visitor/Neutral]],pace_lookup,7,FALSE)</f>
        <v>94.4</v>
      </c>
      <c r="R827" s="9"/>
      <c r="V827" s="2">
        <f>-home-VLOOKUP(Table2[[#This Row],[Home/Neutral]],rtg_vlookup,4,FALSE)+VLOOKUP(Table2[[#This Row],[Visitor/Neutral]],rtg_vlookup,4,FALSE)</f>
        <v>-0.22511848341233098</v>
      </c>
      <c r="W827" s="25"/>
      <c r="X827" s="2"/>
      <c r="Y827" s="2">
        <f>Table2[[#This Row],[Away EV]]-Table2[[#This Row],[Home EV]]</f>
        <v>-5.8540110166030956</v>
      </c>
      <c r="Z827" s="33"/>
      <c r="AA827" s="34"/>
      <c r="AB827" s="5" t="b">
        <f>IF(VLOOKUP(Table2[[#This Row],[Home/Neutral]],division_lookup,9,FALSE)=VLOOKUP(Table2[[#This Row],[Visitor/Neutral]],division_lookup,9,FALSE),TRUE,FALSE)</f>
        <v>1</v>
      </c>
      <c r="AC827" s="19" t="str">
        <f>VLOOKUP(Table2[[#This Row],[Home/Neutral]],division_lookup,9,FALSE)</f>
        <v>C</v>
      </c>
      <c r="AD827" s="19"/>
      <c r="AE827" s="19" t="str">
        <f>IF(Table2[[#This Row],[Total EV ®]]&lt;Table2[[#This Row],[Total (V)]],"UNDER","OVER")</f>
        <v>OVER</v>
      </c>
      <c r="AF827" s="30">
        <f>Table2[[#This Row],[(A) Spread]]-Table2[[#This Row],[Spread (V)]]</f>
        <v>0</v>
      </c>
      <c r="AG827" s="19"/>
      <c r="AH827" s="2">
        <f>Table2[[#This Row],[EV]]-Table2[[#This Row],[Spread (V)]]</f>
        <v>-5.8540110166030956</v>
      </c>
      <c r="AI827" s="22">
        <f>Table2[[#This Row],[(A)]]-Table2[[#This Row],[Spread]]</f>
        <v>-0.22511848341233098</v>
      </c>
      <c r="AJ827" s="1">
        <f>Table2[[#This Row],[(A) Err]]^2</f>
        <v>5.0678331573867939E-2</v>
      </c>
      <c r="AK827" s="6">
        <f>Table2[[#This Row],[EV]]-Table2[[#This Row],[Spread]]</f>
        <v>-5.8540110166030956</v>
      </c>
      <c r="AL827" s="1">
        <f>Table2[[#This Row],[EV Err]]^2</f>
        <v>34.269444982510407</v>
      </c>
    </row>
    <row r="828" spans="1:38" x14ac:dyDescent="0.25">
      <c r="A828" t="s">
        <v>152</v>
      </c>
      <c r="B828" t="s">
        <v>36</v>
      </c>
      <c r="C828" t="s">
        <v>34</v>
      </c>
      <c r="K828" s="25">
        <f>(Table2[[#This Row],[Home Pace]]/100)*(VLOOKUP(Table2[[#This Row],[Home/Neutral]],home_lookup,8,FALSE)+VLOOKUP(Table2[[#This Row],[Home/Neutral]],OFR_lookup,2,FALSE)+VLOOKUP(Table2[[#This Row],[Visitor/Neutral]],def_diff_lookup,6,FALSE))</f>
        <v>107.21667156604042</v>
      </c>
      <c r="L828" s="25"/>
      <c r="M828" s="25">
        <f>(Table2[[#This Row],[Away Pace]]/100)*(VLOOKUP(Table2[[#This Row],[Visitor/Neutral]],OFR_lookup,2,FALSE)+VLOOKUP(Table2[[#This Row],[Home/Neutral]],def_diff_lookup,6,FALSE))</f>
        <v>102.62421866666666</v>
      </c>
      <c r="N828" s="25"/>
      <c r="O828" s="25"/>
      <c r="P828">
        <f>VLOOKUP(Table2[[#This Row],[Home/Neutral]],pace_lookup,7,FALSE)</f>
        <v>102.2</v>
      </c>
      <c r="Q828" s="5">
        <f>VLOOKUP(Table2[[#This Row],[Visitor/Neutral]],pace_lookup,7,FALSE)</f>
        <v>98.8</v>
      </c>
      <c r="R828" s="9"/>
      <c r="V828" s="2">
        <f>-home-VLOOKUP(Table2[[#This Row],[Home/Neutral]],rtg_vlookup,4,FALSE)+VLOOKUP(Table2[[#This Row],[Visitor/Neutral]],rtg_vlookup,4,FALSE)</f>
        <v>-1.5551184834123308</v>
      </c>
      <c r="W828" s="25"/>
      <c r="X828" s="2"/>
      <c r="Y828" s="2">
        <f>Table2[[#This Row],[Away EV]]-Table2[[#This Row],[Home EV]]</f>
        <v>-4.5924528993737539</v>
      </c>
      <c r="Z828" s="33"/>
      <c r="AA828" s="34"/>
      <c r="AB828" s="5" t="b">
        <f>IF(VLOOKUP(Table2[[#This Row],[Home/Neutral]],division_lookup,9,FALSE)=VLOOKUP(Table2[[#This Row],[Visitor/Neutral]],division_lookup,9,FALSE),TRUE,FALSE)</f>
        <v>0</v>
      </c>
      <c r="AC828" s="19" t="str">
        <f>VLOOKUP(Table2[[#This Row],[Home/Neutral]],division_lookup,9,FALSE)</f>
        <v>P</v>
      </c>
      <c r="AD828" s="19"/>
      <c r="AE828" s="19" t="str">
        <f>IF(Table2[[#This Row],[Total EV ®]]&lt;Table2[[#This Row],[Total (V)]],"UNDER","OVER")</f>
        <v>OVER</v>
      </c>
      <c r="AF828" s="30">
        <f>Table2[[#This Row],[(A) Spread]]-Table2[[#This Row],[Spread (V)]]</f>
        <v>0</v>
      </c>
      <c r="AG828" s="19"/>
      <c r="AH828" s="2">
        <f>Table2[[#This Row],[EV]]-Table2[[#This Row],[Spread (V)]]</f>
        <v>-4.5924528993737539</v>
      </c>
      <c r="AI828" s="22">
        <f>Table2[[#This Row],[(A)]]-Table2[[#This Row],[Spread]]</f>
        <v>-1.5551184834123308</v>
      </c>
      <c r="AJ828" s="1">
        <f>Table2[[#This Row],[(A) Err]]^2</f>
        <v>2.4183934974506678</v>
      </c>
      <c r="AK828" s="6">
        <f>Table2[[#This Row],[EV]]-Table2[[#This Row],[Spread]]</f>
        <v>-4.5924528993737539</v>
      </c>
      <c r="AL828" s="1">
        <f>Table2[[#This Row],[EV Err]]^2</f>
        <v>21.090623632966398</v>
      </c>
    </row>
    <row r="829" spans="1:38" x14ac:dyDescent="0.25">
      <c r="A829" t="s">
        <v>152</v>
      </c>
      <c r="B829" t="s">
        <v>32</v>
      </c>
      <c r="C829" t="s">
        <v>11</v>
      </c>
      <c r="K829" s="25">
        <f>(Table2[[#This Row],[Home Pace]]/100)*(VLOOKUP(Table2[[#This Row],[Home/Neutral]],home_lookup,8,FALSE)+VLOOKUP(Table2[[#This Row],[Home/Neutral]],OFR_lookup,2,FALSE)+VLOOKUP(Table2[[#This Row],[Visitor/Neutral]],def_diff_lookup,6,FALSE))</f>
        <v>101.5274511200184</v>
      </c>
      <c r="L829" s="25"/>
      <c r="M829" s="25">
        <f>(Table2[[#This Row],[Away Pace]]/100)*(VLOOKUP(Table2[[#This Row],[Visitor/Neutral]],OFR_lookup,2,FALSE)+VLOOKUP(Table2[[#This Row],[Home/Neutral]],def_diff_lookup,6,FALSE))</f>
        <v>109.56099466666667</v>
      </c>
      <c r="N829" s="25"/>
      <c r="O829" s="25"/>
      <c r="P829">
        <f>VLOOKUP(Table2[[#This Row],[Home/Neutral]],pace_lookup,7,FALSE)</f>
        <v>98.6</v>
      </c>
      <c r="Q829" s="5">
        <f>VLOOKUP(Table2[[#This Row],[Visitor/Neutral]],pace_lookup,7,FALSE)</f>
        <v>99.7</v>
      </c>
      <c r="R829" s="9"/>
      <c r="V829" s="2">
        <f>-home-VLOOKUP(Table2[[#This Row],[Home/Neutral]],rtg_vlookup,4,FALSE)+VLOOKUP(Table2[[#This Row],[Visitor/Neutral]],rtg_vlookup,4,FALSE)</f>
        <v>6.4748815165876694</v>
      </c>
      <c r="W829" s="25"/>
      <c r="X829" s="2"/>
      <c r="Y829" s="2">
        <f>Table2[[#This Row],[Away EV]]-Table2[[#This Row],[Home EV]]</f>
        <v>8.033543546648275</v>
      </c>
      <c r="Z829" s="33"/>
      <c r="AA829" s="34"/>
      <c r="AB829" s="5" t="b">
        <f>IF(VLOOKUP(Table2[[#This Row],[Home/Neutral]],division_lookup,9,FALSE)=VLOOKUP(Table2[[#This Row],[Visitor/Neutral]],division_lookup,9,FALSE),TRUE,FALSE)</f>
        <v>0</v>
      </c>
      <c r="AC829" s="19" t="str">
        <f>VLOOKUP(Table2[[#This Row],[Home/Neutral]],division_lookup,9,FALSE)</f>
        <v>NW</v>
      </c>
      <c r="AD829" s="19"/>
      <c r="AE829" s="19" t="str">
        <f>IF(Table2[[#This Row],[Total EV ®]]&lt;Table2[[#This Row],[Total (V)]],"UNDER","OVER")</f>
        <v>OVER</v>
      </c>
      <c r="AF829" s="30">
        <f>Table2[[#This Row],[(A) Spread]]-Table2[[#This Row],[Spread (V)]]</f>
        <v>0</v>
      </c>
      <c r="AG829" s="19"/>
      <c r="AH829" s="2">
        <f>Table2[[#This Row],[EV]]-Table2[[#This Row],[Spread (V)]]</f>
        <v>8.033543546648275</v>
      </c>
      <c r="AI829" s="22">
        <f>Table2[[#This Row],[(A)]]-Table2[[#This Row],[Spread]]</f>
        <v>6.4748815165876694</v>
      </c>
      <c r="AJ829" s="1">
        <f>Table2[[#This Row],[(A) Err]]^2</f>
        <v>41.924090653848637</v>
      </c>
      <c r="AK829" s="6">
        <f>Table2[[#This Row],[EV]]-Table2[[#This Row],[Spread]]</f>
        <v>8.033543546648275</v>
      </c>
      <c r="AL829" s="1">
        <f>Table2[[#This Row],[EV Err]]^2</f>
        <v>64.537821915894142</v>
      </c>
    </row>
    <row r="830" spans="1:38" x14ac:dyDescent="0.25">
      <c r="A830" t="s">
        <v>152</v>
      </c>
      <c r="B830" t="s">
        <v>20</v>
      </c>
      <c r="C830" t="s">
        <v>4</v>
      </c>
      <c r="K830" s="25">
        <f>(Table2[[#This Row],[Home Pace]]/100)*(VLOOKUP(Table2[[#This Row],[Home/Neutral]],home_lookup,8,FALSE)+VLOOKUP(Table2[[#This Row],[Home/Neutral]],OFR_lookup,2,FALSE)+VLOOKUP(Table2[[#This Row],[Visitor/Neutral]],def_diff_lookup,6,FALSE))</f>
        <v>98.374795289151777</v>
      </c>
      <c r="L830" s="25"/>
      <c r="M830" s="25">
        <f>(Table2[[#This Row],[Away Pace]]/100)*(VLOOKUP(Table2[[#This Row],[Visitor/Neutral]],OFR_lookup,2,FALSE)+VLOOKUP(Table2[[#This Row],[Home/Neutral]],def_diff_lookup,6,FALSE))</f>
        <v>109.545044</v>
      </c>
      <c r="N830" s="25"/>
      <c r="O830" s="25"/>
      <c r="P830">
        <f>VLOOKUP(Table2[[#This Row],[Home/Neutral]],pace_lookup,7,FALSE)</f>
        <v>90.9</v>
      </c>
      <c r="Q830" s="5">
        <f>VLOOKUP(Table2[[#This Row],[Visitor/Neutral]],pace_lookup,7,FALSE)</f>
        <v>96.6</v>
      </c>
      <c r="R830" s="9"/>
      <c r="V830" s="2">
        <f>-home-VLOOKUP(Table2[[#This Row],[Home/Neutral]],rtg_vlookup,4,FALSE)+VLOOKUP(Table2[[#This Row],[Visitor/Neutral]],rtg_vlookup,4,FALSE)</f>
        <v>10.17488151658767</v>
      </c>
      <c r="W830" s="25"/>
      <c r="X830" s="2"/>
      <c r="Y830" s="2">
        <f>Table2[[#This Row],[Away EV]]-Table2[[#This Row],[Home EV]]</f>
        <v>11.170248710848227</v>
      </c>
      <c r="Z830" s="33"/>
      <c r="AA830" s="34"/>
      <c r="AB830" s="5" t="b">
        <f>IF(VLOOKUP(Table2[[#This Row],[Home/Neutral]],division_lookup,9,FALSE)=VLOOKUP(Table2[[#This Row],[Visitor/Neutral]],division_lookup,9,FALSE),TRUE,FALSE)</f>
        <v>0</v>
      </c>
      <c r="AC830" s="19" t="str">
        <f>VLOOKUP(Table2[[#This Row],[Home/Neutral]],division_lookup,9,FALSE)</f>
        <v>NW</v>
      </c>
      <c r="AD830" s="19"/>
      <c r="AE830" s="19" t="str">
        <f>IF(Table2[[#This Row],[Total EV ®]]&lt;Table2[[#This Row],[Total (V)]],"UNDER","OVER")</f>
        <v>OVER</v>
      </c>
      <c r="AF830" s="30">
        <f>Table2[[#This Row],[(A) Spread]]-Table2[[#This Row],[Spread (V)]]</f>
        <v>0</v>
      </c>
      <c r="AG830" s="19"/>
      <c r="AH830" s="2">
        <f>Table2[[#This Row],[EV]]-Table2[[#This Row],[Spread (V)]]</f>
        <v>11.170248710848227</v>
      </c>
      <c r="AI830" s="22">
        <f>Table2[[#This Row],[(A)]]-Table2[[#This Row],[Spread]]</f>
        <v>10.17488151658767</v>
      </c>
      <c r="AJ830" s="1">
        <f>Table2[[#This Row],[(A) Err]]^2</f>
        <v>103.52821387659739</v>
      </c>
      <c r="AK830" s="6">
        <f>Table2[[#This Row],[EV]]-Table2[[#This Row],[Spread]]</f>
        <v>11.170248710848227</v>
      </c>
      <c r="AL830" s="1">
        <f>Table2[[#This Row],[EV Err]]^2</f>
        <v>124.77445626220648</v>
      </c>
    </row>
    <row r="831" spans="1:38" x14ac:dyDescent="0.25">
      <c r="A831" t="s">
        <v>152</v>
      </c>
      <c r="B831" t="s">
        <v>28</v>
      </c>
      <c r="C831" t="s">
        <v>18</v>
      </c>
      <c r="K831" s="25">
        <f>(Table2[[#This Row],[Home Pace]]/100)*(VLOOKUP(Table2[[#This Row],[Home/Neutral]],home_lookup,8,FALSE)+VLOOKUP(Table2[[#This Row],[Home/Neutral]],OFR_lookup,2,FALSE)+VLOOKUP(Table2[[#This Row],[Visitor/Neutral]],def_diff_lookup,6,FALSE))</f>
        <v>104.29970553204272</v>
      </c>
      <c r="L831" s="25"/>
      <c r="M831" s="25">
        <f>(Table2[[#This Row],[Away Pace]]/100)*(VLOOKUP(Table2[[#This Row],[Visitor/Neutral]],OFR_lookup,2,FALSE)+VLOOKUP(Table2[[#This Row],[Home/Neutral]],def_diff_lookup,6,FALSE))</f>
        <v>106.90346333333335</v>
      </c>
      <c r="N831" s="25"/>
      <c r="O831" s="25"/>
      <c r="P831">
        <f>VLOOKUP(Table2[[#This Row],[Home/Neutral]],pace_lookup,7,FALSE)</f>
        <v>96.3</v>
      </c>
      <c r="Q831" s="5">
        <f>VLOOKUP(Table2[[#This Row],[Visitor/Neutral]],pace_lookup,7,FALSE)</f>
        <v>99.5</v>
      </c>
      <c r="R831" s="9"/>
      <c r="V831" s="2">
        <f>-home-VLOOKUP(Table2[[#This Row],[Home/Neutral]],rtg_vlookup,4,FALSE)+VLOOKUP(Table2[[#This Row],[Visitor/Neutral]],rtg_vlookup,4,FALSE)</f>
        <v>1.5148815165876695</v>
      </c>
      <c r="W831" s="25"/>
      <c r="X831" s="2"/>
      <c r="Y831" s="2">
        <f>Table2[[#This Row],[Away EV]]-Table2[[#This Row],[Home EV]]</f>
        <v>2.6037578012906266</v>
      </c>
      <c r="Z831" s="33"/>
      <c r="AA831" s="34"/>
      <c r="AB831" s="5" t="b">
        <f>IF(VLOOKUP(Table2[[#This Row],[Home/Neutral]],division_lookup,9,FALSE)=VLOOKUP(Table2[[#This Row],[Visitor/Neutral]],division_lookup,9,FALSE),TRUE,FALSE)</f>
        <v>0</v>
      </c>
      <c r="AC831" s="19" t="str">
        <f>VLOOKUP(Table2[[#This Row],[Home/Neutral]],division_lookup,9,FALSE)</f>
        <v>SE</v>
      </c>
      <c r="AD831" s="19"/>
      <c r="AE831" s="19" t="str">
        <f>IF(Table2[[#This Row],[Total EV ®]]&lt;Table2[[#This Row],[Total (V)]],"UNDER","OVER")</f>
        <v>OVER</v>
      </c>
      <c r="AF831" s="30">
        <f>Table2[[#This Row],[(A) Spread]]-Table2[[#This Row],[Spread (V)]]</f>
        <v>0</v>
      </c>
      <c r="AG831" s="19"/>
      <c r="AH831" s="2">
        <f>Table2[[#This Row],[EV]]-Table2[[#This Row],[Spread (V)]]</f>
        <v>2.6037578012906266</v>
      </c>
      <c r="AI831" s="22">
        <f>Table2[[#This Row],[(A)]]-Table2[[#This Row],[Spread]]</f>
        <v>1.5148815165876695</v>
      </c>
      <c r="AJ831" s="1">
        <f>Table2[[#This Row],[(A) Err]]^2</f>
        <v>2.2948660092989575</v>
      </c>
      <c r="AK831" s="6">
        <f>Table2[[#This Row],[EV]]-Table2[[#This Row],[Spread]]</f>
        <v>2.6037578012906266</v>
      </c>
      <c r="AL831" s="1">
        <f>Table2[[#This Row],[EV Err]]^2</f>
        <v>6.7795546877817978</v>
      </c>
    </row>
    <row r="832" spans="1:38" x14ac:dyDescent="0.25">
      <c r="A832" t="s">
        <v>153</v>
      </c>
      <c r="B832" t="s">
        <v>13</v>
      </c>
      <c r="C832" t="s">
        <v>14</v>
      </c>
      <c r="K832" s="25">
        <f>(Table2[[#This Row],[Home Pace]]/100)*(VLOOKUP(Table2[[#This Row],[Home/Neutral]],home_lookup,8,FALSE)+VLOOKUP(Table2[[#This Row],[Home/Neutral]],OFR_lookup,2,FALSE)+VLOOKUP(Table2[[#This Row],[Visitor/Neutral]],def_diff_lookup,6,FALSE))</f>
        <v>107.17819108450401</v>
      </c>
      <c r="L832" s="25"/>
      <c r="M832" s="25">
        <f>(Table2[[#This Row],[Away Pace]]/100)*(VLOOKUP(Table2[[#This Row],[Visitor/Neutral]],OFR_lookup,2,FALSE)+VLOOKUP(Table2[[#This Row],[Home/Neutral]],def_diff_lookup,6,FALSE))</f>
        <v>107.87854933333335</v>
      </c>
      <c r="N832" s="25"/>
      <c r="O832" s="25"/>
      <c r="P832">
        <f>VLOOKUP(Table2[[#This Row],[Home/Neutral]],pace_lookup,7,FALSE)</f>
        <v>94.5</v>
      </c>
      <c r="Q832" s="5">
        <f>VLOOKUP(Table2[[#This Row],[Visitor/Neutral]],pace_lookup,7,FALSE)</f>
        <v>95.9</v>
      </c>
      <c r="R832" s="9"/>
      <c r="V832" s="2">
        <f>-home-VLOOKUP(Table2[[#This Row],[Home/Neutral]],rtg_vlookup,4,FALSE)+VLOOKUP(Table2[[#This Row],[Visitor/Neutral]],rtg_vlookup,4,FALSE)</f>
        <v>-3.3951184834123316</v>
      </c>
      <c r="W832" s="25"/>
      <c r="X832" s="2"/>
      <c r="Y832" s="2">
        <f>Table2[[#This Row],[Away EV]]-Table2[[#This Row],[Home EV]]</f>
        <v>0.70035824882934605</v>
      </c>
      <c r="Z832" s="33"/>
      <c r="AA832" s="34"/>
      <c r="AB832" s="5" t="b">
        <f>IF(VLOOKUP(Table2[[#This Row],[Home/Neutral]],division_lookup,9,FALSE)=VLOOKUP(Table2[[#This Row],[Visitor/Neutral]],division_lookup,9,FALSE),TRUE,FALSE)</f>
        <v>0</v>
      </c>
      <c r="AC832" s="19" t="str">
        <f>VLOOKUP(Table2[[#This Row],[Home/Neutral]],division_lookup,9,FALSE)</f>
        <v>C</v>
      </c>
      <c r="AD832" s="19"/>
      <c r="AE832" s="19" t="str">
        <f>IF(Table2[[#This Row],[Total EV ®]]&lt;Table2[[#This Row],[Total (V)]],"UNDER","OVER")</f>
        <v>OVER</v>
      </c>
      <c r="AF832" s="30">
        <f>Table2[[#This Row],[(A) Spread]]-Table2[[#This Row],[Spread (V)]]</f>
        <v>0</v>
      </c>
      <c r="AG832" s="19"/>
      <c r="AH832" s="2">
        <f>Table2[[#This Row],[EV]]-Table2[[#This Row],[Spread (V)]]</f>
        <v>0.70035824882934605</v>
      </c>
      <c r="AI832" s="22">
        <f>Table2[[#This Row],[(A)]]-Table2[[#This Row],[Spread]]</f>
        <v>-3.3951184834123316</v>
      </c>
      <c r="AJ832" s="1">
        <f>Table2[[#This Row],[(A) Err]]^2</f>
        <v>11.52682951640805</v>
      </c>
      <c r="AK832" s="6">
        <f>Table2[[#This Row],[EV]]-Table2[[#This Row],[Spread]]</f>
        <v>0.70035824882934605</v>
      </c>
      <c r="AL832" s="1">
        <f>Table2[[#This Row],[EV Err]]^2</f>
        <v>0.49050167670330819</v>
      </c>
    </row>
    <row r="833" spans="1:38" x14ac:dyDescent="0.25">
      <c r="A833" t="s">
        <v>153</v>
      </c>
      <c r="B833" t="s">
        <v>24</v>
      </c>
      <c r="C833" t="s">
        <v>29</v>
      </c>
      <c r="K833" s="25">
        <f>(Table2[[#This Row],[Home Pace]]/100)*(VLOOKUP(Table2[[#This Row],[Home/Neutral]],home_lookup,8,FALSE)+VLOOKUP(Table2[[#This Row],[Home/Neutral]],OFR_lookup,2,FALSE)+VLOOKUP(Table2[[#This Row],[Visitor/Neutral]],def_diff_lookup,6,FALSE))</f>
        <v>112.5031843283094</v>
      </c>
      <c r="L833" s="25"/>
      <c r="M833" s="25">
        <f>(Table2[[#This Row],[Away Pace]]/100)*(VLOOKUP(Table2[[#This Row],[Visitor/Neutral]],OFR_lookup,2,FALSE)+VLOOKUP(Table2[[#This Row],[Home/Neutral]],def_diff_lookup,6,FALSE))</f>
        <v>104.40940533333334</v>
      </c>
      <c r="N833" s="25"/>
      <c r="O833" s="25"/>
      <c r="P833">
        <f>VLOOKUP(Table2[[#This Row],[Home/Neutral]],pace_lookup,7,FALSE)</f>
        <v>99.9</v>
      </c>
      <c r="Q833" s="5">
        <f>VLOOKUP(Table2[[#This Row],[Visitor/Neutral]],pace_lookup,7,FALSE)</f>
        <v>93.8</v>
      </c>
      <c r="R833" s="9"/>
      <c r="V833" s="2">
        <f>-home-VLOOKUP(Table2[[#This Row],[Home/Neutral]],rtg_vlookup,4,FALSE)+VLOOKUP(Table2[[#This Row],[Visitor/Neutral]],rtg_vlookup,4,FALSE)</f>
        <v>-5.2751184834123306</v>
      </c>
      <c r="W833" s="25"/>
      <c r="X833" s="2"/>
      <c r="Y833" s="2">
        <f>Table2[[#This Row],[Away EV]]-Table2[[#This Row],[Home EV]]</f>
        <v>-8.0937789949760628</v>
      </c>
      <c r="Z833" s="33"/>
      <c r="AA833" s="34"/>
      <c r="AB833" s="5" t="b">
        <f>IF(VLOOKUP(Table2[[#This Row],[Home/Neutral]],division_lookup,9,FALSE)=VLOOKUP(Table2[[#This Row],[Visitor/Neutral]],division_lookup,9,FALSE),TRUE,FALSE)</f>
        <v>1</v>
      </c>
      <c r="AC833" s="19" t="str">
        <f>VLOOKUP(Table2[[#This Row],[Home/Neutral]],division_lookup,9,FALSE)</f>
        <v>P</v>
      </c>
      <c r="AD833" s="19"/>
      <c r="AE833" s="19" t="str">
        <f>IF(Table2[[#This Row],[Total EV ®]]&lt;Table2[[#This Row],[Total (V)]],"UNDER","OVER")</f>
        <v>OVER</v>
      </c>
      <c r="AF833" s="30">
        <f>Table2[[#This Row],[(A) Spread]]-Table2[[#This Row],[Spread (V)]]</f>
        <v>0</v>
      </c>
      <c r="AG833" s="19"/>
      <c r="AH833" s="2">
        <f>Table2[[#This Row],[EV]]-Table2[[#This Row],[Spread (V)]]</f>
        <v>-8.0937789949760628</v>
      </c>
      <c r="AI833" s="22">
        <f>Table2[[#This Row],[(A)]]-Table2[[#This Row],[Spread]]</f>
        <v>-5.2751184834123306</v>
      </c>
      <c r="AJ833" s="1">
        <f>Table2[[#This Row],[(A) Err]]^2</f>
        <v>27.826875014038407</v>
      </c>
      <c r="AK833" s="6">
        <f>Table2[[#This Row],[EV]]-Table2[[#This Row],[Spread]]</f>
        <v>-8.0937789949760628</v>
      </c>
      <c r="AL833" s="1">
        <f>Table2[[#This Row],[EV Err]]^2</f>
        <v>65.509258419515731</v>
      </c>
    </row>
    <row r="834" spans="1:38" x14ac:dyDescent="0.25">
      <c r="A834" t="s">
        <v>153</v>
      </c>
      <c r="B834" t="s">
        <v>22</v>
      </c>
      <c r="C834" t="s">
        <v>8</v>
      </c>
      <c r="K834" s="25">
        <f>(Table2[[#This Row],[Home Pace]]/100)*(VLOOKUP(Table2[[#This Row],[Home/Neutral]],home_lookup,8,FALSE)+VLOOKUP(Table2[[#This Row],[Home/Neutral]],OFR_lookup,2,FALSE)+VLOOKUP(Table2[[#This Row],[Visitor/Neutral]],def_diff_lookup,6,FALSE))</f>
        <v>109.05981922968977</v>
      </c>
      <c r="L834" s="25"/>
      <c r="M834" s="25">
        <f>(Table2[[#This Row],[Away Pace]]/100)*(VLOOKUP(Table2[[#This Row],[Visitor/Neutral]],OFR_lookup,2,FALSE)+VLOOKUP(Table2[[#This Row],[Home/Neutral]],def_diff_lookup,6,FALSE))</f>
        <v>111.994488</v>
      </c>
      <c r="N834" s="25"/>
      <c r="O834" s="25"/>
      <c r="P834">
        <f>VLOOKUP(Table2[[#This Row],[Home/Neutral]],pace_lookup,7,FALSE)</f>
        <v>94.7</v>
      </c>
      <c r="Q834" s="5">
        <f>VLOOKUP(Table2[[#This Row],[Visitor/Neutral]],pace_lookup,7,FALSE)</f>
        <v>97.2</v>
      </c>
      <c r="R834" s="9"/>
      <c r="V834" s="2">
        <f>-home-VLOOKUP(Table2[[#This Row],[Home/Neutral]],rtg_vlookup,4,FALSE)+VLOOKUP(Table2[[#This Row],[Visitor/Neutral]],rtg_vlookup,4,FALSE)</f>
        <v>3.2248815165876694</v>
      </c>
      <c r="W834" s="25"/>
      <c r="X834" s="2"/>
      <c r="Y834" s="2">
        <f>Table2[[#This Row],[Away EV]]-Table2[[#This Row],[Home EV]]</f>
        <v>2.934668770310239</v>
      </c>
      <c r="Z834" s="33"/>
      <c r="AA834" s="34"/>
      <c r="AB834" s="5" t="b">
        <f>IF(VLOOKUP(Table2[[#This Row],[Home/Neutral]],division_lookup,9,FALSE)=VLOOKUP(Table2[[#This Row],[Visitor/Neutral]],division_lookup,9,FALSE),TRUE,FALSE)</f>
        <v>0</v>
      </c>
      <c r="AC834" s="19" t="str">
        <f>VLOOKUP(Table2[[#This Row],[Home/Neutral]],division_lookup,9,FALSE)</f>
        <v>NW</v>
      </c>
      <c r="AD834" s="19"/>
      <c r="AE834" s="19" t="str">
        <f>IF(Table2[[#This Row],[Total EV ®]]&lt;Table2[[#This Row],[Total (V)]],"UNDER","OVER")</f>
        <v>OVER</v>
      </c>
      <c r="AF834" s="30">
        <f>Table2[[#This Row],[(A) Spread]]-Table2[[#This Row],[Spread (V)]]</f>
        <v>0</v>
      </c>
      <c r="AG834" s="19"/>
      <c r="AH834" s="2">
        <f>Table2[[#This Row],[EV]]-Table2[[#This Row],[Spread (V)]]</f>
        <v>2.934668770310239</v>
      </c>
      <c r="AI834" s="22">
        <f>Table2[[#This Row],[(A)]]-Table2[[#This Row],[Spread]]</f>
        <v>3.2248815165876694</v>
      </c>
      <c r="AJ834" s="1">
        <f>Table2[[#This Row],[(A) Err]]^2</f>
        <v>10.399860796028786</v>
      </c>
      <c r="AK834" s="6">
        <f>Table2[[#This Row],[EV]]-Table2[[#This Row],[Spread]]</f>
        <v>2.934668770310239</v>
      </c>
      <c r="AL834" s="1">
        <f>Table2[[#This Row],[EV Err]]^2</f>
        <v>8.6122807914342108</v>
      </c>
    </row>
    <row r="835" spans="1:38" x14ac:dyDescent="0.25">
      <c r="A835" t="s">
        <v>154</v>
      </c>
      <c r="B835" t="s">
        <v>26</v>
      </c>
      <c r="C835" t="s">
        <v>39</v>
      </c>
      <c r="K835" s="25">
        <f>(Table2[[#This Row],[Home Pace]]/100)*(VLOOKUP(Table2[[#This Row],[Home/Neutral]],home_lookup,8,FALSE)+VLOOKUP(Table2[[#This Row],[Home/Neutral]],OFR_lookup,2,FALSE)+VLOOKUP(Table2[[#This Row],[Visitor/Neutral]],def_diff_lookup,6,FALSE))</f>
        <v>109.75056358918158</v>
      </c>
      <c r="L835" s="25"/>
      <c r="M835" s="25">
        <f>(Table2[[#This Row],[Away Pace]]/100)*(VLOOKUP(Table2[[#This Row],[Visitor/Neutral]],OFR_lookup,2,FALSE)+VLOOKUP(Table2[[#This Row],[Home/Neutral]],def_diff_lookup,6,FALSE))</f>
        <v>99.265400000000014</v>
      </c>
      <c r="N835" s="25"/>
      <c r="O835" s="25"/>
      <c r="P835">
        <f>VLOOKUP(Table2[[#This Row],[Home/Neutral]],pace_lookup,7,FALSE)</f>
        <v>96</v>
      </c>
      <c r="Q835" s="5">
        <f>VLOOKUP(Table2[[#This Row],[Visitor/Neutral]],pace_lookup,7,FALSE)</f>
        <v>97.5</v>
      </c>
      <c r="R835" s="9"/>
      <c r="V835" s="2">
        <f>-home-VLOOKUP(Table2[[#This Row],[Home/Neutral]],rtg_vlookup,4,FALSE)+VLOOKUP(Table2[[#This Row],[Visitor/Neutral]],rtg_vlookup,4,FALSE)</f>
        <v>-11.775118483412331</v>
      </c>
      <c r="W835" s="25"/>
      <c r="X835" s="2"/>
      <c r="Y835" s="2">
        <f>Table2[[#This Row],[Away EV]]-Table2[[#This Row],[Home EV]]</f>
        <v>-10.485163589181568</v>
      </c>
      <c r="Z835" s="33"/>
      <c r="AA835" s="34"/>
      <c r="AB835" s="5" t="b">
        <f>IF(VLOOKUP(Table2[[#This Row],[Home/Neutral]],division_lookup,9,FALSE)=VLOOKUP(Table2[[#This Row],[Visitor/Neutral]],division_lookup,9,FALSE),TRUE,FALSE)</f>
        <v>1</v>
      </c>
      <c r="AC835" s="19" t="str">
        <f>VLOOKUP(Table2[[#This Row],[Home/Neutral]],division_lookup,9,FALSE)</f>
        <v>A</v>
      </c>
      <c r="AD835" s="19"/>
      <c r="AE835" s="19" t="str">
        <f>IF(Table2[[#This Row],[Total EV ®]]&lt;Table2[[#This Row],[Total (V)]],"UNDER","OVER")</f>
        <v>OVER</v>
      </c>
      <c r="AF835" s="30">
        <f>Table2[[#This Row],[(A) Spread]]-Table2[[#This Row],[Spread (V)]]</f>
        <v>0</v>
      </c>
      <c r="AG835" s="19"/>
      <c r="AH835" s="2">
        <f>Table2[[#This Row],[EV]]-Table2[[#This Row],[Spread (V)]]</f>
        <v>-10.485163589181568</v>
      </c>
      <c r="AI835" s="22">
        <f>Table2[[#This Row],[(A)]]-Table2[[#This Row],[Spread]]</f>
        <v>-11.775118483412331</v>
      </c>
      <c r="AJ835" s="1">
        <f>Table2[[#This Row],[(A) Err]]^2</f>
        <v>138.65341529839873</v>
      </c>
      <c r="AK835" s="6">
        <f>Table2[[#This Row],[EV]]-Table2[[#This Row],[Spread]]</f>
        <v>-10.485163589181568</v>
      </c>
      <c r="AL835" s="1">
        <f>Table2[[#This Row],[EV Err]]^2</f>
        <v>109.93865549189888</v>
      </c>
    </row>
    <row r="836" spans="1:38" x14ac:dyDescent="0.25">
      <c r="A836" t="s">
        <v>154</v>
      </c>
      <c r="B836" t="s">
        <v>35</v>
      </c>
      <c r="C836" t="s">
        <v>30</v>
      </c>
      <c r="K836" s="25">
        <f>(Table2[[#This Row],[Home Pace]]/100)*(VLOOKUP(Table2[[#This Row],[Home/Neutral]],home_lookup,8,FALSE)+VLOOKUP(Table2[[#This Row],[Home/Neutral]],OFR_lookup,2,FALSE)+VLOOKUP(Table2[[#This Row],[Visitor/Neutral]],def_diff_lookup,6,FALSE))</f>
        <v>109.59251121209626</v>
      </c>
      <c r="L836" s="25"/>
      <c r="M836" s="25">
        <f>(Table2[[#This Row],[Away Pace]]/100)*(VLOOKUP(Table2[[#This Row],[Visitor/Neutral]],OFR_lookup,2,FALSE)+VLOOKUP(Table2[[#This Row],[Home/Neutral]],def_diff_lookup,6,FALSE))</f>
        <v>105.80304533333333</v>
      </c>
      <c r="N836" s="25"/>
      <c r="O836" s="25"/>
      <c r="P836">
        <f>VLOOKUP(Table2[[#This Row],[Home/Neutral]],pace_lookup,7,FALSE)</f>
        <v>102.2</v>
      </c>
      <c r="Q836" s="5">
        <f>VLOOKUP(Table2[[#This Row],[Visitor/Neutral]],pace_lookup,7,FALSE)</f>
        <v>96.8</v>
      </c>
      <c r="R836" s="9"/>
      <c r="V836" s="2">
        <f>-home-VLOOKUP(Table2[[#This Row],[Home/Neutral]],rtg_vlookup,4,FALSE)+VLOOKUP(Table2[[#This Row],[Visitor/Neutral]],rtg_vlookup,4,FALSE)</f>
        <v>1.0748815165876691</v>
      </c>
      <c r="W836" s="25"/>
      <c r="X836" s="2"/>
      <c r="Y836" s="2">
        <f>Table2[[#This Row],[Away EV]]-Table2[[#This Row],[Home EV]]</f>
        <v>-3.7894658787629254</v>
      </c>
      <c r="Z836" s="33"/>
      <c r="AA836" s="34"/>
      <c r="AB836" s="5" t="b">
        <f>IF(VLOOKUP(Table2[[#This Row],[Home/Neutral]],division_lookup,9,FALSE)=VLOOKUP(Table2[[#This Row],[Visitor/Neutral]],division_lookup,9,FALSE),TRUE,FALSE)</f>
        <v>0</v>
      </c>
      <c r="AC836" s="19" t="str">
        <f>VLOOKUP(Table2[[#This Row],[Home/Neutral]],division_lookup,9,FALSE)</f>
        <v>A</v>
      </c>
      <c r="AD836" s="19"/>
      <c r="AE836" s="19" t="str">
        <f>IF(Table2[[#This Row],[Total EV ®]]&lt;Table2[[#This Row],[Total (V)]],"UNDER","OVER")</f>
        <v>OVER</v>
      </c>
      <c r="AF836" s="30">
        <f>Table2[[#This Row],[(A) Spread]]-Table2[[#This Row],[Spread (V)]]</f>
        <v>0</v>
      </c>
      <c r="AG836" s="19"/>
      <c r="AH836" s="2">
        <f>Table2[[#This Row],[EV]]-Table2[[#This Row],[Spread (V)]]</f>
        <v>-3.7894658787629254</v>
      </c>
      <c r="AI836" s="22">
        <f>Table2[[#This Row],[(A)]]-Table2[[#This Row],[Spread]]</f>
        <v>1.0748815165876691</v>
      </c>
      <c r="AJ836" s="1">
        <f>Table2[[#This Row],[(A) Err]]^2</f>
        <v>1.1553702747018075</v>
      </c>
      <c r="AK836" s="6">
        <f>Table2[[#This Row],[EV]]-Table2[[#This Row],[Spread]]</f>
        <v>-3.7894658787629254</v>
      </c>
      <c r="AL836" s="1">
        <f>Table2[[#This Row],[EV Err]]^2</f>
        <v>14.36005164630847</v>
      </c>
    </row>
    <row r="837" spans="1:38" x14ac:dyDescent="0.25">
      <c r="A837" t="s">
        <v>154</v>
      </c>
      <c r="B837" t="s">
        <v>8</v>
      </c>
      <c r="C837" t="s">
        <v>33</v>
      </c>
      <c r="K837" s="25">
        <f>(Table2[[#This Row],[Home Pace]]/100)*(VLOOKUP(Table2[[#This Row],[Home/Neutral]],home_lookup,8,FALSE)+VLOOKUP(Table2[[#This Row],[Home/Neutral]],OFR_lookup,2,FALSE)+VLOOKUP(Table2[[#This Row],[Visitor/Neutral]],def_diff_lookup,6,FALSE))</f>
        <v>107.1972603689818</v>
      </c>
      <c r="L837" s="25"/>
      <c r="M837" s="25">
        <f>(Table2[[#This Row],[Away Pace]]/100)*(VLOOKUP(Table2[[#This Row],[Visitor/Neutral]],OFR_lookup,2,FALSE)+VLOOKUP(Table2[[#This Row],[Home/Neutral]],def_diff_lookup,6,FALSE))</f>
        <v>99.752214666666674</v>
      </c>
      <c r="N837" s="25"/>
      <c r="O837" s="25"/>
      <c r="P837">
        <f>VLOOKUP(Table2[[#This Row],[Home/Neutral]],pace_lookup,7,FALSE)</f>
        <v>97.2</v>
      </c>
      <c r="Q837" s="5">
        <f>VLOOKUP(Table2[[#This Row],[Visitor/Neutral]],pace_lookup,7,FALSE)</f>
        <v>98.2</v>
      </c>
      <c r="R837" s="9"/>
      <c r="V837" s="2">
        <f>-home-VLOOKUP(Table2[[#This Row],[Home/Neutral]],rtg_vlookup,4,FALSE)+VLOOKUP(Table2[[#This Row],[Visitor/Neutral]],rtg_vlookup,4,FALSE)</f>
        <v>-14.82511848341233</v>
      </c>
      <c r="W837" s="25"/>
      <c r="X837" s="2"/>
      <c r="Y837" s="2">
        <f>Table2[[#This Row],[Away EV]]-Table2[[#This Row],[Home EV]]</f>
        <v>-7.4450457023151273</v>
      </c>
      <c r="Z837" s="33"/>
      <c r="AA837" s="34"/>
      <c r="AB837" s="5" t="b">
        <f>IF(VLOOKUP(Table2[[#This Row],[Home/Neutral]],division_lookup,9,FALSE)=VLOOKUP(Table2[[#This Row],[Visitor/Neutral]],division_lookup,9,FALSE),TRUE,FALSE)</f>
        <v>1</v>
      </c>
      <c r="AC837" s="19" t="str">
        <f>VLOOKUP(Table2[[#This Row],[Home/Neutral]],division_lookup,9,FALSE)</f>
        <v>C</v>
      </c>
      <c r="AD837" s="19"/>
      <c r="AE837" s="19" t="str">
        <f>IF(Table2[[#This Row],[Total EV ®]]&lt;Table2[[#This Row],[Total (V)]],"UNDER","OVER")</f>
        <v>OVER</v>
      </c>
      <c r="AF837" s="30">
        <f>Table2[[#This Row],[(A) Spread]]-Table2[[#This Row],[Spread (V)]]</f>
        <v>0</v>
      </c>
      <c r="AG837" s="19"/>
      <c r="AH837" s="2">
        <f>Table2[[#This Row],[EV]]-Table2[[#This Row],[Spread (V)]]</f>
        <v>-7.4450457023151273</v>
      </c>
      <c r="AI837" s="22">
        <f>Table2[[#This Row],[(A)]]-Table2[[#This Row],[Spread]]</f>
        <v>-14.82511848341233</v>
      </c>
      <c r="AJ837" s="1">
        <f>Table2[[#This Row],[(A) Err]]^2</f>
        <v>219.78413804721393</v>
      </c>
      <c r="AK837" s="6">
        <f>Table2[[#This Row],[EV]]-Table2[[#This Row],[Spread]]</f>
        <v>-7.4450457023151273</v>
      </c>
      <c r="AL837" s="1">
        <f>Table2[[#This Row],[EV Err]]^2</f>
        <v>55.428705509560949</v>
      </c>
    </row>
    <row r="838" spans="1:38" x14ac:dyDescent="0.25">
      <c r="A838" t="s">
        <v>154</v>
      </c>
      <c r="B838" t="s">
        <v>27</v>
      </c>
      <c r="C838" t="s">
        <v>22</v>
      </c>
      <c r="K838" s="25">
        <f>(Table2[[#This Row],[Home Pace]]/100)*(VLOOKUP(Table2[[#This Row],[Home/Neutral]],home_lookup,8,FALSE)+VLOOKUP(Table2[[#This Row],[Home/Neutral]],OFR_lookup,2,FALSE)+VLOOKUP(Table2[[#This Row],[Visitor/Neutral]],def_diff_lookup,6,FALSE))</f>
        <v>108.54495642647258</v>
      </c>
      <c r="L838" s="25"/>
      <c r="M838" s="25">
        <f>(Table2[[#This Row],[Away Pace]]/100)*(VLOOKUP(Table2[[#This Row],[Visitor/Neutral]],OFR_lookup,2,FALSE)+VLOOKUP(Table2[[#This Row],[Home/Neutral]],def_diff_lookup,6,FALSE))</f>
        <v>104.94717133333336</v>
      </c>
      <c r="N838" s="25"/>
      <c r="O838" s="25"/>
      <c r="P838">
        <f>VLOOKUP(Table2[[#This Row],[Home/Neutral]],pace_lookup,7,FALSE)</f>
        <v>99</v>
      </c>
      <c r="Q838" s="5">
        <f>VLOOKUP(Table2[[#This Row],[Visitor/Neutral]],pace_lookup,7,FALSE)</f>
        <v>94.7</v>
      </c>
      <c r="R838" s="9"/>
      <c r="V838" s="2">
        <f>-home-VLOOKUP(Table2[[#This Row],[Home/Neutral]],rtg_vlookup,4,FALSE)+VLOOKUP(Table2[[#This Row],[Visitor/Neutral]],rtg_vlookup,4,FALSE)</f>
        <v>-1.2251184834123308</v>
      </c>
      <c r="W838" s="25"/>
      <c r="X838" s="2"/>
      <c r="Y838" s="2">
        <f>Table2[[#This Row],[Away EV]]-Table2[[#This Row],[Home EV]]</f>
        <v>-3.5977850931392226</v>
      </c>
      <c r="Z838" s="33"/>
      <c r="AA838" s="34"/>
      <c r="AB838" s="5" t="b">
        <f>IF(VLOOKUP(Table2[[#This Row],[Home/Neutral]],division_lookup,9,FALSE)=VLOOKUP(Table2[[#This Row],[Visitor/Neutral]],division_lookup,9,FALSE),TRUE,FALSE)</f>
        <v>1</v>
      </c>
      <c r="AC838" s="19" t="str">
        <f>VLOOKUP(Table2[[#This Row],[Home/Neutral]],division_lookup,9,FALSE)</f>
        <v>NW</v>
      </c>
      <c r="AD838" s="19"/>
      <c r="AE838" s="19" t="str">
        <f>IF(Table2[[#This Row],[Total EV ®]]&lt;Table2[[#This Row],[Total (V)]],"UNDER","OVER")</f>
        <v>OVER</v>
      </c>
      <c r="AF838" s="30">
        <f>Table2[[#This Row],[(A) Spread]]-Table2[[#This Row],[Spread (V)]]</f>
        <v>0</v>
      </c>
      <c r="AG838" s="19"/>
      <c r="AH838" s="2">
        <f>Table2[[#This Row],[EV]]-Table2[[#This Row],[Spread (V)]]</f>
        <v>-3.5977850931392226</v>
      </c>
      <c r="AI838" s="22">
        <f>Table2[[#This Row],[(A)]]-Table2[[#This Row],[Spread]]</f>
        <v>-1.2251184834123308</v>
      </c>
      <c r="AJ838" s="1">
        <f>Table2[[#This Row],[(A) Err]]^2</f>
        <v>1.5009152983985294</v>
      </c>
      <c r="AK838" s="6">
        <f>Table2[[#This Row],[EV]]-Table2[[#This Row],[Spread]]</f>
        <v>-3.5977850931392226</v>
      </c>
      <c r="AL838" s="1">
        <f>Table2[[#This Row],[EV Err]]^2</f>
        <v>12.944057576414805</v>
      </c>
    </row>
    <row r="839" spans="1:38" x14ac:dyDescent="0.25">
      <c r="A839" t="s">
        <v>154</v>
      </c>
      <c r="B839" t="s">
        <v>25</v>
      </c>
      <c r="C839" t="s">
        <v>37</v>
      </c>
      <c r="K839" s="25">
        <f>(Table2[[#This Row],[Home Pace]]/100)*(VLOOKUP(Table2[[#This Row],[Home/Neutral]],home_lookup,8,FALSE)+VLOOKUP(Table2[[#This Row],[Home/Neutral]],OFR_lookup,2,FALSE)+VLOOKUP(Table2[[#This Row],[Visitor/Neutral]],def_diff_lookup,6,FALSE))</f>
        <v>100.38350444427256</v>
      </c>
      <c r="L839" s="25"/>
      <c r="M839" s="25">
        <f>(Table2[[#This Row],[Away Pace]]/100)*(VLOOKUP(Table2[[#This Row],[Visitor/Neutral]],OFR_lookup,2,FALSE)+VLOOKUP(Table2[[#This Row],[Home/Neutral]],def_diff_lookup,6,FALSE))</f>
        <v>84.797084000000012</v>
      </c>
      <c r="N839" s="25"/>
      <c r="O839" s="25"/>
      <c r="P839">
        <f>VLOOKUP(Table2[[#This Row],[Home/Neutral]],pace_lookup,7,FALSE)</f>
        <v>94.4</v>
      </c>
      <c r="Q839" s="5">
        <f>VLOOKUP(Table2[[#This Row],[Visitor/Neutral]],pace_lookup,7,FALSE)</f>
        <v>92.1</v>
      </c>
      <c r="R839" s="9"/>
      <c r="V839" s="2">
        <f>-home-VLOOKUP(Table2[[#This Row],[Home/Neutral]],rtg_vlookup,4,FALSE)+VLOOKUP(Table2[[#This Row],[Visitor/Neutral]],rtg_vlookup,4,FALSE)</f>
        <v>-10.195118483412331</v>
      </c>
      <c r="W839" s="25"/>
      <c r="X839" s="2"/>
      <c r="Y839" s="2">
        <f>Table2[[#This Row],[Away EV]]-Table2[[#This Row],[Home EV]]</f>
        <v>-15.586420444272548</v>
      </c>
      <c r="Z839" s="33"/>
      <c r="AA839" s="34"/>
      <c r="AB839" s="5" t="b">
        <f>IF(VLOOKUP(Table2[[#This Row],[Home/Neutral]],division_lookup,9,FALSE)=VLOOKUP(Table2[[#This Row],[Visitor/Neutral]],division_lookup,9,FALSE),TRUE,FALSE)</f>
        <v>0</v>
      </c>
      <c r="AC839" s="19" t="str">
        <f>VLOOKUP(Table2[[#This Row],[Home/Neutral]],division_lookup,9,FALSE)</f>
        <v>C</v>
      </c>
      <c r="AD839" s="19"/>
      <c r="AE839" s="19" t="str">
        <f>IF(Table2[[#This Row],[Total EV ®]]&lt;Table2[[#This Row],[Total (V)]],"UNDER","OVER")</f>
        <v>OVER</v>
      </c>
      <c r="AF839" s="30">
        <f>Table2[[#This Row],[(A) Spread]]-Table2[[#This Row],[Spread (V)]]</f>
        <v>0</v>
      </c>
      <c r="AG839" s="19"/>
      <c r="AH839" s="2">
        <f>Table2[[#This Row],[EV]]-Table2[[#This Row],[Spread (V)]]</f>
        <v>-15.586420444272548</v>
      </c>
      <c r="AI839" s="22">
        <f>Table2[[#This Row],[(A)]]-Table2[[#This Row],[Spread]]</f>
        <v>-10.195118483412331</v>
      </c>
      <c r="AJ839" s="1">
        <f>Table2[[#This Row],[(A) Err]]^2</f>
        <v>103.94044089081575</v>
      </c>
      <c r="AK839" s="6">
        <f>Table2[[#This Row],[EV]]-Table2[[#This Row],[Spread]]</f>
        <v>-15.586420444272548</v>
      </c>
      <c r="AL839" s="1">
        <f>Table2[[#This Row],[EV Err]]^2</f>
        <v>242.93650226563724</v>
      </c>
    </row>
    <row r="840" spans="1:38" x14ac:dyDescent="0.25">
      <c r="A840" t="s">
        <v>154</v>
      </c>
      <c r="B840" t="s">
        <v>10</v>
      </c>
      <c r="C840" t="s">
        <v>29</v>
      </c>
      <c r="K840" s="25">
        <f>(Table2[[#This Row],[Home Pace]]/100)*(VLOOKUP(Table2[[#This Row],[Home/Neutral]],home_lookup,8,FALSE)+VLOOKUP(Table2[[#This Row],[Home/Neutral]],OFR_lookup,2,FALSE)+VLOOKUP(Table2[[#This Row],[Visitor/Neutral]],def_diff_lookup,6,FALSE))</f>
        <v>110.5262985379056</v>
      </c>
      <c r="L840" s="25"/>
      <c r="M840" s="25">
        <f>(Table2[[#This Row],[Away Pace]]/100)*(VLOOKUP(Table2[[#This Row],[Visitor/Neutral]],OFR_lookup,2,FALSE)+VLOOKUP(Table2[[#This Row],[Home/Neutral]],def_diff_lookup,6,FALSE))</f>
        <v>102.16758533333334</v>
      </c>
      <c r="N840" s="25"/>
      <c r="O840" s="25"/>
      <c r="P840">
        <f>VLOOKUP(Table2[[#This Row],[Home/Neutral]],pace_lookup,7,FALSE)</f>
        <v>100.3</v>
      </c>
      <c r="Q840" s="5">
        <f>VLOOKUP(Table2[[#This Row],[Visitor/Neutral]],pace_lookup,7,FALSE)</f>
        <v>93.8</v>
      </c>
      <c r="R840" s="9"/>
      <c r="V840" s="2">
        <f>-home-VLOOKUP(Table2[[#This Row],[Home/Neutral]],rtg_vlookup,4,FALSE)+VLOOKUP(Table2[[#This Row],[Visitor/Neutral]],rtg_vlookup,4,FALSE)</f>
        <v>-13.49511848341233</v>
      </c>
      <c r="W840" s="25"/>
      <c r="X840" s="2"/>
      <c r="Y840" s="2">
        <f>Table2[[#This Row],[Away EV]]-Table2[[#This Row],[Home EV]]</f>
        <v>-8.3587132045722683</v>
      </c>
      <c r="Z840" s="33"/>
      <c r="AA840" s="34"/>
      <c r="AB840" s="5" t="b">
        <f>IF(VLOOKUP(Table2[[#This Row],[Home/Neutral]],division_lookup,9,FALSE)=VLOOKUP(Table2[[#This Row],[Visitor/Neutral]],division_lookup,9,FALSE),TRUE,FALSE)</f>
        <v>1</v>
      </c>
      <c r="AC840" s="19" t="str">
        <f>VLOOKUP(Table2[[#This Row],[Home/Neutral]],division_lookup,9,FALSE)</f>
        <v>P</v>
      </c>
      <c r="AD840" s="19"/>
      <c r="AE840" s="19" t="str">
        <f>IF(Table2[[#This Row],[Total EV ®]]&lt;Table2[[#This Row],[Total (V)]],"UNDER","OVER")</f>
        <v>OVER</v>
      </c>
      <c r="AF840" s="30">
        <f>Table2[[#This Row],[(A) Spread]]-Table2[[#This Row],[Spread (V)]]</f>
        <v>0</v>
      </c>
      <c r="AG840" s="19"/>
      <c r="AH840" s="2">
        <f>Table2[[#This Row],[EV]]-Table2[[#This Row],[Spread (V)]]</f>
        <v>-8.3587132045722683</v>
      </c>
      <c r="AI840" s="22">
        <f>Table2[[#This Row],[(A)]]-Table2[[#This Row],[Spread]]</f>
        <v>-13.49511848341233</v>
      </c>
      <c r="AJ840" s="1">
        <f>Table2[[#This Row],[(A) Err]]^2</f>
        <v>182.11822288133712</v>
      </c>
      <c r="AK840" s="6">
        <f>Table2[[#This Row],[EV]]-Table2[[#This Row],[Spread]]</f>
        <v>-8.3587132045722683</v>
      </c>
      <c r="AL840" s="1">
        <f>Table2[[#This Row],[EV Err]]^2</f>
        <v>69.868086436290795</v>
      </c>
    </row>
    <row r="841" spans="1:38" x14ac:dyDescent="0.25">
      <c r="A841" t="s">
        <v>154</v>
      </c>
      <c r="B841" t="s">
        <v>17</v>
      </c>
      <c r="C841" t="s">
        <v>21</v>
      </c>
      <c r="K841" s="25">
        <f>(Table2[[#This Row],[Home Pace]]/100)*(VLOOKUP(Table2[[#This Row],[Home/Neutral]],home_lookup,8,FALSE)+VLOOKUP(Table2[[#This Row],[Home/Neutral]],OFR_lookup,2,FALSE)+VLOOKUP(Table2[[#This Row],[Visitor/Neutral]],def_diff_lookup,6,FALSE))</f>
        <v>105.65193692873545</v>
      </c>
      <c r="L841" s="25"/>
      <c r="M841" s="25">
        <f>(Table2[[#This Row],[Away Pace]]/100)*(VLOOKUP(Table2[[#This Row],[Visitor/Neutral]],OFR_lookup,2,FALSE)+VLOOKUP(Table2[[#This Row],[Home/Neutral]],def_diff_lookup,6,FALSE))</f>
        <v>99.607708000000017</v>
      </c>
      <c r="N841" s="25"/>
      <c r="O841" s="25"/>
      <c r="P841">
        <f>VLOOKUP(Table2[[#This Row],[Home/Neutral]],pace_lookup,7,FALSE)</f>
        <v>96.7</v>
      </c>
      <c r="Q841" s="5">
        <f>VLOOKUP(Table2[[#This Row],[Visitor/Neutral]],pace_lookup,7,FALSE)</f>
        <v>94.2</v>
      </c>
      <c r="R841" s="9"/>
      <c r="V841" s="2">
        <f>-home-VLOOKUP(Table2[[#This Row],[Home/Neutral]],rtg_vlookup,4,FALSE)+VLOOKUP(Table2[[#This Row],[Visitor/Neutral]],rtg_vlookup,4,FALSE)</f>
        <v>-7.0551184834123308</v>
      </c>
      <c r="W841" s="25"/>
      <c r="X841" s="2"/>
      <c r="Y841" s="2">
        <f>Table2[[#This Row],[Away EV]]-Table2[[#This Row],[Home EV]]</f>
        <v>-6.0442289287354356</v>
      </c>
      <c r="Z841" s="33"/>
      <c r="AA841" s="34"/>
      <c r="AB841" s="5" t="b">
        <f>IF(VLOOKUP(Table2[[#This Row],[Home/Neutral]],division_lookup,9,FALSE)=VLOOKUP(Table2[[#This Row],[Visitor/Neutral]],division_lookup,9,FALSE),TRUE,FALSE)</f>
        <v>0</v>
      </c>
      <c r="AC841" s="19" t="str">
        <f>VLOOKUP(Table2[[#This Row],[Home/Neutral]],division_lookup,9,FALSE)</f>
        <v>SW</v>
      </c>
      <c r="AD841" s="19"/>
      <c r="AE841" s="19" t="str">
        <f>IF(Table2[[#This Row],[Total EV ®]]&lt;Table2[[#This Row],[Total (V)]],"UNDER","OVER")</f>
        <v>OVER</v>
      </c>
      <c r="AF841" s="30">
        <f>Table2[[#This Row],[(A) Spread]]-Table2[[#This Row],[Spread (V)]]</f>
        <v>0</v>
      </c>
      <c r="AG841" s="19"/>
      <c r="AH841" s="2">
        <f>Table2[[#This Row],[EV]]-Table2[[#This Row],[Spread (V)]]</f>
        <v>-6.0442289287354356</v>
      </c>
      <c r="AI841" s="22">
        <f>Table2[[#This Row],[(A)]]-Table2[[#This Row],[Spread]]</f>
        <v>-7.0551184834123308</v>
      </c>
      <c r="AJ841" s="1">
        <f>Table2[[#This Row],[(A) Err]]^2</f>
        <v>49.774696814986306</v>
      </c>
      <c r="AK841" s="6">
        <f>Table2[[#This Row],[EV]]-Table2[[#This Row],[Spread]]</f>
        <v>-6.0442289287354356</v>
      </c>
      <c r="AL841" s="1">
        <f>Table2[[#This Row],[EV Err]]^2</f>
        <v>36.532703342962314</v>
      </c>
    </row>
    <row r="842" spans="1:38" x14ac:dyDescent="0.25">
      <c r="A842" t="s">
        <v>154</v>
      </c>
      <c r="B842" t="s">
        <v>4</v>
      </c>
      <c r="C842" t="s">
        <v>11</v>
      </c>
      <c r="K842" s="25">
        <f>(Table2[[#This Row],[Home Pace]]/100)*(VLOOKUP(Table2[[#This Row],[Home/Neutral]],home_lookup,8,FALSE)+VLOOKUP(Table2[[#This Row],[Home/Neutral]],OFR_lookup,2,FALSE)+VLOOKUP(Table2[[#This Row],[Visitor/Neutral]],def_diff_lookup,6,FALSE))</f>
        <v>94.775947813934451</v>
      </c>
      <c r="L842" s="25"/>
      <c r="M842" s="25">
        <f>(Table2[[#This Row],[Away Pace]]/100)*(VLOOKUP(Table2[[#This Row],[Visitor/Neutral]],OFR_lookup,2,FALSE)+VLOOKUP(Table2[[#This Row],[Home/Neutral]],def_diff_lookup,6,FALSE))</f>
        <v>98.444444666666669</v>
      </c>
      <c r="N842" s="25"/>
      <c r="O842" s="25"/>
      <c r="P842">
        <f>VLOOKUP(Table2[[#This Row],[Home/Neutral]],pace_lookup,7,FALSE)</f>
        <v>96.6</v>
      </c>
      <c r="Q842" s="5">
        <f>VLOOKUP(Table2[[#This Row],[Visitor/Neutral]],pace_lookup,7,FALSE)</f>
        <v>99.7</v>
      </c>
      <c r="R842" s="9"/>
      <c r="V842" s="2">
        <f>-home-VLOOKUP(Table2[[#This Row],[Home/Neutral]],rtg_vlookup,4,FALSE)+VLOOKUP(Table2[[#This Row],[Visitor/Neutral]],rtg_vlookup,4,FALSE)</f>
        <v>-11.045118483412331</v>
      </c>
      <c r="W842" s="25"/>
      <c r="X842" s="2"/>
      <c r="Y842" s="2">
        <f>Table2[[#This Row],[Away EV]]-Table2[[#This Row],[Home EV]]</f>
        <v>3.6684968527322184</v>
      </c>
      <c r="Z842" s="33"/>
      <c r="AA842" s="34"/>
      <c r="AB842" s="5" t="b">
        <f>IF(VLOOKUP(Table2[[#This Row],[Home/Neutral]],division_lookup,9,FALSE)=VLOOKUP(Table2[[#This Row],[Visitor/Neutral]],division_lookup,9,FALSE),TRUE,FALSE)</f>
        <v>0</v>
      </c>
      <c r="AC842" s="19" t="str">
        <f>VLOOKUP(Table2[[#This Row],[Home/Neutral]],division_lookup,9,FALSE)</f>
        <v>P</v>
      </c>
      <c r="AD842" s="19"/>
      <c r="AE842" s="19" t="str">
        <f>IF(Table2[[#This Row],[Total EV ®]]&lt;Table2[[#This Row],[Total (V)]],"UNDER","OVER")</f>
        <v>OVER</v>
      </c>
      <c r="AF842" s="30">
        <f>Table2[[#This Row],[(A) Spread]]-Table2[[#This Row],[Spread (V)]]</f>
        <v>0</v>
      </c>
      <c r="AG842" s="19"/>
      <c r="AH842" s="2">
        <f>Table2[[#This Row],[EV]]-Table2[[#This Row],[Spread (V)]]</f>
        <v>3.6684968527322184</v>
      </c>
      <c r="AI842" s="22">
        <f>Table2[[#This Row],[(A)]]-Table2[[#This Row],[Spread]]</f>
        <v>-11.045118483412331</v>
      </c>
      <c r="AJ842" s="1">
        <f>Table2[[#This Row],[(A) Err]]^2</f>
        <v>121.9946423126167</v>
      </c>
      <c r="AK842" s="6">
        <f>Table2[[#This Row],[EV]]-Table2[[#This Row],[Spread]]</f>
        <v>3.6684968527322184</v>
      </c>
      <c r="AL842" s="1">
        <f>Table2[[#This Row],[EV Err]]^2</f>
        <v>13.457869158506192</v>
      </c>
    </row>
    <row r="843" spans="1:38" x14ac:dyDescent="0.25">
      <c r="A843" t="s">
        <v>154</v>
      </c>
      <c r="B843" t="s">
        <v>23</v>
      </c>
      <c r="C843" t="s">
        <v>34</v>
      </c>
      <c r="K843" s="25">
        <f>(Table2[[#This Row],[Home Pace]]/100)*(VLOOKUP(Table2[[#This Row],[Home/Neutral]],home_lookup,8,FALSE)+VLOOKUP(Table2[[#This Row],[Home/Neutral]],OFR_lookup,2,FALSE)+VLOOKUP(Table2[[#This Row],[Visitor/Neutral]],def_diff_lookup,6,FALSE))</f>
        <v>101.69388735871358</v>
      </c>
      <c r="L843" s="25"/>
      <c r="M843" s="25">
        <f>(Table2[[#This Row],[Away Pace]]/100)*(VLOOKUP(Table2[[#This Row],[Visitor/Neutral]],OFR_lookup,2,FALSE)+VLOOKUP(Table2[[#This Row],[Home/Neutral]],def_diff_lookup,6,FALSE))</f>
        <v>95.480978666666672</v>
      </c>
      <c r="N843" s="25"/>
      <c r="O843" s="25"/>
      <c r="P843">
        <f>VLOOKUP(Table2[[#This Row],[Home/Neutral]],pace_lookup,7,FALSE)</f>
        <v>92.5</v>
      </c>
      <c r="Q843" s="5">
        <f>VLOOKUP(Table2[[#This Row],[Visitor/Neutral]],pace_lookup,7,FALSE)</f>
        <v>98.8</v>
      </c>
      <c r="R843" s="9"/>
      <c r="V843" s="2">
        <f>-home-VLOOKUP(Table2[[#This Row],[Home/Neutral]],rtg_vlookup,4,FALSE)+VLOOKUP(Table2[[#This Row],[Visitor/Neutral]],rtg_vlookup,4,FALSE)</f>
        <v>-10.15511848341233</v>
      </c>
      <c r="W843" s="25"/>
      <c r="X843" s="2"/>
      <c r="Y843" s="2">
        <f>Table2[[#This Row],[Away EV]]-Table2[[#This Row],[Home EV]]</f>
        <v>-6.2129086920469092</v>
      </c>
      <c r="Z843" s="33"/>
      <c r="AA843" s="34"/>
      <c r="AB843" s="5" t="b">
        <f>IF(VLOOKUP(Table2[[#This Row],[Home/Neutral]],division_lookup,9,FALSE)=VLOOKUP(Table2[[#This Row],[Visitor/Neutral]],division_lookup,9,FALSE),TRUE,FALSE)</f>
        <v>1</v>
      </c>
      <c r="AC843" s="19" t="str">
        <f>VLOOKUP(Table2[[#This Row],[Home/Neutral]],division_lookup,9,FALSE)</f>
        <v>SW</v>
      </c>
      <c r="AD843" s="19"/>
      <c r="AE843" s="19" t="str">
        <f>IF(Table2[[#This Row],[Total EV ®]]&lt;Table2[[#This Row],[Total (V)]],"UNDER","OVER")</f>
        <v>OVER</v>
      </c>
      <c r="AF843" s="30">
        <f>Table2[[#This Row],[(A) Spread]]-Table2[[#This Row],[Spread (V)]]</f>
        <v>0</v>
      </c>
      <c r="AG843" s="19"/>
      <c r="AH843" s="2">
        <f>Table2[[#This Row],[EV]]-Table2[[#This Row],[Spread (V)]]</f>
        <v>-6.2129086920469092</v>
      </c>
      <c r="AI843" s="22">
        <f>Table2[[#This Row],[(A)]]-Table2[[#This Row],[Spread]]</f>
        <v>-10.15511848341233</v>
      </c>
      <c r="AJ843" s="1">
        <f>Table2[[#This Row],[(A) Err]]^2</f>
        <v>103.12643141214275</v>
      </c>
      <c r="AK843" s="6">
        <f>Table2[[#This Row],[EV]]-Table2[[#This Row],[Spread]]</f>
        <v>-6.2129086920469092</v>
      </c>
      <c r="AL843" s="1">
        <f>Table2[[#This Row],[EV Err]]^2</f>
        <v>38.600234415712038</v>
      </c>
    </row>
    <row r="844" spans="1:38" x14ac:dyDescent="0.25">
      <c r="A844" t="s">
        <v>154</v>
      </c>
      <c r="B844" t="s">
        <v>18</v>
      </c>
      <c r="C844" t="s">
        <v>31</v>
      </c>
      <c r="K844" s="25">
        <f>(Table2[[#This Row],[Home Pace]]/100)*(VLOOKUP(Table2[[#This Row],[Home/Neutral]],home_lookup,8,FALSE)+VLOOKUP(Table2[[#This Row],[Home/Neutral]],OFR_lookup,2,FALSE)+VLOOKUP(Table2[[#This Row],[Visitor/Neutral]],def_diff_lookup,6,FALSE))</f>
        <v>107.57165616021132</v>
      </c>
      <c r="L844" s="25"/>
      <c r="M844" s="25">
        <f>(Table2[[#This Row],[Away Pace]]/100)*(VLOOKUP(Table2[[#This Row],[Visitor/Neutral]],OFR_lookup,2,FALSE)+VLOOKUP(Table2[[#This Row],[Home/Neutral]],def_diff_lookup,6,FALSE))</f>
        <v>100.41664</v>
      </c>
      <c r="N844" s="25"/>
      <c r="O844" s="25"/>
      <c r="P844">
        <f>VLOOKUP(Table2[[#This Row],[Home/Neutral]],pace_lookup,7,FALSE)</f>
        <v>99.5</v>
      </c>
      <c r="Q844" s="5">
        <f>VLOOKUP(Table2[[#This Row],[Visitor/Neutral]],pace_lookup,7,FALSE)</f>
        <v>96</v>
      </c>
      <c r="R844" s="9"/>
      <c r="V844" s="2">
        <f>-home-VLOOKUP(Table2[[#This Row],[Home/Neutral]],rtg_vlookup,4,FALSE)+VLOOKUP(Table2[[#This Row],[Visitor/Neutral]],rtg_vlookup,4,FALSE)</f>
        <v>-7.295118483412331</v>
      </c>
      <c r="W844" s="25"/>
      <c r="X844" s="2"/>
      <c r="Y844" s="2">
        <f>Table2[[#This Row],[Away EV]]-Table2[[#This Row],[Home EV]]</f>
        <v>-7.1550161602113178</v>
      </c>
      <c r="Z844" s="33"/>
      <c r="AA844" s="34"/>
      <c r="AB844" s="5" t="b">
        <f>IF(VLOOKUP(Table2[[#This Row],[Home/Neutral]],division_lookup,9,FALSE)=VLOOKUP(Table2[[#This Row],[Visitor/Neutral]],division_lookup,9,FALSE),TRUE,FALSE)</f>
        <v>0</v>
      </c>
      <c r="AC844" s="19" t="str">
        <f>VLOOKUP(Table2[[#This Row],[Home/Neutral]],division_lookup,9,FALSE)</f>
        <v>NW</v>
      </c>
      <c r="AD844" s="19"/>
      <c r="AE844" s="19" t="str">
        <f>IF(Table2[[#This Row],[Total EV ®]]&lt;Table2[[#This Row],[Total (V)]],"UNDER","OVER")</f>
        <v>OVER</v>
      </c>
      <c r="AF844" s="30">
        <f>Table2[[#This Row],[(A) Spread]]-Table2[[#This Row],[Spread (V)]]</f>
        <v>0</v>
      </c>
      <c r="AG844" s="19"/>
      <c r="AH844" s="2">
        <f>Table2[[#This Row],[EV]]-Table2[[#This Row],[Spread (V)]]</f>
        <v>-7.1550161602113178</v>
      </c>
      <c r="AI844" s="22">
        <f>Table2[[#This Row],[(A)]]-Table2[[#This Row],[Spread]]</f>
        <v>-7.295118483412331</v>
      </c>
      <c r="AJ844" s="1">
        <f>Table2[[#This Row],[(A) Err]]^2</f>
        <v>53.218753687024225</v>
      </c>
      <c r="AK844" s="6">
        <f>Table2[[#This Row],[EV]]-Table2[[#This Row],[Spread]]</f>
        <v>-7.1550161602113178</v>
      </c>
      <c r="AL844" s="1">
        <f>Table2[[#This Row],[EV Err]]^2</f>
        <v>51.194256252885111</v>
      </c>
    </row>
    <row r="845" spans="1:38" x14ac:dyDescent="0.25">
      <c r="A845" t="s">
        <v>154</v>
      </c>
      <c r="B845" t="s">
        <v>38</v>
      </c>
      <c r="C845" t="s">
        <v>6</v>
      </c>
      <c r="K845" s="25">
        <f>(Table2[[#This Row],[Home Pace]]/100)*(VLOOKUP(Table2[[#This Row],[Home/Neutral]],home_lookup,8,FALSE)+VLOOKUP(Table2[[#This Row],[Home/Neutral]],OFR_lookup,2,FALSE)+VLOOKUP(Table2[[#This Row],[Visitor/Neutral]],def_diff_lookup,6,FALSE))</f>
        <v>103.83003167891481</v>
      </c>
      <c r="L845" s="25"/>
      <c r="M845" s="25">
        <f>(Table2[[#This Row],[Away Pace]]/100)*(VLOOKUP(Table2[[#This Row],[Visitor/Neutral]],OFR_lookup,2,FALSE)+VLOOKUP(Table2[[#This Row],[Home/Neutral]],def_diff_lookup,6,FALSE))</f>
        <v>104.38434066666667</v>
      </c>
      <c r="N845" s="25"/>
      <c r="O845" s="25"/>
      <c r="P845">
        <f>VLOOKUP(Table2[[#This Row],[Home/Neutral]],pace_lookup,7,FALSE)</f>
        <v>94.2</v>
      </c>
      <c r="Q845" s="5">
        <f>VLOOKUP(Table2[[#This Row],[Visitor/Neutral]],pace_lookup,7,FALSE)</f>
        <v>93.1</v>
      </c>
      <c r="R845" s="9"/>
      <c r="V845" s="2">
        <f>-home-VLOOKUP(Table2[[#This Row],[Home/Neutral]],rtg_vlookup,4,FALSE)+VLOOKUP(Table2[[#This Row],[Visitor/Neutral]],rtg_vlookup,4,FALSE)</f>
        <v>12.964881516587669</v>
      </c>
      <c r="W845" s="25"/>
      <c r="X845" s="2"/>
      <c r="Y845" s="2">
        <f>Table2[[#This Row],[Away EV]]-Table2[[#This Row],[Home EV]]</f>
        <v>0.55430898775186677</v>
      </c>
      <c r="Z845" s="33"/>
      <c r="AA845" s="34"/>
      <c r="AB845" s="5" t="b">
        <f>IF(VLOOKUP(Table2[[#This Row],[Home/Neutral]],division_lookup,9,FALSE)=VLOOKUP(Table2[[#This Row],[Visitor/Neutral]],division_lookup,9,FALSE),TRUE,FALSE)</f>
        <v>0</v>
      </c>
      <c r="AC845" s="19" t="str">
        <f>VLOOKUP(Table2[[#This Row],[Home/Neutral]],division_lookup,9,FALSE)</f>
        <v>SE</v>
      </c>
      <c r="AD845" s="19"/>
      <c r="AE845" s="19" t="str">
        <f>IF(Table2[[#This Row],[Total EV ®]]&lt;Table2[[#This Row],[Total (V)]],"UNDER","OVER")</f>
        <v>OVER</v>
      </c>
      <c r="AF845" s="30">
        <f>Table2[[#This Row],[(A) Spread]]-Table2[[#This Row],[Spread (V)]]</f>
        <v>0</v>
      </c>
      <c r="AG845" s="19"/>
      <c r="AH845" s="2">
        <f>Table2[[#This Row],[EV]]-Table2[[#This Row],[Spread (V)]]</f>
        <v>0.55430898775186677</v>
      </c>
      <c r="AI845" s="22">
        <f>Table2[[#This Row],[(A)]]-Table2[[#This Row],[Spread]]</f>
        <v>12.964881516587669</v>
      </c>
      <c r="AJ845" s="1">
        <f>Table2[[#This Row],[(A) Err]]^2</f>
        <v>168.08815273915656</v>
      </c>
      <c r="AK845" s="6">
        <f>Table2[[#This Row],[EV]]-Table2[[#This Row],[Spread]]</f>
        <v>0.55430898775186677</v>
      </c>
      <c r="AL845" s="1">
        <f>Table2[[#This Row],[EV Err]]^2</f>
        <v>0.30725845390249917</v>
      </c>
    </row>
    <row r="846" spans="1:38" x14ac:dyDescent="0.25">
      <c r="A846" t="s">
        <v>154</v>
      </c>
      <c r="B846" t="s">
        <v>36</v>
      </c>
      <c r="C846" t="s">
        <v>24</v>
      </c>
      <c r="K846" s="25">
        <f>(Table2[[#This Row],[Home Pace]]/100)*(VLOOKUP(Table2[[#This Row],[Home/Neutral]],home_lookup,8,FALSE)+VLOOKUP(Table2[[#This Row],[Home/Neutral]],OFR_lookup,2,FALSE)+VLOOKUP(Table2[[#This Row],[Visitor/Neutral]],def_diff_lookup,6,FALSE))</f>
        <v>111.52951156604043</v>
      </c>
      <c r="L846" s="25"/>
      <c r="M846" s="25">
        <f>(Table2[[#This Row],[Away Pace]]/100)*(VLOOKUP(Table2[[#This Row],[Visitor/Neutral]],OFR_lookup,2,FALSE)+VLOOKUP(Table2[[#This Row],[Home/Neutral]],def_diff_lookup,6,FALSE))</f>
        <v>113.26728600000001</v>
      </c>
      <c r="N846" s="25"/>
      <c r="O846" s="25"/>
      <c r="P846">
        <f>VLOOKUP(Table2[[#This Row],[Home/Neutral]],pace_lookup,7,FALSE)</f>
        <v>102.2</v>
      </c>
      <c r="Q846" s="5">
        <f>VLOOKUP(Table2[[#This Row],[Visitor/Neutral]],pace_lookup,7,FALSE)</f>
        <v>99.9</v>
      </c>
      <c r="R846" s="9"/>
      <c r="V846" s="2">
        <f>-home-VLOOKUP(Table2[[#This Row],[Home/Neutral]],rtg_vlookup,4,FALSE)+VLOOKUP(Table2[[#This Row],[Visitor/Neutral]],rtg_vlookup,4,FALSE)</f>
        <v>3.7348815165876692</v>
      </c>
      <c r="W846" s="25"/>
      <c r="X846" s="2"/>
      <c r="Y846" s="2">
        <f>Table2[[#This Row],[Away EV]]-Table2[[#This Row],[Home EV]]</f>
        <v>1.7377744339595864</v>
      </c>
      <c r="Z846" s="33"/>
      <c r="AA846" s="34"/>
      <c r="AB846" s="5" t="b">
        <f>IF(VLOOKUP(Table2[[#This Row],[Home/Neutral]],division_lookup,9,FALSE)=VLOOKUP(Table2[[#This Row],[Visitor/Neutral]],division_lookup,9,FALSE),TRUE,FALSE)</f>
        <v>1</v>
      </c>
      <c r="AC846" s="19" t="str">
        <f>VLOOKUP(Table2[[#This Row],[Home/Neutral]],division_lookup,9,FALSE)</f>
        <v>P</v>
      </c>
      <c r="AD846" s="19"/>
      <c r="AE846" s="19" t="str">
        <f>IF(Table2[[#This Row],[Total EV ®]]&lt;Table2[[#This Row],[Total (V)]],"UNDER","OVER")</f>
        <v>OVER</v>
      </c>
      <c r="AF846" s="30">
        <f>Table2[[#This Row],[(A) Spread]]-Table2[[#This Row],[Spread (V)]]</f>
        <v>0</v>
      </c>
      <c r="AG846" s="19"/>
      <c r="AH846" s="2">
        <f>Table2[[#This Row],[EV]]-Table2[[#This Row],[Spread (V)]]</f>
        <v>1.7377744339595864</v>
      </c>
      <c r="AI846" s="22">
        <f>Table2[[#This Row],[(A)]]-Table2[[#This Row],[Spread]]</f>
        <v>3.7348815165876692</v>
      </c>
      <c r="AJ846" s="1">
        <f>Table2[[#This Row],[(A) Err]]^2</f>
        <v>13.949339942948209</v>
      </c>
      <c r="AK846" s="6">
        <f>Table2[[#This Row],[EV]]-Table2[[#This Row],[Spread]]</f>
        <v>1.7377744339595864</v>
      </c>
      <c r="AL846" s="1">
        <f>Table2[[#This Row],[EV Err]]^2</f>
        <v>3.0198599833235611</v>
      </c>
    </row>
    <row r="847" spans="1:38" x14ac:dyDescent="0.25">
      <c r="A847" t="s">
        <v>154</v>
      </c>
      <c r="B847" t="s">
        <v>14</v>
      </c>
      <c r="C847" t="s">
        <v>16</v>
      </c>
      <c r="K847" s="25">
        <f>(Table2[[#This Row],[Home Pace]]/100)*(VLOOKUP(Table2[[#This Row],[Home/Neutral]],home_lookup,8,FALSE)+VLOOKUP(Table2[[#This Row],[Home/Neutral]],OFR_lookup,2,FALSE)+VLOOKUP(Table2[[#This Row],[Visitor/Neutral]],def_diff_lookup,6,FALSE))</f>
        <v>105.47035414241452</v>
      </c>
      <c r="L847" s="25"/>
      <c r="M847" s="25">
        <f>(Table2[[#This Row],[Away Pace]]/100)*(VLOOKUP(Table2[[#This Row],[Visitor/Neutral]],OFR_lookup,2,FALSE)+VLOOKUP(Table2[[#This Row],[Home/Neutral]],def_diff_lookup,6,FALSE))</f>
        <v>106.3244</v>
      </c>
      <c r="N847" s="25"/>
      <c r="O847" s="25"/>
      <c r="P847">
        <f>VLOOKUP(Table2[[#This Row],[Home/Neutral]],pace_lookup,7,FALSE)</f>
        <v>95.9</v>
      </c>
      <c r="Q847" s="5">
        <f>VLOOKUP(Table2[[#This Row],[Visitor/Neutral]],pace_lookup,7,FALSE)</f>
        <v>97.5</v>
      </c>
      <c r="R847" s="9"/>
      <c r="V847" s="2">
        <f>-home-VLOOKUP(Table2[[#This Row],[Home/Neutral]],rtg_vlookup,4,FALSE)+VLOOKUP(Table2[[#This Row],[Visitor/Neutral]],rtg_vlookup,4,FALSE)</f>
        <v>-5.0751184834123304</v>
      </c>
      <c r="W847" s="25"/>
      <c r="X847" s="2"/>
      <c r="Y847" s="2">
        <f>Table2[[#This Row],[Away EV]]-Table2[[#This Row],[Home EV]]</f>
        <v>0.85404585758547569</v>
      </c>
      <c r="Z847" s="33"/>
      <c r="AA847" s="34"/>
      <c r="AB847" s="5" t="b">
        <f>IF(VLOOKUP(Table2[[#This Row],[Home/Neutral]],division_lookup,9,FALSE)=VLOOKUP(Table2[[#This Row],[Visitor/Neutral]],division_lookup,9,FALSE),TRUE,FALSE)</f>
        <v>0</v>
      </c>
      <c r="AC847" s="19" t="str">
        <f>VLOOKUP(Table2[[#This Row],[Home/Neutral]],division_lookup,9,FALSE)</f>
        <v>A</v>
      </c>
      <c r="AD847" s="19"/>
      <c r="AE847" s="19" t="str">
        <f>IF(Table2[[#This Row],[Total EV ®]]&lt;Table2[[#This Row],[Total (V)]],"UNDER","OVER")</f>
        <v>OVER</v>
      </c>
      <c r="AF847" s="30">
        <f>Table2[[#This Row],[(A) Spread]]-Table2[[#This Row],[Spread (V)]]</f>
        <v>0</v>
      </c>
      <c r="AG847" s="19"/>
      <c r="AH847" s="2">
        <f>Table2[[#This Row],[EV]]-Table2[[#This Row],[Spread (V)]]</f>
        <v>0.85404585758547569</v>
      </c>
      <c r="AI847" s="22">
        <f>Table2[[#This Row],[(A)]]-Table2[[#This Row],[Spread]]</f>
        <v>-5.0751184834123304</v>
      </c>
      <c r="AJ847" s="1">
        <f>Table2[[#This Row],[(A) Err]]^2</f>
        <v>25.756827620673473</v>
      </c>
      <c r="AK847" s="6">
        <f>Table2[[#This Row],[EV]]-Table2[[#This Row],[Spread]]</f>
        <v>0.85404585758547569</v>
      </c>
      <c r="AL847" s="1">
        <f>Table2[[#This Row],[EV Err]]^2</f>
        <v>0.72939432685891059</v>
      </c>
    </row>
    <row r="848" spans="1:38" x14ac:dyDescent="0.25">
      <c r="A848" t="s">
        <v>154</v>
      </c>
      <c r="B848" t="s">
        <v>20</v>
      </c>
      <c r="C848" t="s">
        <v>32</v>
      </c>
      <c r="K848" s="25">
        <f>(Table2[[#This Row],[Home Pace]]/100)*(VLOOKUP(Table2[[#This Row],[Home/Neutral]],home_lookup,8,FALSE)+VLOOKUP(Table2[[#This Row],[Home/Neutral]],OFR_lookup,2,FALSE)+VLOOKUP(Table2[[#This Row],[Visitor/Neutral]],def_diff_lookup,6,FALSE))</f>
        <v>108.51014528915178</v>
      </c>
      <c r="L848" s="25"/>
      <c r="M848" s="25">
        <f>(Table2[[#This Row],[Away Pace]]/100)*(VLOOKUP(Table2[[#This Row],[Visitor/Neutral]],OFR_lookup,2,FALSE)+VLOOKUP(Table2[[#This Row],[Home/Neutral]],def_diff_lookup,6,FALSE))</f>
        <v>105.52237733333335</v>
      </c>
      <c r="N848" s="25"/>
      <c r="O848" s="25"/>
      <c r="P848">
        <f>VLOOKUP(Table2[[#This Row],[Home/Neutral]],pace_lookup,7,FALSE)</f>
        <v>90.9</v>
      </c>
      <c r="Q848" s="5">
        <f>VLOOKUP(Table2[[#This Row],[Visitor/Neutral]],pace_lookup,7,FALSE)</f>
        <v>98.6</v>
      </c>
      <c r="R848" s="9"/>
      <c r="V848" s="2">
        <f>-home-VLOOKUP(Table2[[#This Row],[Home/Neutral]],rtg_vlookup,4,FALSE)+VLOOKUP(Table2[[#This Row],[Visitor/Neutral]],rtg_vlookup,4,FALSE)</f>
        <v>-7.3451184834123309</v>
      </c>
      <c r="W848" s="25"/>
      <c r="X848" s="2"/>
      <c r="Y848" s="2">
        <f>Table2[[#This Row],[Away EV]]-Table2[[#This Row],[Home EV]]</f>
        <v>-2.9877679558184269</v>
      </c>
      <c r="Z848" s="33"/>
      <c r="AA848" s="34"/>
      <c r="AB848" s="5" t="b">
        <f>IF(VLOOKUP(Table2[[#This Row],[Home/Neutral]],division_lookup,9,FALSE)=VLOOKUP(Table2[[#This Row],[Visitor/Neutral]],division_lookup,9,FALSE),TRUE,FALSE)</f>
        <v>1</v>
      </c>
      <c r="AC848" s="19" t="str">
        <f>VLOOKUP(Table2[[#This Row],[Home/Neutral]],division_lookup,9,FALSE)</f>
        <v>NW</v>
      </c>
      <c r="AD848" s="19"/>
      <c r="AE848" s="19" t="str">
        <f>IF(Table2[[#This Row],[Total EV ®]]&lt;Table2[[#This Row],[Total (V)]],"UNDER","OVER")</f>
        <v>OVER</v>
      </c>
      <c r="AF848" s="30">
        <f>Table2[[#This Row],[(A) Spread]]-Table2[[#This Row],[Spread (V)]]</f>
        <v>0</v>
      </c>
      <c r="AG848" s="19"/>
      <c r="AH848" s="2">
        <f>Table2[[#This Row],[EV]]-Table2[[#This Row],[Spread (V)]]</f>
        <v>-2.9877679558184269</v>
      </c>
      <c r="AI848" s="22">
        <f>Table2[[#This Row],[(A)]]-Table2[[#This Row],[Spread]]</f>
        <v>-7.3451184834123309</v>
      </c>
      <c r="AJ848" s="1">
        <f>Table2[[#This Row],[(A) Err]]^2</f>
        <v>53.950765535365463</v>
      </c>
      <c r="AK848" s="6">
        <f>Table2[[#This Row],[EV]]-Table2[[#This Row],[Spread]]</f>
        <v>-2.9877679558184269</v>
      </c>
      <c r="AL848" s="1">
        <f>Table2[[#This Row],[EV Err]]^2</f>
        <v>8.926757357815422</v>
      </c>
    </row>
    <row r="849" spans="1:38" x14ac:dyDescent="0.25">
      <c r="A849" t="s">
        <v>155</v>
      </c>
      <c r="B849" t="s">
        <v>13</v>
      </c>
      <c r="C849" t="s">
        <v>26</v>
      </c>
      <c r="K849" s="25">
        <f>(Table2[[#This Row],[Home Pace]]/100)*(VLOOKUP(Table2[[#This Row],[Home/Neutral]],home_lookup,8,FALSE)+VLOOKUP(Table2[[#This Row],[Home/Neutral]],OFR_lookup,2,FALSE)+VLOOKUP(Table2[[#This Row],[Visitor/Neutral]],def_diff_lookup,6,FALSE))</f>
        <v>107.04589108450401</v>
      </c>
      <c r="L849" s="25"/>
      <c r="M849" s="25">
        <f>(Table2[[#This Row],[Away Pace]]/100)*(VLOOKUP(Table2[[#This Row],[Visitor/Neutral]],OFR_lookup,2,FALSE)+VLOOKUP(Table2[[#This Row],[Home/Neutral]],def_diff_lookup,6,FALSE))</f>
        <v>102.86464000000001</v>
      </c>
      <c r="N849" s="25"/>
      <c r="O849" s="25"/>
      <c r="P849">
        <f>VLOOKUP(Table2[[#This Row],[Home/Neutral]],pace_lookup,7,FALSE)</f>
        <v>94.5</v>
      </c>
      <c r="Q849" s="5">
        <f>VLOOKUP(Table2[[#This Row],[Visitor/Neutral]],pace_lookup,7,FALSE)</f>
        <v>96</v>
      </c>
      <c r="R849" s="9"/>
      <c r="V849" s="2">
        <f>-home-VLOOKUP(Table2[[#This Row],[Home/Neutral]],rtg_vlookup,4,FALSE)+VLOOKUP(Table2[[#This Row],[Visitor/Neutral]],rtg_vlookup,4,FALSE)</f>
        <v>-8.585118483412332</v>
      </c>
      <c r="W849" s="25"/>
      <c r="X849" s="2"/>
      <c r="Y849" s="2">
        <f>Table2[[#This Row],[Away EV]]-Table2[[#This Row],[Home EV]]</f>
        <v>-4.1812510845039981</v>
      </c>
      <c r="Z849" s="33"/>
      <c r="AA849" s="34"/>
      <c r="AB849" s="5" t="b">
        <f>IF(VLOOKUP(Table2[[#This Row],[Home/Neutral]],division_lookup,9,FALSE)=VLOOKUP(Table2[[#This Row],[Visitor/Neutral]],division_lookup,9,FALSE),TRUE,FALSE)</f>
        <v>0</v>
      </c>
      <c r="AC849" s="19" t="str">
        <f>VLOOKUP(Table2[[#This Row],[Home/Neutral]],division_lookup,9,FALSE)</f>
        <v>C</v>
      </c>
      <c r="AD849" s="19"/>
      <c r="AE849" s="19" t="str">
        <f>IF(Table2[[#This Row],[Total EV ®]]&lt;Table2[[#This Row],[Total (V)]],"UNDER","OVER")</f>
        <v>OVER</v>
      </c>
      <c r="AF849" s="30">
        <f>Table2[[#This Row],[(A) Spread]]-Table2[[#This Row],[Spread (V)]]</f>
        <v>0</v>
      </c>
      <c r="AG849" s="19"/>
      <c r="AH849" s="2">
        <f>Table2[[#This Row],[EV]]-Table2[[#This Row],[Spread (V)]]</f>
        <v>-4.1812510845039981</v>
      </c>
      <c r="AI849" s="22">
        <f>Table2[[#This Row],[(A)]]-Table2[[#This Row],[Spread]]</f>
        <v>-8.585118483412332</v>
      </c>
      <c r="AJ849" s="1">
        <f>Table2[[#This Row],[(A) Err]]^2</f>
        <v>73.704259374228059</v>
      </c>
      <c r="AK849" s="6">
        <f>Table2[[#This Row],[EV]]-Table2[[#This Row],[Spread]]</f>
        <v>-4.1812510845039981</v>
      </c>
      <c r="AL849" s="1">
        <f>Table2[[#This Row],[EV Err]]^2</f>
        <v>17.482860631665861</v>
      </c>
    </row>
    <row r="850" spans="1:38" x14ac:dyDescent="0.25">
      <c r="A850" t="s">
        <v>155</v>
      </c>
      <c r="B850" t="s">
        <v>33</v>
      </c>
      <c r="C850" t="s">
        <v>28</v>
      </c>
      <c r="K850" s="25">
        <f>(Table2[[#This Row],[Home Pace]]/100)*(VLOOKUP(Table2[[#This Row],[Home/Neutral]],home_lookup,8,FALSE)+VLOOKUP(Table2[[#This Row],[Home/Neutral]],OFR_lookup,2,FALSE)+VLOOKUP(Table2[[#This Row],[Visitor/Neutral]],def_diff_lookup,6,FALSE))</f>
        <v>110.44535852057507</v>
      </c>
      <c r="L850" s="25"/>
      <c r="M850" s="25">
        <f>(Table2[[#This Row],[Away Pace]]/100)*(VLOOKUP(Table2[[#This Row],[Visitor/Neutral]],OFR_lookup,2,FALSE)+VLOOKUP(Table2[[#This Row],[Home/Neutral]],def_diff_lookup,6,FALSE))</f>
        <v>105.795822</v>
      </c>
      <c r="N850" s="25"/>
      <c r="O850" s="25"/>
      <c r="P850">
        <f>VLOOKUP(Table2[[#This Row],[Home/Neutral]],pace_lookup,7,FALSE)</f>
        <v>98.2</v>
      </c>
      <c r="Q850" s="5">
        <f>VLOOKUP(Table2[[#This Row],[Visitor/Neutral]],pace_lookup,7,FALSE)</f>
        <v>96.3</v>
      </c>
      <c r="R850" s="9"/>
      <c r="V850" s="2">
        <f>-home-VLOOKUP(Table2[[#This Row],[Home/Neutral]],rtg_vlookup,4,FALSE)+VLOOKUP(Table2[[#This Row],[Visitor/Neutral]],rtg_vlookup,4,FALSE)</f>
        <v>0.60488151658766931</v>
      </c>
      <c r="W850" s="25"/>
      <c r="X850" s="2"/>
      <c r="Y850" s="2">
        <f>Table2[[#This Row],[Away EV]]-Table2[[#This Row],[Home EV]]</f>
        <v>-4.6495365205750687</v>
      </c>
      <c r="Z850" s="33"/>
      <c r="AA850" s="34"/>
      <c r="AB850" s="5" t="b">
        <f>IF(VLOOKUP(Table2[[#This Row],[Home/Neutral]],division_lookup,9,FALSE)=VLOOKUP(Table2[[#This Row],[Visitor/Neutral]],division_lookup,9,FALSE),TRUE,FALSE)</f>
        <v>0</v>
      </c>
      <c r="AC850" s="19" t="str">
        <f>VLOOKUP(Table2[[#This Row],[Home/Neutral]],division_lookup,9,FALSE)</f>
        <v>C</v>
      </c>
      <c r="AD850" s="19"/>
      <c r="AE850" s="19" t="str">
        <f>IF(Table2[[#This Row],[Total EV ®]]&lt;Table2[[#This Row],[Total (V)]],"UNDER","OVER")</f>
        <v>OVER</v>
      </c>
      <c r="AF850" s="30">
        <f>Table2[[#This Row],[(A) Spread]]-Table2[[#This Row],[Spread (V)]]</f>
        <v>0</v>
      </c>
      <c r="AG850" s="19"/>
      <c r="AH850" s="2">
        <f>Table2[[#This Row],[EV]]-Table2[[#This Row],[Spread (V)]]</f>
        <v>-4.6495365205750687</v>
      </c>
      <c r="AI850" s="22">
        <f>Table2[[#This Row],[(A)]]-Table2[[#This Row],[Spread]]</f>
        <v>0.60488151658766931</v>
      </c>
      <c r="AJ850" s="1">
        <f>Table2[[#This Row],[(A) Err]]^2</f>
        <v>0.36588164910939885</v>
      </c>
      <c r="AK850" s="6">
        <f>Table2[[#This Row],[EV]]-Table2[[#This Row],[Spread]]</f>
        <v>-4.6495365205750687</v>
      </c>
      <c r="AL850" s="1">
        <f>Table2[[#This Row],[EV Err]]^2</f>
        <v>21.618189856161315</v>
      </c>
    </row>
    <row r="851" spans="1:38" x14ac:dyDescent="0.25">
      <c r="A851" t="s">
        <v>156</v>
      </c>
      <c r="B851" t="s">
        <v>8</v>
      </c>
      <c r="C851" t="s">
        <v>31</v>
      </c>
      <c r="K851" s="25">
        <f>(Table2[[#This Row],[Home Pace]]/100)*(VLOOKUP(Table2[[#This Row],[Home/Neutral]],home_lookup,8,FALSE)+VLOOKUP(Table2[[#This Row],[Home/Neutral]],OFR_lookup,2,FALSE)+VLOOKUP(Table2[[#This Row],[Visitor/Neutral]],def_diff_lookup,6,FALSE))</f>
        <v>109.3745403689818</v>
      </c>
      <c r="L851" s="25"/>
      <c r="M851" s="25">
        <f>(Table2[[#This Row],[Away Pace]]/100)*(VLOOKUP(Table2[[#This Row],[Visitor/Neutral]],OFR_lookup,2,FALSE)+VLOOKUP(Table2[[#This Row],[Home/Neutral]],def_diff_lookup,6,FALSE))</f>
        <v>102.53824</v>
      </c>
      <c r="N851" s="25"/>
      <c r="O851" s="25"/>
      <c r="P851">
        <f>VLOOKUP(Table2[[#This Row],[Home/Neutral]],pace_lookup,7,FALSE)</f>
        <v>97.2</v>
      </c>
      <c r="Q851" s="5">
        <f>VLOOKUP(Table2[[#This Row],[Visitor/Neutral]],pace_lookup,7,FALSE)</f>
        <v>96</v>
      </c>
      <c r="R851" s="9"/>
      <c r="V851" s="2">
        <f>-home-VLOOKUP(Table2[[#This Row],[Home/Neutral]],rtg_vlookup,4,FALSE)+VLOOKUP(Table2[[#This Row],[Visitor/Neutral]],rtg_vlookup,4,FALSE)</f>
        <v>-11.82511848341233</v>
      </c>
      <c r="W851" s="25"/>
      <c r="X851" s="2"/>
      <c r="Y851" s="2">
        <f>Table2[[#This Row],[Away EV]]-Table2[[#This Row],[Home EV]]</f>
        <v>-6.8363003689817958</v>
      </c>
      <c r="Z851" s="33"/>
      <c r="AA851" s="34"/>
      <c r="AB851" s="5" t="b">
        <f>IF(VLOOKUP(Table2[[#This Row],[Home/Neutral]],division_lookup,9,FALSE)=VLOOKUP(Table2[[#This Row],[Visitor/Neutral]],division_lookup,9,FALSE),TRUE,FALSE)</f>
        <v>0</v>
      </c>
      <c r="AC851" s="19" t="str">
        <f>VLOOKUP(Table2[[#This Row],[Home/Neutral]],division_lookup,9,FALSE)</f>
        <v>C</v>
      </c>
      <c r="AD851" s="19"/>
      <c r="AE851" s="19" t="str">
        <f>IF(Table2[[#This Row],[Total EV ®]]&lt;Table2[[#This Row],[Total (V)]],"UNDER","OVER")</f>
        <v>OVER</v>
      </c>
      <c r="AF851" s="30">
        <f>Table2[[#This Row],[(A) Spread]]-Table2[[#This Row],[Spread (V)]]</f>
        <v>0</v>
      </c>
      <c r="AG851" s="19"/>
      <c r="AH851" s="2">
        <f>Table2[[#This Row],[EV]]-Table2[[#This Row],[Spread (V)]]</f>
        <v>-6.8363003689817958</v>
      </c>
      <c r="AI851" s="22">
        <f>Table2[[#This Row],[(A)]]-Table2[[#This Row],[Spread]]</f>
        <v>-11.82511848341233</v>
      </c>
      <c r="AJ851" s="1">
        <f>Table2[[#This Row],[(A) Err]]^2</f>
        <v>139.83342714673992</v>
      </c>
      <c r="AK851" s="6">
        <f>Table2[[#This Row],[EV]]-Table2[[#This Row],[Spread]]</f>
        <v>-6.8363003689817958</v>
      </c>
      <c r="AL851" s="1">
        <f>Table2[[#This Row],[EV Err]]^2</f>
        <v>46.735002734940636</v>
      </c>
    </row>
    <row r="852" spans="1:38" x14ac:dyDescent="0.25">
      <c r="A852" t="s">
        <v>156</v>
      </c>
      <c r="B852" t="s">
        <v>25</v>
      </c>
      <c r="C852" t="s">
        <v>16</v>
      </c>
      <c r="K852" s="25">
        <f>(Table2[[#This Row],[Home Pace]]/100)*(VLOOKUP(Table2[[#This Row],[Home/Neutral]],home_lookup,8,FALSE)+VLOOKUP(Table2[[#This Row],[Home/Neutral]],OFR_lookup,2,FALSE)+VLOOKUP(Table2[[#This Row],[Visitor/Neutral]],def_diff_lookup,6,FALSE))</f>
        <v>101.60126444427257</v>
      </c>
      <c r="L852" s="25"/>
      <c r="M852" s="25">
        <f>(Table2[[#This Row],[Away Pace]]/100)*(VLOOKUP(Table2[[#This Row],[Visitor/Neutral]],OFR_lookup,2,FALSE)+VLOOKUP(Table2[[#This Row],[Home/Neutral]],def_diff_lookup,6,FALSE))</f>
        <v>100.88390000000001</v>
      </c>
      <c r="N852" s="25"/>
      <c r="O852" s="25"/>
      <c r="P852">
        <f>VLOOKUP(Table2[[#This Row],[Home/Neutral]],pace_lookup,7,FALSE)</f>
        <v>94.4</v>
      </c>
      <c r="Q852" s="5">
        <f>VLOOKUP(Table2[[#This Row],[Visitor/Neutral]],pace_lookup,7,FALSE)</f>
        <v>97.5</v>
      </c>
      <c r="R852" s="9"/>
      <c r="V852" s="2">
        <f>-home-VLOOKUP(Table2[[#This Row],[Home/Neutral]],rtg_vlookup,4,FALSE)+VLOOKUP(Table2[[#This Row],[Visitor/Neutral]],rtg_vlookup,4,FALSE)</f>
        <v>-9.5118483412330868E-2</v>
      </c>
      <c r="W852" s="25"/>
      <c r="X852" s="2"/>
      <c r="Y852" s="2">
        <f>Table2[[#This Row],[Away EV]]-Table2[[#This Row],[Home EV]]</f>
        <v>-0.71736444427256174</v>
      </c>
      <c r="Z852" s="33"/>
      <c r="AA852" s="34"/>
      <c r="AB852" s="5" t="b">
        <f>IF(VLOOKUP(Table2[[#This Row],[Home/Neutral]],division_lookup,9,FALSE)=VLOOKUP(Table2[[#This Row],[Visitor/Neutral]],division_lookup,9,FALSE),TRUE,FALSE)</f>
        <v>0</v>
      </c>
      <c r="AC852" s="19" t="str">
        <f>VLOOKUP(Table2[[#This Row],[Home/Neutral]],division_lookup,9,FALSE)</f>
        <v>C</v>
      </c>
      <c r="AD852" s="19"/>
      <c r="AE852" s="19" t="str">
        <f>IF(Table2[[#This Row],[Total EV ®]]&lt;Table2[[#This Row],[Total (V)]],"UNDER","OVER")</f>
        <v>OVER</v>
      </c>
      <c r="AF852" s="30">
        <f>Table2[[#This Row],[(A) Spread]]-Table2[[#This Row],[Spread (V)]]</f>
        <v>0</v>
      </c>
      <c r="AG852" s="19"/>
      <c r="AH852" s="2">
        <f>Table2[[#This Row],[EV]]-Table2[[#This Row],[Spread (V)]]</f>
        <v>-0.71736444427256174</v>
      </c>
      <c r="AI852" s="22">
        <f>Table2[[#This Row],[(A)]]-Table2[[#This Row],[Spread]]</f>
        <v>-9.5118483412330868E-2</v>
      </c>
      <c r="AJ852" s="1">
        <f>Table2[[#This Row],[(A) Err]]^2</f>
        <v>9.0475258866618627E-3</v>
      </c>
      <c r="AK852" s="6">
        <f>Table2[[#This Row],[EV]]-Table2[[#This Row],[Spread]]</f>
        <v>-0.71736444427256174</v>
      </c>
      <c r="AL852" s="1">
        <f>Table2[[#This Row],[EV Err]]^2</f>
        <v>0.51461174590648129</v>
      </c>
    </row>
    <row r="853" spans="1:38" x14ac:dyDescent="0.25">
      <c r="A853" t="s">
        <v>156</v>
      </c>
      <c r="B853" t="s">
        <v>10</v>
      </c>
      <c r="C853" t="s">
        <v>4</v>
      </c>
      <c r="K853" s="25">
        <f>(Table2[[#This Row],[Home Pace]]/100)*(VLOOKUP(Table2[[#This Row],[Home/Neutral]],home_lookup,8,FALSE)+VLOOKUP(Table2[[#This Row],[Home/Neutral]],OFR_lookup,2,FALSE)+VLOOKUP(Table2[[#This Row],[Visitor/Neutral]],def_diff_lookup,6,FALSE))</f>
        <v>101.08806853790561</v>
      </c>
      <c r="L853" s="25"/>
      <c r="M853" s="25">
        <f>(Table2[[#This Row],[Away Pace]]/100)*(VLOOKUP(Table2[[#This Row],[Visitor/Neutral]],OFR_lookup,2,FALSE)+VLOOKUP(Table2[[#This Row],[Home/Neutral]],def_diff_lookup,6,FALSE))</f>
        <v>112.47202399999999</v>
      </c>
      <c r="N853" s="25"/>
      <c r="O853" s="25"/>
      <c r="P853">
        <f>VLOOKUP(Table2[[#This Row],[Home/Neutral]],pace_lookup,7,FALSE)</f>
        <v>100.3</v>
      </c>
      <c r="Q853" s="5">
        <f>VLOOKUP(Table2[[#This Row],[Visitor/Neutral]],pace_lookup,7,FALSE)</f>
        <v>96.6</v>
      </c>
      <c r="R853" s="9"/>
      <c r="V853" s="2">
        <f>-home-VLOOKUP(Table2[[#This Row],[Home/Neutral]],rtg_vlookup,4,FALSE)+VLOOKUP(Table2[[#This Row],[Visitor/Neutral]],rtg_vlookup,4,FALSE)</f>
        <v>3.4348815165876694</v>
      </c>
      <c r="W853" s="25"/>
      <c r="X853" s="2"/>
      <c r="Y853" s="2">
        <f>Table2[[#This Row],[Away EV]]-Table2[[#This Row],[Home EV]]</f>
        <v>11.383955462094377</v>
      </c>
      <c r="Z853" s="33"/>
      <c r="AA853" s="34"/>
      <c r="AB853" s="5" t="b">
        <f>IF(VLOOKUP(Table2[[#This Row],[Home/Neutral]],division_lookup,9,FALSE)=VLOOKUP(Table2[[#This Row],[Visitor/Neutral]],division_lookup,9,FALSE),TRUE,FALSE)</f>
        <v>1</v>
      </c>
      <c r="AC853" s="19" t="str">
        <f>VLOOKUP(Table2[[#This Row],[Home/Neutral]],division_lookup,9,FALSE)</f>
        <v>P</v>
      </c>
      <c r="AD853" s="19"/>
      <c r="AE853" s="19" t="str">
        <f>IF(Table2[[#This Row],[Total EV ®]]&lt;Table2[[#This Row],[Total (V)]],"UNDER","OVER")</f>
        <v>OVER</v>
      </c>
      <c r="AF853" s="30">
        <f>Table2[[#This Row],[(A) Spread]]-Table2[[#This Row],[Spread (V)]]</f>
        <v>0</v>
      </c>
      <c r="AG853" s="19"/>
      <c r="AH853" s="2">
        <f>Table2[[#This Row],[EV]]-Table2[[#This Row],[Spread (V)]]</f>
        <v>11.383955462094377</v>
      </c>
      <c r="AI853" s="22">
        <f>Table2[[#This Row],[(A)]]-Table2[[#This Row],[Spread]]</f>
        <v>3.4348815165876694</v>
      </c>
      <c r="AJ853" s="1">
        <f>Table2[[#This Row],[(A) Err]]^2</f>
        <v>11.798411032995608</v>
      </c>
      <c r="AK853" s="6">
        <f>Table2[[#This Row],[EV]]-Table2[[#This Row],[Spread]]</f>
        <v>11.383955462094377</v>
      </c>
      <c r="AL853" s="1">
        <f>Table2[[#This Row],[EV Err]]^2</f>
        <v>129.59444196294839</v>
      </c>
    </row>
    <row r="854" spans="1:38" x14ac:dyDescent="0.25">
      <c r="A854" t="s">
        <v>156</v>
      </c>
      <c r="B854" t="s">
        <v>34</v>
      </c>
      <c r="C854" t="s">
        <v>17</v>
      </c>
      <c r="K854" s="25">
        <f>(Table2[[#This Row],[Home Pace]]/100)*(VLOOKUP(Table2[[#This Row],[Home/Neutral]],home_lookup,8,FALSE)+VLOOKUP(Table2[[#This Row],[Home/Neutral]],OFR_lookup,2,FALSE)+VLOOKUP(Table2[[#This Row],[Visitor/Neutral]],def_diff_lookup,6,FALSE))</f>
        <v>108.13831864565556</v>
      </c>
      <c r="L854" s="25"/>
      <c r="M854" s="25">
        <f>(Table2[[#This Row],[Away Pace]]/100)*(VLOOKUP(Table2[[#This Row],[Visitor/Neutral]],OFR_lookup,2,FALSE)+VLOOKUP(Table2[[#This Row],[Home/Neutral]],def_diff_lookup,6,FALSE))</f>
        <v>109.82283466666668</v>
      </c>
      <c r="N854" s="25"/>
      <c r="O854" s="25"/>
      <c r="P854">
        <f>VLOOKUP(Table2[[#This Row],[Home/Neutral]],pace_lookup,7,FALSE)</f>
        <v>98.8</v>
      </c>
      <c r="Q854" s="5">
        <f>VLOOKUP(Table2[[#This Row],[Visitor/Neutral]],pace_lookup,7,FALSE)</f>
        <v>96.7</v>
      </c>
      <c r="R854" s="9"/>
      <c r="V854" s="2">
        <f>-home-VLOOKUP(Table2[[#This Row],[Home/Neutral]],rtg_vlookup,4,FALSE)+VLOOKUP(Table2[[#This Row],[Visitor/Neutral]],rtg_vlookup,4,FALSE)</f>
        <v>6.5448815165876697</v>
      </c>
      <c r="W854" s="25"/>
      <c r="X854" s="2"/>
      <c r="Y854" s="2">
        <f>Table2[[#This Row],[Away EV]]-Table2[[#This Row],[Home EV]]</f>
        <v>1.6845160210111203</v>
      </c>
      <c r="Z854" s="33"/>
      <c r="AA854" s="34"/>
      <c r="AB854" s="5" t="b">
        <f>IF(VLOOKUP(Table2[[#This Row],[Home/Neutral]],division_lookup,9,FALSE)=VLOOKUP(Table2[[#This Row],[Visitor/Neutral]],division_lookup,9,FALSE),TRUE,FALSE)</f>
        <v>1</v>
      </c>
      <c r="AC854" s="19" t="str">
        <f>VLOOKUP(Table2[[#This Row],[Home/Neutral]],division_lookup,9,FALSE)</f>
        <v>SW</v>
      </c>
      <c r="AD854" s="19"/>
      <c r="AE854" s="19" t="str">
        <f>IF(Table2[[#This Row],[Total EV ®]]&lt;Table2[[#This Row],[Total (V)]],"UNDER","OVER")</f>
        <v>OVER</v>
      </c>
      <c r="AF854" s="30">
        <f>Table2[[#This Row],[(A) Spread]]-Table2[[#This Row],[Spread (V)]]</f>
        <v>0</v>
      </c>
      <c r="AG854" s="19"/>
      <c r="AH854" s="2">
        <f>Table2[[#This Row],[EV]]-Table2[[#This Row],[Spread (V)]]</f>
        <v>1.6845160210111203</v>
      </c>
      <c r="AI854" s="22">
        <f>Table2[[#This Row],[(A)]]-Table2[[#This Row],[Spread]]</f>
        <v>6.5448815165876697</v>
      </c>
      <c r="AJ854" s="1">
        <f>Table2[[#This Row],[(A) Err]]^2</f>
        <v>42.835474066170917</v>
      </c>
      <c r="AK854" s="6">
        <f>Table2[[#This Row],[EV]]-Table2[[#This Row],[Spread]]</f>
        <v>1.6845160210111203</v>
      </c>
      <c r="AL854" s="1">
        <f>Table2[[#This Row],[EV Err]]^2</f>
        <v>2.8375942250431372</v>
      </c>
    </row>
    <row r="855" spans="1:38" x14ac:dyDescent="0.25">
      <c r="A855" t="s">
        <v>156</v>
      </c>
      <c r="B855" t="s">
        <v>38</v>
      </c>
      <c r="C855" t="s">
        <v>32</v>
      </c>
      <c r="K855" s="25">
        <f>(Table2[[#This Row],[Home Pace]]/100)*(VLOOKUP(Table2[[#This Row],[Home/Neutral]],home_lookup,8,FALSE)+VLOOKUP(Table2[[#This Row],[Home/Neutral]],OFR_lookup,2,FALSE)+VLOOKUP(Table2[[#This Row],[Visitor/Neutral]],def_diff_lookup,6,FALSE))</f>
        <v>110.7631516789148</v>
      </c>
      <c r="L855" s="25"/>
      <c r="M855" s="25">
        <f>(Table2[[#This Row],[Away Pace]]/100)*(VLOOKUP(Table2[[#This Row],[Visitor/Neutral]],OFR_lookup,2,FALSE)+VLOOKUP(Table2[[#This Row],[Home/Neutral]],def_diff_lookup,6,FALSE))</f>
        <v>108.05639733333334</v>
      </c>
      <c r="N855" s="25"/>
      <c r="O855" s="25"/>
      <c r="P855">
        <f>VLOOKUP(Table2[[#This Row],[Home/Neutral]],pace_lookup,7,FALSE)</f>
        <v>94.2</v>
      </c>
      <c r="Q855" s="5">
        <f>VLOOKUP(Table2[[#This Row],[Visitor/Neutral]],pace_lookup,7,FALSE)</f>
        <v>98.6</v>
      </c>
      <c r="R855" s="9"/>
      <c r="V855" s="2">
        <f>-home-VLOOKUP(Table2[[#This Row],[Home/Neutral]],rtg_vlookup,4,FALSE)+VLOOKUP(Table2[[#This Row],[Visitor/Neutral]],rtg_vlookup,4,FALSE)</f>
        <v>3.0848815165876688</v>
      </c>
      <c r="W855" s="25"/>
      <c r="X855" s="2"/>
      <c r="Y855" s="2">
        <f>Table2[[#This Row],[Away EV]]-Table2[[#This Row],[Home EV]]</f>
        <v>-2.7067543455814587</v>
      </c>
      <c r="Z855" s="33"/>
      <c r="AA855" s="34"/>
      <c r="AB855" s="5" t="b">
        <f>IF(VLOOKUP(Table2[[#This Row],[Home/Neutral]],division_lookup,9,FALSE)=VLOOKUP(Table2[[#This Row],[Visitor/Neutral]],division_lookup,9,FALSE),TRUE,FALSE)</f>
        <v>0</v>
      </c>
      <c r="AC855" s="19" t="str">
        <f>VLOOKUP(Table2[[#This Row],[Home/Neutral]],division_lookup,9,FALSE)</f>
        <v>SE</v>
      </c>
      <c r="AD855" s="19"/>
      <c r="AE855" s="19" t="str">
        <f>IF(Table2[[#This Row],[Total EV ®]]&lt;Table2[[#This Row],[Total (V)]],"UNDER","OVER")</f>
        <v>OVER</v>
      </c>
      <c r="AF855" s="30">
        <f>Table2[[#This Row],[(A) Spread]]-Table2[[#This Row],[Spread (V)]]</f>
        <v>0</v>
      </c>
      <c r="AG855" s="19"/>
      <c r="AH855" s="2">
        <f>Table2[[#This Row],[EV]]-Table2[[#This Row],[Spread (V)]]</f>
        <v>-2.7067543455814587</v>
      </c>
      <c r="AI855" s="22">
        <f>Table2[[#This Row],[(A)]]-Table2[[#This Row],[Spread]]</f>
        <v>3.0848815165876688</v>
      </c>
      <c r="AJ855" s="1">
        <f>Table2[[#This Row],[(A) Err]]^2</f>
        <v>9.5164939713842358</v>
      </c>
      <c r="AK855" s="6">
        <f>Table2[[#This Row],[EV]]-Table2[[#This Row],[Spread]]</f>
        <v>-2.7067543455814587</v>
      </c>
      <c r="AL855" s="1">
        <f>Table2[[#This Row],[EV Err]]^2</f>
        <v>7.3265190873241108</v>
      </c>
    </row>
    <row r="856" spans="1:38" x14ac:dyDescent="0.25">
      <c r="A856" t="s">
        <v>156</v>
      </c>
      <c r="B856" t="s">
        <v>29</v>
      </c>
      <c r="C856" t="s">
        <v>27</v>
      </c>
      <c r="K856" s="25">
        <f>(Table2[[#This Row],[Home Pace]]/100)*(VLOOKUP(Table2[[#This Row],[Home/Neutral]],home_lookup,8,FALSE)+VLOOKUP(Table2[[#This Row],[Home/Neutral]],OFR_lookup,2,FALSE)+VLOOKUP(Table2[[#This Row],[Visitor/Neutral]],def_diff_lookup,6,FALSE))</f>
        <v>108.56712926898523</v>
      </c>
      <c r="L856" s="25"/>
      <c r="M856" s="25">
        <f>(Table2[[#This Row],[Away Pace]]/100)*(VLOOKUP(Table2[[#This Row],[Visitor/Neutral]],OFR_lookup,2,FALSE)+VLOOKUP(Table2[[#This Row],[Home/Neutral]],def_diff_lookup,6,FALSE))</f>
        <v>107.53446</v>
      </c>
      <c r="N856" s="25"/>
      <c r="O856" s="25"/>
      <c r="P856">
        <f>VLOOKUP(Table2[[#This Row],[Home/Neutral]],pace_lookup,7,FALSE)</f>
        <v>93.8</v>
      </c>
      <c r="Q856" s="5">
        <f>VLOOKUP(Table2[[#This Row],[Visitor/Neutral]],pace_lookup,7,FALSE)</f>
        <v>99</v>
      </c>
      <c r="R856" s="9"/>
      <c r="V856" s="2">
        <f>-home-VLOOKUP(Table2[[#This Row],[Home/Neutral]],rtg_vlookup,4,FALSE)+VLOOKUP(Table2[[#This Row],[Visitor/Neutral]],rtg_vlookup,4,FALSE)</f>
        <v>-1.0251184834123306</v>
      </c>
      <c r="W856" s="25"/>
      <c r="X856" s="2"/>
      <c r="Y856" s="2">
        <f>Table2[[#This Row],[Away EV]]-Table2[[#This Row],[Home EV]]</f>
        <v>-1.0326692689852308</v>
      </c>
      <c r="Z856" s="33"/>
      <c r="AA856" s="34"/>
      <c r="AB856" s="5" t="b">
        <f>IF(VLOOKUP(Table2[[#This Row],[Home/Neutral]],division_lookup,9,FALSE)=VLOOKUP(Table2[[#This Row],[Visitor/Neutral]],division_lookup,9,FALSE),TRUE,FALSE)</f>
        <v>0</v>
      </c>
      <c r="AC856" s="19" t="str">
        <f>VLOOKUP(Table2[[#This Row],[Home/Neutral]],division_lookup,9,FALSE)</f>
        <v>P</v>
      </c>
      <c r="AD856" s="19"/>
      <c r="AE856" s="19" t="str">
        <f>IF(Table2[[#This Row],[Total EV ®]]&lt;Table2[[#This Row],[Total (V)]],"UNDER","OVER")</f>
        <v>OVER</v>
      </c>
      <c r="AF856" s="30">
        <f>Table2[[#This Row],[(A) Spread]]-Table2[[#This Row],[Spread (V)]]</f>
        <v>0</v>
      </c>
      <c r="AG856" s="19"/>
      <c r="AH856" s="2">
        <f>Table2[[#This Row],[EV]]-Table2[[#This Row],[Spread (V)]]</f>
        <v>-1.0326692689852308</v>
      </c>
      <c r="AI856" s="22">
        <f>Table2[[#This Row],[(A)]]-Table2[[#This Row],[Spread]]</f>
        <v>-1.0251184834123306</v>
      </c>
      <c r="AJ856" s="1">
        <f>Table2[[#This Row],[(A) Err]]^2</f>
        <v>1.0508679050335967</v>
      </c>
      <c r="AK856" s="6">
        <f>Table2[[#This Row],[EV]]-Table2[[#This Row],[Spread]]</f>
        <v>-1.0326692689852308</v>
      </c>
      <c r="AL856" s="1">
        <f>Table2[[#This Row],[EV Err]]^2</f>
        <v>1.0664058191064909</v>
      </c>
    </row>
    <row r="857" spans="1:38" x14ac:dyDescent="0.25">
      <c r="A857" t="s">
        <v>157</v>
      </c>
      <c r="B857" t="s">
        <v>11</v>
      </c>
      <c r="C857" t="s">
        <v>21</v>
      </c>
      <c r="K857" s="25">
        <f>(Table2[[#This Row],[Home Pace]]/100)*(VLOOKUP(Table2[[#This Row],[Home/Neutral]],home_lookup,8,FALSE)+VLOOKUP(Table2[[#This Row],[Home/Neutral]],OFR_lookup,2,FALSE)+VLOOKUP(Table2[[#This Row],[Visitor/Neutral]],def_diff_lookup,6,FALSE))</f>
        <v>94.751689044072819</v>
      </c>
      <c r="L857" s="25"/>
      <c r="M857" s="25">
        <f>(Table2[[#This Row],[Away Pace]]/100)*(VLOOKUP(Table2[[#This Row],[Visitor/Neutral]],OFR_lookup,2,FALSE)+VLOOKUP(Table2[[#This Row],[Home/Neutral]],def_diff_lookup,6,FALSE))</f>
        <v>89.170348000000018</v>
      </c>
      <c r="N857" s="25"/>
      <c r="O857" s="25"/>
      <c r="P857">
        <f>VLOOKUP(Table2[[#This Row],[Home/Neutral]],pace_lookup,7,FALSE)</f>
        <v>99.7</v>
      </c>
      <c r="Q857" s="5">
        <f>VLOOKUP(Table2[[#This Row],[Visitor/Neutral]],pace_lookup,7,FALSE)</f>
        <v>94.2</v>
      </c>
      <c r="R857" s="9"/>
      <c r="V857" s="2">
        <f>-home-VLOOKUP(Table2[[#This Row],[Home/Neutral]],rtg_vlookup,4,FALSE)+VLOOKUP(Table2[[#This Row],[Visitor/Neutral]],rtg_vlookup,4,FALSE)</f>
        <v>-9.1351184834123309</v>
      </c>
      <c r="W857" s="25"/>
      <c r="X857" s="2"/>
      <c r="Y857" s="2">
        <f>Table2[[#This Row],[Away EV]]-Table2[[#This Row],[Home EV]]</f>
        <v>-5.5813410440728006</v>
      </c>
      <c r="Z857" s="33"/>
      <c r="AA857" s="34"/>
      <c r="AB857" s="5" t="b">
        <f>IF(VLOOKUP(Table2[[#This Row],[Home/Neutral]],division_lookup,9,FALSE)=VLOOKUP(Table2[[#This Row],[Visitor/Neutral]],division_lookup,9,FALSE),TRUE,FALSE)</f>
        <v>1</v>
      </c>
      <c r="AC857" s="19" t="str">
        <f>VLOOKUP(Table2[[#This Row],[Home/Neutral]],division_lookup,9,FALSE)</f>
        <v>SE</v>
      </c>
      <c r="AD857" s="19"/>
      <c r="AE857" s="19" t="str">
        <f>IF(Table2[[#This Row],[Total EV ®]]&lt;Table2[[#This Row],[Total (V)]],"UNDER","OVER")</f>
        <v>OVER</v>
      </c>
      <c r="AF857" s="30">
        <f>Table2[[#This Row],[(A) Spread]]-Table2[[#This Row],[Spread (V)]]</f>
        <v>0</v>
      </c>
      <c r="AG857" s="19"/>
      <c r="AH857" s="2">
        <f>Table2[[#This Row],[EV]]-Table2[[#This Row],[Spread (V)]]</f>
        <v>-5.5813410440728006</v>
      </c>
      <c r="AI857" s="22">
        <f>Table2[[#This Row],[(A)]]-Table2[[#This Row],[Spread]]</f>
        <v>-9.1351184834123309</v>
      </c>
      <c r="AJ857" s="1">
        <f>Table2[[#This Row],[(A) Err]]^2</f>
        <v>83.450389705981607</v>
      </c>
      <c r="AK857" s="6">
        <f>Table2[[#This Row],[EV]]-Table2[[#This Row],[Spread]]</f>
        <v>-5.5813410440728006</v>
      </c>
      <c r="AL857" s="1">
        <f>Table2[[#This Row],[EV Err]]^2</f>
        <v>31.15136785025166</v>
      </c>
    </row>
    <row r="858" spans="1:38" x14ac:dyDescent="0.25">
      <c r="A858" t="s">
        <v>157</v>
      </c>
      <c r="B858" t="s">
        <v>13</v>
      </c>
      <c r="C858" t="s">
        <v>36</v>
      </c>
      <c r="K858" s="25">
        <f>(Table2[[#This Row],[Home Pace]]/100)*(VLOOKUP(Table2[[#This Row],[Home/Neutral]],home_lookup,8,FALSE)+VLOOKUP(Table2[[#This Row],[Home/Neutral]],OFR_lookup,2,FALSE)+VLOOKUP(Table2[[#This Row],[Visitor/Neutral]],def_diff_lookup,6,FALSE))</f>
        <v>108.085391084504</v>
      </c>
      <c r="L858" s="25"/>
      <c r="M858" s="25">
        <f>(Table2[[#This Row],[Away Pace]]/100)*(VLOOKUP(Table2[[#This Row],[Visitor/Neutral]],OFR_lookup,2,FALSE)+VLOOKUP(Table2[[#This Row],[Home/Neutral]],def_diff_lookup,6,FALSE))</f>
        <v>104.52062133333335</v>
      </c>
      <c r="N858" s="25"/>
      <c r="O858" s="25"/>
      <c r="P858">
        <f>VLOOKUP(Table2[[#This Row],[Home/Neutral]],pace_lookup,7,FALSE)</f>
        <v>94.5</v>
      </c>
      <c r="Q858" s="5">
        <f>VLOOKUP(Table2[[#This Row],[Visitor/Neutral]],pace_lookup,7,FALSE)</f>
        <v>102.2</v>
      </c>
      <c r="R858" s="9"/>
      <c r="V858" s="2">
        <f>-home-VLOOKUP(Table2[[#This Row],[Home/Neutral]],rtg_vlookup,4,FALSE)+VLOOKUP(Table2[[#This Row],[Visitor/Neutral]],rtg_vlookup,4,FALSE)</f>
        <v>-14.565118483412331</v>
      </c>
      <c r="W858" s="25"/>
      <c r="X858" s="2"/>
      <c r="Y858" s="2">
        <f>Table2[[#This Row],[Away EV]]-Table2[[#This Row],[Home EV]]</f>
        <v>-3.564769751170644</v>
      </c>
      <c r="Z858" s="33"/>
      <c r="AA858" s="34"/>
      <c r="AB858" s="5" t="b">
        <f>IF(VLOOKUP(Table2[[#This Row],[Home/Neutral]],division_lookup,9,FALSE)=VLOOKUP(Table2[[#This Row],[Visitor/Neutral]],division_lookup,9,FALSE),TRUE,FALSE)</f>
        <v>0</v>
      </c>
      <c r="AC858" s="19" t="str">
        <f>VLOOKUP(Table2[[#This Row],[Home/Neutral]],division_lookup,9,FALSE)</f>
        <v>C</v>
      </c>
      <c r="AD858" s="19"/>
      <c r="AE858" s="19" t="str">
        <f>IF(Table2[[#This Row],[Total EV ®]]&lt;Table2[[#This Row],[Total (V)]],"UNDER","OVER")</f>
        <v>OVER</v>
      </c>
      <c r="AF858" s="30">
        <f>Table2[[#This Row],[(A) Spread]]-Table2[[#This Row],[Spread (V)]]</f>
        <v>0</v>
      </c>
      <c r="AG858" s="19"/>
      <c r="AH858" s="2">
        <f>Table2[[#This Row],[EV]]-Table2[[#This Row],[Spread (V)]]</f>
        <v>-3.564769751170644</v>
      </c>
      <c r="AI858" s="22">
        <f>Table2[[#This Row],[(A)]]-Table2[[#This Row],[Spread]]</f>
        <v>-14.565118483412331</v>
      </c>
      <c r="AJ858" s="1">
        <f>Table2[[#This Row],[(A) Err]]^2</f>
        <v>212.14267643583952</v>
      </c>
      <c r="AK858" s="6">
        <f>Table2[[#This Row],[EV]]-Table2[[#This Row],[Spread]]</f>
        <v>-3.564769751170644</v>
      </c>
      <c r="AL858" s="1">
        <f>Table2[[#This Row],[EV Err]]^2</f>
        <v>12.707583378861216</v>
      </c>
    </row>
    <row r="859" spans="1:38" x14ac:dyDescent="0.25">
      <c r="A859" t="s">
        <v>157</v>
      </c>
      <c r="B859" t="s">
        <v>27</v>
      </c>
      <c r="C859" t="s">
        <v>35</v>
      </c>
      <c r="K859" s="25">
        <f>(Table2[[#This Row],[Home Pace]]/100)*(VLOOKUP(Table2[[#This Row],[Home/Neutral]],home_lookup,8,FALSE)+VLOOKUP(Table2[[#This Row],[Home/Neutral]],OFR_lookup,2,FALSE)+VLOOKUP(Table2[[#This Row],[Visitor/Neutral]],def_diff_lookup,6,FALSE))</f>
        <v>108.08955642647257</v>
      </c>
      <c r="L859" s="25"/>
      <c r="M859" s="25">
        <f>(Table2[[#This Row],[Away Pace]]/100)*(VLOOKUP(Table2[[#This Row],[Visitor/Neutral]],OFR_lookup,2,FALSE)+VLOOKUP(Table2[[#This Row],[Home/Neutral]],def_diff_lookup,6,FALSE))</f>
        <v>105.41998133333335</v>
      </c>
      <c r="N859" s="25"/>
      <c r="O859" s="25"/>
      <c r="P859">
        <f>VLOOKUP(Table2[[#This Row],[Home/Neutral]],pace_lookup,7,FALSE)</f>
        <v>99</v>
      </c>
      <c r="Q859" s="5">
        <f>VLOOKUP(Table2[[#This Row],[Visitor/Neutral]],pace_lookup,7,FALSE)</f>
        <v>102.2</v>
      </c>
      <c r="R859" s="9"/>
      <c r="V859" s="2">
        <f>-home-VLOOKUP(Table2[[#This Row],[Home/Neutral]],rtg_vlookup,4,FALSE)+VLOOKUP(Table2[[#This Row],[Visitor/Neutral]],rtg_vlookup,4,FALSE)</f>
        <v>-8.4451184834123296</v>
      </c>
      <c r="W859" s="25"/>
      <c r="X859" s="2"/>
      <c r="Y859" s="2">
        <f>Table2[[#This Row],[Away EV]]-Table2[[#This Row],[Home EV]]</f>
        <v>-2.6695750931392155</v>
      </c>
      <c r="Z859" s="33"/>
      <c r="AA859" s="34"/>
      <c r="AB859" s="5" t="b">
        <f>IF(VLOOKUP(Table2[[#This Row],[Home/Neutral]],division_lookup,9,FALSE)=VLOOKUP(Table2[[#This Row],[Visitor/Neutral]],division_lookup,9,FALSE),TRUE,FALSE)</f>
        <v>0</v>
      </c>
      <c r="AC859" s="19" t="str">
        <f>VLOOKUP(Table2[[#This Row],[Home/Neutral]],division_lookup,9,FALSE)</f>
        <v>NW</v>
      </c>
      <c r="AD859" s="19"/>
      <c r="AE859" s="19" t="str">
        <f>IF(Table2[[#This Row],[Total EV ®]]&lt;Table2[[#This Row],[Total (V)]],"UNDER","OVER")</f>
        <v>OVER</v>
      </c>
      <c r="AF859" s="30">
        <f>Table2[[#This Row],[(A) Spread]]-Table2[[#This Row],[Spread (V)]]</f>
        <v>0</v>
      </c>
      <c r="AG859" s="19"/>
      <c r="AH859" s="2">
        <f>Table2[[#This Row],[EV]]-Table2[[#This Row],[Spread (V)]]</f>
        <v>-2.6695750931392155</v>
      </c>
      <c r="AI859" s="22">
        <f>Table2[[#This Row],[(A)]]-Table2[[#This Row],[Spread]]</f>
        <v>-8.4451184834123296</v>
      </c>
      <c r="AJ859" s="1">
        <f>Table2[[#This Row],[(A) Err]]^2</f>
        <v>71.320026198872569</v>
      </c>
      <c r="AK859" s="6">
        <f>Table2[[#This Row],[EV]]-Table2[[#This Row],[Spread]]</f>
        <v>-2.6695750931392155</v>
      </c>
      <c r="AL859" s="1">
        <f>Table2[[#This Row],[EV Err]]^2</f>
        <v>7.1266311779092506</v>
      </c>
    </row>
    <row r="860" spans="1:38" x14ac:dyDescent="0.25">
      <c r="A860" t="s">
        <v>157</v>
      </c>
      <c r="B860" t="s">
        <v>33</v>
      </c>
      <c r="C860" t="s">
        <v>23</v>
      </c>
      <c r="K860" s="25">
        <f>(Table2[[#This Row],[Home Pace]]/100)*(VLOOKUP(Table2[[#This Row],[Home/Neutral]],home_lookup,8,FALSE)+VLOOKUP(Table2[[#This Row],[Home/Neutral]],OFR_lookup,2,FALSE)+VLOOKUP(Table2[[#This Row],[Visitor/Neutral]],def_diff_lookup,6,FALSE))</f>
        <v>103.21783852057507</v>
      </c>
      <c r="L860" s="25"/>
      <c r="M860" s="25">
        <f>(Table2[[#This Row],[Away Pace]]/100)*(VLOOKUP(Table2[[#This Row],[Visitor/Neutral]],OFR_lookup,2,FALSE)+VLOOKUP(Table2[[#This Row],[Home/Neutral]],def_diff_lookup,6,FALSE))</f>
        <v>98.790616666666693</v>
      </c>
      <c r="N860" s="25"/>
      <c r="O860" s="25"/>
      <c r="P860">
        <f>VLOOKUP(Table2[[#This Row],[Home/Neutral]],pace_lookup,7,FALSE)</f>
        <v>98.2</v>
      </c>
      <c r="Q860" s="5">
        <f>VLOOKUP(Table2[[#This Row],[Visitor/Neutral]],pace_lookup,7,FALSE)</f>
        <v>92.5</v>
      </c>
      <c r="R860" s="9"/>
      <c r="V860" s="2">
        <f>-home-VLOOKUP(Table2[[#This Row],[Home/Neutral]],rtg_vlookup,4,FALSE)+VLOOKUP(Table2[[#This Row],[Visitor/Neutral]],rtg_vlookup,4,FALSE)</f>
        <v>4.9148815165876698</v>
      </c>
      <c r="W860" s="25"/>
      <c r="X860" s="2"/>
      <c r="Y860" s="2">
        <f>Table2[[#This Row],[Away EV]]-Table2[[#This Row],[Home EV]]</f>
        <v>-4.4272218539083781</v>
      </c>
      <c r="Z860" s="33"/>
      <c r="AA860" s="34"/>
      <c r="AB860" s="5" t="b">
        <f>IF(VLOOKUP(Table2[[#This Row],[Home/Neutral]],division_lookup,9,FALSE)=VLOOKUP(Table2[[#This Row],[Visitor/Neutral]],division_lookup,9,FALSE),TRUE,FALSE)</f>
        <v>0</v>
      </c>
      <c r="AC860" s="19" t="str">
        <f>VLOOKUP(Table2[[#This Row],[Home/Neutral]],division_lookup,9,FALSE)</f>
        <v>C</v>
      </c>
      <c r="AD860" s="19"/>
      <c r="AE860" s="19" t="str">
        <f>IF(Table2[[#This Row],[Total EV ®]]&lt;Table2[[#This Row],[Total (V)]],"UNDER","OVER")</f>
        <v>OVER</v>
      </c>
      <c r="AF860" s="30">
        <f>Table2[[#This Row],[(A) Spread]]-Table2[[#This Row],[Spread (V)]]</f>
        <v>0</v>
      </c>
      <c r="AG860" s="19"/>
      <c r="AH860" s="2">
        <f>Table2[[#This Row],[EV]]-Table2[[#This Row],[Spread (V)]]</f>
        <v>-4.4272218539083781</v>
      </c>
      <c r="AI860" s="22">
        <f>Table2[[#This Row],[(A)]]-Table2[[#This Row],[Spread]]</f>
        <v>4.9148815165876698</v>
      </c>
      <c r="AJ860" s="1">
        <f>Table2[[#This Row],[(A) Err]]^2</f>
        <v>24.156060322095112</v>
      </c>
      <c r="AK860" s="6">
        <f>Table2[[#This Row],[EV]]-Table2[[#This Row],[Spread]]</f>
        <v>-4.4272218539083781</v>
      </c>
      <c r="AL860" s="1">
        <f>Table2[[#This Row],[EV Err]]^2</f>
        <v>19.600293343723937</v>
      </c>
    </row>
    <row r="861" spans="1:38" x14ac:dyDescent="0.25">
      <c r="A861" t="s">
        <v>157</v>
      </c>
      <c r="B861" t="s">
        <v>4</v>
      </c>
      <c r="C861" t="s">
        <v>6</v>
      </c>
      <c r="K861" s="25">
        <f>(Table2[[#This Row],[Home Pace]]/100)*(VLOOKUP(Table2[[#This Row],[Home/Neutral]],home_lookup,8,FALSE)+VLOOKUP(Table2[[#This Row],[Home/Neutral]],OFR_lookup,2,FALSE)+VLOOKUP(Table2[[#This Row],[Visitor/Neutral]],def_diff_lookup,6,FALSE))</f>
        <v>100.08894781393445</v>
      </c>
      <c r="L861" s="25"/>
      <c r="M861" s="25">
        <f>(Table2[[#This Row],[Away Pace]]/100)*(VLOOKUP(Table2[[#This Row],[Visitor/Neutral]],OFR_lookup,2,FALSE)+VLOOKUP(Table2[[#This Row],[Home/Neutral]],def_diff_lookup,6,FALSE))</f>
        <v>97.681140666666664</v>
      </c>
      <c r="N861" s="25"/>
      <c r="O861" s="25"/>
      <c r="P861">
        <f>VLOOKUP(Table2[[#This Row],[Home/Neutral]],pace_lookup,7,FALSE)</f>
        <v>96.6</v>
      </c>
      <c r="Q861" s="5">
        <f>VLOOKUP(Table2[[#This Row],[Visitor/Neutral]],pace_lookup,7,FALSE)</f>
        <v>93.1</v>
      </c>
      <c r="R861" s="9"/>
      <c r="V861" s="2">
        <f>-home-VLOOKUP(Table2[[#This Row],[Home/Neutral]],rtg_vlookup,4,FALSE)+VLOOKUP(Table2[[#This Row],[Visitor/Neutral]],rtg_vlookup,4,FALSE)</f>
        <v>-10.365118483412331</v>
      </c>
      <c r="W861" s="25"/>
      <c r="X861" s="2"/>
      <c r="Y861" s="2">
        <f>Table2[[#This Row],[Away EV]]-Table2[[#This Row],[Home EV]]</f>
        <v>-2.4078071472677891</v>
      </c>
      <c r="Z861" s="33"/>
      <c r="AA861" s="34"/>
      <c r="AB861" s="5" t="b">
        <f>IF(VLOOKUP(Table2[[#This Row],[Home/Neutral]],division_lookup,9,FALSE)=VLOOKUP(Table2[[#This Row],[Visitor/Neutral]],division_lookup,9,FALSE),TRUE,FALSE)</f>
        <v>0</v>
      </c>
      <c r="AC861" s="19" t="str">
        <f>VLOOKUP(Table2[[#This Row],[Home/Neutral]],division_lookup,9,FALSE)</f>
        <v>P</v>
      </c>
      <c r="AD861" s="19"/>
      <c r="AE861" s="19" t="str">
        <f>IF(Table2[[#This Row],[Total EV ®]]&lt;Table2[[#This Row],[Total (V)]],"UNDER","OVER")</f>
        <v>OVER</v>
      </c>
      <c r="AF861" s="30">
        <f>Table2[[#This Row],[(A) Spread]]-Table2[[#This Row],[Spread (V)]]</f>
        <v>0</v>
      </c>
      <c r="AG861" s="19"/>
      <c r="AH861" s="2">
        <f>Table2[[#This Row],[EV]]-Table2[[#This Row],[Spread (V)]]</f>
        <v>-2.4078071472677891</v>
      </c>
      <c r="AI861" s="22">
        <f>Table2[[#This Row],[(A)]]-Table2[[#This Row],[Spread]]</f>
        <v>-10.365118483412331</v>
      </c>
      <c r="AJ861" s="1">
        <f>Table2[[#This Row],[(A) Err]]^2</f>
        <v>107.43568117517594</v>
      </c>
      <c r="AK861" s="6">
        <f>Table2[[#This Row],[EV]]-Table2[[#This Row],[Spread]]</f>
        <v>-2.4078071472677891</v>
      </c>
      <c r="AL861" s="1">
        <f>Table2[[#This Row],[EV Err]]^2</f>
        <v>5.7975352584338484</v>
      </c>
    </row>
    <row r="862" spans="1:38" x14ac:dyDescent="0.25">
      <c r="A862" t="s">
        <v>157</v>
      </c>
      <c r="B862" t="s">
        <v>30</v>
      </c>
      <c r="C862" t="s">
        <v>20</v>
      </c>
      <c r="K862" s="25">
        <f>(Table2[[#This Row],[Home Pace]]/100)*(VLOOKUP(Table2[[#This Row],[Home/Neutral]],home_lookup,8,FALSE)+VLOOKUP(Table2[[#This Row],[Home/Neutral]],OFR_lookup,2,FALSE)+VLOOKUP(Table2[[#This Row],[Visitor/Neutral]],def_diff_lookup,6,FALSE))</f>
        <v>106.69904034993645</v>
      </c>
      <c r="L862" s="25"/>
      <c r="M862" s="25">
        <f>(Table2[[#This Row],[Away Pace]]/100)*(VLOOKUP(Table2[[#This Row],[Visitor/Neutral]],OFR_lookup,2,FALSE)+VLOOKUP(Table2[[#This Row],[Home/Neutral]],def_diff_lookup,6,FALSE))</f>
        <v>98.654376000000028</v>
      </c>
      <c r="N862" s="25"/>
      <c r="O862" s="25"/>
      <c r="P862">
        <f>VLOOKUP(Table2[[#This Row],[Home/Neutral]],pace_lookup,7,FALSE)</f>
        <v>96.8</v>
      </c>
      <c r="Q862" s="5">
        <f>VLOOKUP(Table2[[#This Row],[Visitor/Neutral]],pace_lookup,7,FALSE)</f>
        <v>90.9</v>
      </c>
      <c r="R862" s="9"/>
      <c r="V862" s="2">
        <f>-home-VLOOKUP(Table2[[#This Row],[Home/Neutral]],rtg_vlookup,4,FALSE)+VLOOKUP(Table2[[#This Row],[Visitor/Neutral]],rtg_vlookup,4,FALSE)</f>
        <v>1.524881516587669</v>
      </c>
      <c r="W862" s="25"/>
      <c r="X862" s="2"/>
      <c r="Y862" s="2">
        <f>Table2[[#This Row],[Away EV]]-Table2[[#This Row],[Home EV]]</f>
        <v>-8.0446643499364257</v>
      </c>
      <c r="Z862" s="33"/>
      <c r="AA862" s="34"/>
      <c r="AB862" s="5" t="b">
        <f>IF(VLOOKUP(Table2[[#This Row],[Home/Neutral]],division_lookup,9,FALSE)=VLOOKUP(Table2[[#This Row],[Visitor/Neutral]],division_lookup,9,FALSE),TRUE,FALSE)</f>
        <v>0</v>
      </c>
      <c r="AC862" s="19" t="str">
        <f>VLOOKUP(Table2[[#This Row],[Home/Neutral]],division_lookup,9,FALSE)</f>
        <v>C</v>
      </c>
      <c r="AD862" s="19"/>
      <c r="AE862" s="19" t="str">
        <f>IF(Table2[[#This Row],[Total EV ®]]&lt;Table2[[#This Row],[Total (V)]],"UNDER","OVER")</f>
        <v>OVER</v>
      </c>
      <c r="AF862" s="30">
        <f>Table2[[#This Row],[(A) Spread]]-Table2[[#This Row],[Spread (V)]]</f>
        <v>0</v>
      </c>
      <c r="AG862" s="19"/>
      <c r="AH862" s="2">
        <f>Table2[[#This Row],[EV]]-Table2[[#This Row],[Spread (V)]]</f>
        <v>-8.0446643499364257</v>
      </c>
      <c r="AI862" s="22">
        <f>Table2[[#This Row],[(A)]]-Table2[[#This Row],[Spread]]</f>
        <v>1.524881516587669</v>
      </c>
      <c r="AJ862" s="1">
        <f>Table2[[#This Row],[(A) Err]]^2</f>
        <v>2.3252636396307094</v>
      </c>
      <c r="AK862" s="6">
        <f>Table2[[#This Row],[EV]]-Table2[[#This Row],[Spread]]</f>
        <v>-8.0446643499364257</v>
      </c>
      <c r="AL862" s="1">
        <f>Table2[[#This Row],[EV Err]]^2</f>
        <v>64.71662450313805</v>
      </c>
    </row>
    <row r="863" spans="1:38" x14ac:dyDescent="0.25">
      <c r="A863" t="s">
        <v>157</v>
      </c>
      <c r="B863" t="s">
        <v>22</v>
      </c>
      <c r="C863" t="s">
        <v>37</v>
      </c>
      <c r="K863" s="25">
        <f>(Table2[[#This Row],[Home Pace]]/100)*(VLOOKUP(Table2[[#This Row],[Home/Neutral]],home_lookup,8,FALSE)+VLOOKUP(Table2[[#This Row],[Home/Neutral]],OFR_lookup,2,FALSE)+VLOOKUP(Table2[[#This Row],[Visitor/Neutral]],def_diff_lookup,6,FALSE))</f>
        <v>108.02758922968977</v>
      </c>
      <c r="L863" s="25"/>
      <c r="M863" s="25">
        <f>(Table2[[#This Row],[Away Pace]]/100)*(VLOOKUP(Table2[[#This Row],[Visitor/Neutral]],OFR_lookup,2,FALSE)+VLOOKUP(Table2[[#This Row],[Home/Neutral]],def_diff_lookup,6,FALSE))</f>
        <v>91.907204000000007</v>
      </c>
      <c r="N863" s="25"/>
      <c r="O863" s="25"/>
      <c r="P863">
        <f>VLOOKUP(Table2[[#This Row],[Home/Neutral]],pace_lookup,7,FALSE)</f>
        <v>94.7</v>
      </c>
      <c r="Q863" s="5">
        <f>VLOOKUP(Table2[[#This Row],[Visitor/Neutral]],pace_lookup,7,FALSE)</f>
        <v>92.1</v>
      </c>
      <c r="R863" s="9"/>
      <c r="V863" s="2">
        <f>-home-VLOOKUP(Table2[[#This Row],[Home/Neutral]],rtg_vlookup,4,FALSE)+VLOOKUP(Table2[[#This Row],[Visitor/Neutral]],rtg_vlookup,4,FALSE)</f>
        <v>-11.115118483412331</v>
      </c>
      <c r="W863" s="25"/>
      <c r="X863" s="2"/>
      <c r="Y863" s="2">
        <f>Table2[[#This Row],[Away EV]]-Table2[[#This Row],[Home EV]]</f>
        <v>-16.120385229689759</v>
      </c>
      <c r="Z863" s="33"/>
      <c r="AA863" s="34"/>
      <c r="AB863" s="5" t="b">
        <f>IF(VLOOKUP(Table2[[#This Row],[Home/Neutral]],division_lookup,9,FALSE)=VLOOKUP(Table2[[#This Row],[Visitor/Neutral]],division_lookup,9,FALSE),TRUE,FALSE)</f>
        <v>0</v>
      </c>
      <c r="AC863" s="19" t="str">
        <f>VLOOKUP(Table2[[#This Row],[Home/Neutral]],division_lookup,9,FALSE)</f>
        <v>NW</v>
      </c>
      <c r="AD863" s="19"/>
      <c r="AE863" s="19" t="str">
        <f>IF(Table2[[#This Row],[Total EV ®]]&lt;Table2[[#This Row],[Total (V)]],"UNDER","OVER")</f>
        <v>OVER</v>
      </c>
      <c r="AF863" s="30">
        <f>Table2[[#This Row],[(A) Spread]]-Table2[[#This Row],[Spread (V)]]</f>
        <v>0</v>
      </c>
      <c r="AG863" s="19"/>
      <c r="AH863" s="2">
        <f>Table2[[#This Row],[EV]]-Table2[[#This Row],[Spread (V)]]</f>
        <v>-16.120385229689759</v>
      </c>
      <c r="AI863" s="22">
        <f>Table2[[#This Row],[(A)]]-Table2[[#This Row],[Spread]]</f>
        <v>-11.115118483412331</v>
      </c>
      <c r="AJ863" s="1">
        <f>Table2[[#This Row],[(A) Err]]^2</f>
        <v>123.54585890029445</v>
      </c>
      <c r="AK863" s="6">
        <f>Table2[[#This Row],[EV]]-Table2[[#This Row],[Spread]]</f>
        <v>-16.120385229689759</v>
      </c>
      <c r="AL863" s="1">
        <f>Table2[[#This Row],[EV Err]]^2</f>
        <v>259.86681995359976</v>
      </c>
    </row>
    <row r="864" spans="1:38" x14ac:dyDescent="0.25">
      <c r="A864" t="s">
        <v>157</v>
      </c>
      <c r="B864" t="s">
        <v>18</v>
      </c>
      <c r="C864" t="s">
        <v>24</v>
      </c>
      <c r="K864" s="25">
        <f>(Table2[[#This Row],[Home Pace]]/100)*(VLOOKUP(Table2[[#This Row],[Home/Neutral]],home_lookup,8,FALSE)+VLOOKUP(Table2[[#This Row],[Home/Neutral]],OFR_lookup,2,FALSE)+VLOOKUP(Table2[[#This Row],[Visitor/Neutral]],def_diff_lookup,6,FALSE))</f>
        <v>106.81545616021131</v>
      </c>
      <c r="L864" s="25"/>
      <c r="M864" s="25">
        <f>(Table2[[#This Row],[Away Pace]]/100)*(VLOOKUP(Table2[[#This Row],[Visitor/Neutral]],OFR_lookup,2,FALSE)+VLOOKUP(Table2[[#This Row],[Home/Neutral]],def_diff_lookup,6,FALSE))</f>
        <v>106.24431600000001</v>
      </c>
      <c r="N864" s="25"/>
      <c r="O864" s="25"/>
      <c r="P864">
        <f>VLOOKUP(Table2[[#This Row],[Home/Neutral]],pace_lookup,7,FALSE)</f>
        <v>99.5</v>
      </c>
      <c r="Q864" s="5">
        <f>VLOOKUP(Table2[[#This Row],[Visitor/Neutral]],pace_lookup,7,FALSE)</f>
        <v>99.9</v>
      </c>
      <c r="R864" s="9"/>
      <c r="V864" s="2">
        <f>-home-VLOOKUP(Table2[[#This Row],[Home/Neutral]],rtg_vlookup,4,FALSE)+VLOOKUP(Table2[[#This Row],[Visitor/Neutral]],rtg_vlookup,4,FALSE)</f>
        <v>-4.795118483412331</v>
      </c>
      <c r="W864" s="25"/>
      <c r="X864" s="2"/>
      <c r="Y864" s="2">
        <f>Table2[[#This Row],[Away EV]]-Table2[[#This Row],[Home EV]]</f>
        <v>-0.57114016021129999</v>
      </c>
      <c r="Z864" s="33"/>
      <c r="AA864" s="34"/>
      <c r="AB864" s="5" t="b">
        <f>IF(VLOOKUP(Table2[[#This Row],[Home/Neutral]],division_lookup,9,FALSE)=VLOOKUP(Table2[[#This Row],[Visitor/Neutral]],division_lookup,9,FALSE),TRUE,FALSE)</f>
        <v>0</v>
      </c>
      <c r="AC864" s="19" t="str">
        <f>VLOOKUP(Table2[[#This Row],[Home/Neutral]],division_lookup,9,FALSE)</f>
        <v>NW</v>
      </c>
      <c r="AD864" s="19"/>
      <c r="AE864" s="19" t="str">
        <f>IF(Table2[[#This Row],[Total EV ®]]&lt;Table2[[#This Row],[Total (V)]],"UNDER","OVER")</f>
        <v>OVER</v>
      </c>
      <c r="AF864" s="30">
        <f>Table2[[#This Row],[(A) Spread]]-Table2[[#This Row],[Spread (V)]]</f>
        <v>0</v>
      </c>
      <c r="AG864" s="19"/>
      <c r="AH864" s="2">
        <f>Table2[[#This Row],[EV]]-Table2[[#This Row],[Spread (V)]]</f>
        <v>-0.57114016021129999</v>
      </c>
      <c r="AI864" s="22">
        <f>Table2[[#This Row],[(A)]]-Table2[[#This Row],[Spread]]</f>
        <v>-4.795118483412331</v>
      </c>
      <c r="AJ864" s="1">
        <f>Table2[[#This Row],[(A) Err]]^2</f>
        <v>22.993161269962574</v>
      </c>
      <c r="AK864" s="6">
        <f>Table2[[#This Row],[EV]]-Table2[[#This Row],[Spread]]</f>
        <v>-0.57114016021129999</v>
      </c>
      <c r="AL864" s="1">
        <f>Table2[[#This Row],[EV Err]]^2</f>
        <v>0.32620108260618941</v>
      </c>
    </row>
    <row r="865" spans="1:38" x14ac:dyDescent="0.25">
      <c r="A865" t="s">
        <v>157</v>
      </c>
      <c r="B865" t="s">
        <v>39</v>
      </c>
      <c r="C865" t="s">
        <v>28</v>
      </c>
      <c r="K865" s="25">
        <f>(Table2[[#This Row],[Home Pace]]/100)*(VLOOKUP(Table2[[#This Row],[Home/Neutral]],home_lookup,8,FALSE)+VLOOKUP(Table2[[#This Row],[Home/Neutral]],OFR_lookup,2,FALSE)+VLOOKUP(Table2[[#This Row],[Visitor/Neutral]],def_diff_lookup,6,FALSE))</f>
        <v>110.24327211468578</v>
      </c>
      <c r="L865" s="25"/>
      <c r="M865" s="25">
        <f>(Table2[[#This Row],[Away Pace]]/100)*(VLOOKUP(Table2[[#This Row],[Visitor/Neutral]],OFR_lookup,2,FALSE)+VLOOKUP(Table2[[#This Row],[Home/Neutral]],def_diff_lookup,6,FALSE))</f>
        <v>106.31584199999999</v>
      </c>
      <c r="N865" s="25"/>
      <c r="O865" s="25"/>
      <c r="P865">
        <f>VLOOKUP(Table2[[#This Row],[Home/Neutral]],pace_lookup,7,FALSE)</f>
        <v>97.5</v>
      </c>
      <c r="Q865" s="5">
        <f>VLOOKUP(Table2[[#This Row],[Visitor/Neutral]],pace_lookup,7,FALSE)</f>
        <v>96.3</v>
      </c>
      <c r="R865" s="9"/>
      <c r="V865" s="2">
        <f>-home-VLOOKUP(Table2[[#This Row],[Home/Neutral]],rtg_vlookup,4,FALSE)+VLOOKUP(Table2[[#This Row],[Visitor/Neutral]],rtg_vlookup,4,FALSE)</f>
        <v>4.6348815165876687</v>
      </c>
      <c r="W865" s="25"/>
      <c r="X865" s="2"/>
      <c r="Y865" s="2">
        <f>Table2[[#This Row],[Away EV]]-Table2[[#This Row],[Home EV]]</f>
        <v>-3.9274301146857908</v>
      </c>
      <c r="Z865" s="33"/>
      <c r="AA865" s="34"/>
      <c r="AB865" s="5" t="b">
        <f>IF(VLOOKUP(Table2[[#This Row],[Home/Neutral]],division_lookup,9,FALSE)=VLOOKUP(Table2[[#This Row],[Visitor/Neutral]],division_lookup,9,FALSE),TRUE,FALSE)</f>
        <v>0</v>
      </c>
      <c r="AC865" s="19" t="str">
        <f>VLOOKUP(Table2[[#This Row],[Home/Neutral]],division_lookup,9,FALSE)</f>
        <v>A</v>
      </c>
      <c r="AD865" s="19"/>
      <c r="AE865" s="19" t="str">
        <f>IF(Table2[[#This Row],[Total EV ®]]&lt;Table2[[#This Row],[Total (V)]],"UNDER","OVER")</f>
        <v>OVER</v>
      </c>
      <c r="AF865" s="30">
        <f>Table2[[#This Row],[(A) Spread]]-Table2[[#This Row],[Spread (V)]]</f>
        <v>0</v>
      </c>
      <c r="AG865" s="19"/>
      <c r="AH865" s="2">
        <f>Table2[[#This Row],[EV]]-Table2[[#This Row],[Spread (V)]]</f>
        <v>-3.9274301146857908</v>
      </c>
      <c r="AI865" s="22">
        <f>Table2[[#This Row],[(A)]]-Table2[[#This Row],[Spread]]</f>
        <v>4.6348815165876687</v>
      </c>
      <c r="AJ865" s="1">
        <f>Table2[[#This Row],[(A) Err]]^2</f>
        <v>21.482126672806007</v>
      </c>
      <c r="AK865" s="6">
        <f>Table2[[#This Row],[EV]]-Table2[[#This Row],[Spread]]</f>
        <v>-3.9274301146857908</v>
      </c>
      <c r="AL865" s="1">
        <f>Table2[[#This Row],[EV Err]]^2</f>
        <v>15.424707305740844</v>
      </c>
    </row>
    <row r="866" spans="1:38" x14ac:dyDescent="0.25">
      <c r="A866" t="s">
        <v>157</v>
      </c>
      <c r="B866" t="s">
        <v>14</v>
      </c>
      <c r="C866" t="s">
        <v>26</v>
      </c>
      <c r="K866" s="25">
        <f>(Table2[[#This Row],[Home Pace]]/100)*(VLOOKUP(Table2[[#This Row],[Home/Neutral]],home_lookup,8,FALSE)+VLOOKUP(Table2[[#This Row],[Home/Neutral]],OFR_lookup,2,FALSE)+VLOOKUP(Table2[[#This Row],[Visitor/Neutral]],def_diff_lookup,6,FALSE))</f>
        <v>108.84603414241451</v>
      </c>
      <c r="L866" s="25"/>
      <c r="M866" s="25">
        <f>(Table2[[#This Row],[Away Pace]]/100)*(VLOOKUP(Table2[[#This Row],[Visitor/Neutral]],OFR_lookup,2,FALSE)+VLOOKUP(Table2[[#This Row],[Home/Neutral]],def_diff_lookup,6,FALSE))</f>
        <v>105.34144000000001</v>
      </c>
      <c r="N866" s="25"/>
      <c r="O866" s="25"/>
      <c r="P866">
        <f>VLOOKUP(Table2[[#This Row],[Home/Neutral]],pace_lookup,7,FALSE)</f>
        <v>95.9</v>
      </c>
      <c r="Q866" s="5">
        <f>VLOOKUP(Table2[[#This Row],[Visitor/Neutral]],pace_lookup,7,FALSE)</f>
        <v>96</v>
      </c>
      <c r="R866" s="9"/>
      <c r="V866" s="2">
        <f>-home-VLOOKUP(Table2[[#This Row],[Home/Neutral]],rtg_vlookup,4,FALSE)+VLOOKUP(Table2[[#This Row],[Visitor/Neutral]],rtg_vlookup,4,FALSE)</f>
        <v>-7.9151184834123303</v>
      </c>
      <c r="W866" s="25"/>
      <c r="X866" s="2"/>
      <c r="Y866" s="2">
        <f>Table2[[#This Row],[Away EV]]-Table2[[#This Row],[Home EV]]</f>
        <v>-3.5045941424145042</v>
      </c>
      <c r="Z866" s="33"/>
      <c r="AA866" s="34"/>
      <c r="AB866" s="5" t="b">
        <f>IF(VLOOKUP(Table2[[#This Row],[Home/Neutral]],division_lookup,9,FALSE)=VLOOKUP(Table2[[#This Row],[Visitor/Neutral]],division_lookup,9,FALSE),TRUE,FALSE)</f>
        <v>1</v>
      </c>
      <c r="AC866" s="19" t="str">
        <f>VLOOKUP(Table2[[#This Row],[Home/Neutral]],division_lookup,9,FALSE)</f>
        <v>A</v>
      </c>
      <c r="AD866" s="19"/>
      <c r="AE866" s="19" t="str">
        <f>IF(Table2[[#This Row],[Total EV ®]]&lt;Table2[[#This Row],[Total (V)]],"UNDER","OVER")</f>
        <v>OVER</v>
      </c>
      <c r="AF866" s="30">
        <f>Table2[[#This Row],[(A) Spread]]-Table2[[#This Row],[Spread (V)]]</f>
        <v>0</v>
      </c>
      <c r="AG866" s="19"/>
      <c r="AH866" s="2">
        <f>Table2[[#This Row],[EV]]-Table2[[#This Row],[Spread (V)]]</f>
        <v>-3.5045941424145042</v>
      </c>
      <c r="AI866" s="22">
        <f>Table2[[#This Row],[(A)]]-Table2[[#This Row],[Spread]]</f>
        <v>-7.9151184834123303</v>
      </c>
      <c r="AJ866" s="1">
        <f>Table2[[#This Row],[(A) Err]]^2</f>
        <v>62.649100606455505</v>
      </c>
      <c r="AK866" s="6">
        <f>Table2[[#This Row],[EV]]-Table2[[#This Row],[Spread]]</f>
        <v>-3.5045941424145042</v>
      </c>
      <c r="AL866" s="1">
        <f>Table2[[#This Row],[EV Err]]^2</f>
        <v>12.282180103046054</v>
      </c>
    </row>
    <row r="867" spans="1:38" x14ac:dyDescent="0.25">
      <c r="A867" t="s">
        <v>158</v>
      </c>
      <c r="B867" t="s">
        <v>8</v>
      </c>
      <c r="C867" t="s">
        <v>13</v>
      </c>
      <c r="K867" s="25">
        <f>(Table2[[#This Row],[Home Pace]]/100)*(VLOOKUP(Table2[[#This Row],[Home/Neutral]],home_lookup,8,FALSE)+VLOOKUP(Table2[[#This Row],[Home/Neutral]],OFR_lookup,2,FALSE)+VLOOKUP(Table2[[#This Row],[Visitor/Neutral]],def_diff_lookup,6,FALSE))</f>
        <v>104.11602036898181</v>
      </c>
      <c r="L867" s="25"/>
      <c r="M867" s="25">
        <f>(Table2[[#This Row],[Away Pace]]/100)*(VLOOKUP(Table2[[#This Row],[Visitor/Neutral]],OFR_lookup,2,FALSE)+VLOOKUP(Table2[[#This Row],[Home/Neutral]],def_diff_lookup,6,FALSE))</f>
        <v>103.27968000000001</v>
      </c>
      <c r="N867" s="25"/>
      <c r="O867" s="25"/>
      <c r="P867">
        <f>VLOOKUP(Table2[[#This Row],[Home/Neutral]],pace_lookup,7,FALSE)</f>
        <v>97.2</v>
      </c>
      <c r="Q867" s="5">
        <f>VLOOKUP(Table2[[#This Row],[Visitor/Neutral]],pace_lookup,7,FALSE)</f>
        <v>94.5</v>
      </c>
      <c r="R867" s="9"/>
      <c r="V867" s="2">
        <f>-home-VLOOKUP(Table2[[#This Row],[Home/Neutral]],rtg_vlookup,4,FALSE)+VLOOKUP(Table2[[#This Row],[Visitor/Neutral]],rtg_vlookup,4,FALSE)</f>
        <v>-3.9451184834123305</v>
      </c>
      <c r="W867" s="25"/>
      <c r="X867" s="2"/>
      <c r="Y867" s="2">
        <f>Table2[[#This Row],[Away EV]]-Table2[[#This Row],[Home EV]]</f>
        <v>-0.83634036898179431</v>
      </c>
      <c r="Z867" s="33"/>
      <c r="AA867" s="34"/>
      <c r="AB867" s="5" t="b">
        <f>IF(VLOOKUP(Table2[[#This Row],[Home/Neutral]],division_lookup,9,FALSE)=VLOOKUP(Table2[[#This Row],[Visitor/Neutral]],division_lookup,9,FALSE),TRUE,FALSE)</f>
        <v>1</v>
      </c>
      <c r="AC867" s="19" t="str">
        <f>VLOOKUP(Table2[[#This Row],[Home/Neutral]],division_lookup,9,FALSE)</f>
        <v>C</v>
      </c>
      <c r="AD867" s="19"/>
      <c r="AE867" s="19" t="str">
        <f>IF(Table2[[#This Row],[Total EV ®]]&lt;Table2[[#This Row],[Total (V)]],"UNDER","OVER")</f>
        <v>OVER</v>
      </c>
      <c r="AF867" s="30">
        <f>Table2[[#This Row],[(A) Spread]]-Table2[[#This Row],[Spread (V)]]</f>
        <v>0</v>
      </c>
      <c r="AG867" s="19"/>
      <c r="AH867" s="2">
        <f>Table2[[#This Row],[EV]]-Table2[[#This Row],[Spread (V)]]</f>
        <v>-0.83634036898179431</v>
      </c>
      <c r="AI867" s="22">
        <f>Table2[[#This Row],[(A)]]-Table2[[#This Row],[Spread]]</f>
        <v>-3.9451184834123305</v>
      </c>
      <c r="AJ867" s="1">
        <f>Table2[[#This Row],[(A) Err]]^2</f>
        <v>15.563959848161607</v>
      </c>
      <c r="AK867" s="6">
        <f>Table2[[#This Row],[EV]]-Table2[[#This Row],[Spread]]</f>
        <v>-0.83634036898179431</v>
      </c>
      <c r="AL867" s="1">
        <f>Table2[[#This Row],[EV Err]]^2</f>
        <v>0.69946521278860385</v>
      </c>
    </row>
    <row r="868" spans="1:38" x14ac:dyDescent="0.25">
      <c r="A868" t="s">
        <v>158</v>
      </c>
      <c r="B868" t="s">
        <v>37</v>
      </c>
      <c r="C868" t="s">
        <v>34</v>
      </c>
      <c r="K868" s="25">
        <f>(Table2[[#This Row],[Home Pace]]/100)*(VLOOKUP(Table2[[#This Row],[Home/Neutral]],home_lookup,8,FALSE)+VLOOKUP(Table2[[#This Row],[Home/Neutral]],OFR_lookup,2,FALSE)+VLOOKUP(Table2[[#This Row],[Visitor/Neutral]],def_diff_lookup,6,FALSE))</f>
        <v>102.13715809362122</v>
      </c>
      <c r="L868" s="25"/>
      <c r="M868" s="25">
        <f>(Table2[[#This Row],[Away Pace]]/100)*(VLOOKUP(Table2[[#This Row],[Visitor/Neutral]],OFR_lookup,2,FALSE)+VLOOKUP(Table2[[#This Row],[Home/Neutral]],def_diff_lookup,6,FALSE))</f>
        <v>96.785138666666668</v>
      </c>
      <c r="N868" s="25"/>
      <c r="O868" s="25"/>
      <c r="P868">
        <f>VLOOKUP(Table2[[#This Row],[Home/Neutral]],pace_lookup,7,FALSE)</f>
        <v>92.1</v>
      </c>
      <c r="Q868" s="5">
        <f>VLOOKUP(Table2[[#This Row],[Visitor/Neutral]],pace_lookup,7,FALSE)</f>
        <v>98.8</v>
      </c>
      <c r="R868" s="9"/>
      <c r="V868" s="2">
        <f>-home-VLOOKUP(Table2[[#This Row],[Home/Neutral]],rtg_vlookup,4,FALSE)+VLOOKUP(Table2[[#This Row],[Visitor/Neutral]],rtg_vlookup,4,FALSE)</f>
        <v>-0.27511848341233058</v>
      </c>
      <c r="W868" s="25"/>
      <c r="X868" s="2"/>
      <c r="Y868" s="2">
        <f>Table2[[#This Row],[Away EV]]-Table2[[#This Row],[Home EV]]</f>
        <v>-5.3520194269545556</v>
      </c>
      <c r="Z868" s="33"/>
      <c r="AA868" s="34"/>
      <c r="AB868" s="5" t="b">
        <f>IF(VLOOKUP(Table2[[#This Row],[Home/Neutral]],division_lookup,9,FALSE)=VLOOKUP(Table2[[#This Row],[Visitor/Neutral]],division_lookup,9,FALSE),TRUE,FALSE)</f>
        <v>1</v>
      </c>
      <c r="AC868" s="19" t="str">
        <f>VLOOKUP(Table2[[#This Row],[Home/Neutral]],division_lookup,9,FALSE)</f>
        <v>SW</v>
      </c>
      <c r="AD868" s="19"/>
      <c r="AE868" s="19" t="str">
        <f>IF(Table2[[#This Row],[Total EV ®]]&lt;Table2[[#This Row],[Total (V)]],"UNDER","OVER")</f>
        <v>OVER</v>
      </c>
      <c r="AF868" s="30">
        <f>Table2[[#This Row],[(A) Spread]]-Table2[[#This Row],[Spread (V)]]</f>
        <v>0</v>
      </c>
      <c r="AG868" s="19"/>
      <c r="AH868" s="2">
        <f>Table2[[#This Row],[EV]]-Table2[[#This Row],[Spread (V)]]</f>
        <v>-5.3520194269545556</v>
      </c>
      <c r="AI868" s="22">
        <f>Table2[[#This Row],[(A)]]-Table2[[#This Row],[Spread]]</f>
        <v>-0.27511848341233058</v>
      </c>
      <c r="AJ868" s="1">
        <f>Table2[[#This Row],[(A) Err]]^2</f>
        <v>7.5690179915100825E-2</v>
      </c>
      <c r="AK868" s="6">
        <f>Table2[[#This Row],[EV]]-Table2[[#This Row],[Spread]]</f>
        <v>-5.3520194269545556</v>
      </c>
      <c r="AL868" s="1">
        <f>Table2[[#This Row],[EV Err]]^2</f>
        <v>28.64411194649897</v>
      </c>
    </row>
    <row r="869" spans="1:38" x14ac:dyDescent="0.25">
      <c r="A869" t="s">
        <v>158</v>
      </c>
      <c r="B869" t="s">
        <v>10</v>
      </c>
      <c r="C869" t="s">
        <v>35</v>
      </c>
      <c r="K869" s="25">
        <f>(Table2[[#This Row],[Home Pace]]/100)*(VLOOKUP(Table2[[#This Row],[Home/Neutral]],home_lookup,8,FALSE)+VLOOKUP(Table2[[#This Row],[Home/Neutral]],OFR_lookup,2,FALSE)+VLOOKUP(Table2[[#This Row],[Visitor/Neutral]],def_diff_lookup,6,FALSE))</f>
        <v>110.7770485379056</v>
      </c>
      <c r="L869" s="25"/>
      <c r="M869" s="25">
        <f>(Table2[[#This Row],[Away Pace]]/100)*(VLOOKUP(Table2[[#This Row],[Visitor/Neutral]],OFR_lookup,2,FALSE)+VLOOKUP(Table2[[#This Row],[Home/Neutral]],def_diff_lookup,6,FALSE))</f>
        <v>107.45376133333335</v>
      </c>
      <c r="N869" s="25"/>
      <c r="O869" s="25"/>
      <c r="P869">
        <f>VLOOKUP(Table2[[#This Row],[Home/Neutral]],pace_lookup,7,FALSE)</f>
        <v>100.3</v>
      </c>
      <c r="Q869" s="5">
        <f>VLOOKUP(Table2[[#This Row],[Visitor/Neutral]],pace_lookup,7,FALSE)</f>
        <v>102.2</v>
      </c>
      <c r="R869" s="9"/>
      <c r="V869" s="2">
        <f>-home-VLOOKUP(Table2[[#This Row],[Home/Neutral]],rtg_vlookup,4,FALSE)+VLOOKUP(Table2[[#This Row],[Visitor/Neutral]],rtg_vlookup,4,FALSE)</f>
        <v>-17.51511848341233</v>
      </c>
      <c r="W869" s="25"/>
      <c r="X869" s="2"/>
      <c r="Y869" s="2">
        <f>Table2[[#This Row],[Away EV]]-Table2[[#This Row],[Home EV]]</f>
        <v>-3.323287204572253</v>
      </c>
      <c r="Z869" s="33"/>
      <c r="AA869" s="34"/>
      <c r="AB869" s="5" t="b">
        <f>IF(VLOOKUP(Table2[[#This Row],[Home/Neutral]],division_lookup,9,FALSE)=VLOOKUP(Table2[[#This Row],[Visitor/Neutral]],division_lookup,9,FALSE),TRUE,FALSE)</f>
        <v>0</v>
      </c>
      <c r="AC869" s="19" t="str">
        <f>VLOOKUP(Table2[[#This Row],[Home/Neutral]],division_lookup,9,FALSE)</f>
        <v>P</v>
      </c>
      <c r="AD869" s="19"/>
      <c r="AE869" s="19" t="str">
        <f>IF(Table2[[#This Row],[Total EV ®]]&lt;Table2[[#This Row],[Total (V)]],"UNDER","OVER")</f>
        <v>OVER</v>
      </c>
      <c r="AF869" s="30">
        <f>Table2[[#This Row],[(A) Spread]]-Table2[[#This Row],[Spread (V)]]</f>
        <v>0</v>
      </c>
      <c r="AG869" s="19"/>
      <c r="AH869" s="2">
        <f>Table2[[#This Row],[EV]]-Table2[[#This Row],[Spread (V)]]</f>
        <v>-3.323287204572253</v>
      </c>
      <c r="AI869" s="22">
        <f>Table2[[#This Row],[(A)]]-Table2[[#This Row],[Spread]]</f>
        <v>-17.51511848341233</v>
      </c>
      <c r="AJ869" s="1">
        <f>Table2[[#This Row],[(A) Err]]^2</f>
        <v>306.77937548797223</v>
      </c>
      <c r="AK869" s="6">
        <f>Table2[[#This Row],[EV]]-Table2[[#This Row],[Spread]]</f>
        <v>-3.323287204572253</v>
      </c>
      <c r="AL869" s="1">
        <f>Table2[[#This Row],[EV Err]]^2</f>
        <v>11.04423784407366</v>
      </c>
    </row>
    <row r="870" spans="1:38" x14ac:dyDescent="0.25">
      <c r="A870" t="s">
        <v>158</v>
      </c>
      <c r="B870" t="s">
        <v>17</v>
      </c>
      <c r="C870" t="s">
        <v>22</v>
      </c>
      <c r="K870" s="25">
        <f>(Table2[[#This Row],[Home Pace]]/100)*(VLOOKUP(Table2[[#This Row],[Home/Neutral]],home_lookup,8,FALSE)+VLOOKUP(Table2[[#This Row],[Home/Neutral]],OFR_lookup,2,FALSE)+VLOOKUP(Table2[[#This Row],[Visitor/Neutral]],def_diff_lookup,6,FALSE))</f>
        <v>113.19453692873545</v>
      </c>
      <c r="L870" s="25"/>
      <c r="M870" s="25">
        <f>(Table2[[#This Row],[Away Pace]]/100)*(VLOOKUP(Table2[[#This Row],[Visitor/Neutral]],OFR_lookup,2,FALSE)+VLOOKUP(Table2[[#This Row],[Home/Neutral]],def_diff_lookup,6,FALSE))</f>
        <v>108.45107133333336</v>
      </c>
      <c r="N870" s="25"/>
      <c r="O870" s="25"/>
      <c r="P870">
        <f>VLOOKUP(Table2[[#This Row],[Home/Neutral]],pace_lookup,7,FALSE)</f>
        <v>96.7</v>
      </c>
      <c r="Q870" s="5">
        <f>VLOOKUP(Table2[[#This Row],[Visitor/Neutral]],pace_lookup,7,FALSE)</f>
        <v>94.7</v>
      </c>
      <c r="R870" s="9"/>
      <c r="V870" s="2">
        <f>-home-VLOOKUP(Table2[[#This Row],[Home/Neutral]],rtg_vlookup,4,FALSE)+VLOOKUP(Table2[[#This Row],[Visitor/Neutral]],rtg_vlookup,4,FALSE)</f>
        <v>-6.0551184834123308</v>
      </c>
      <c r="W870" s="25"/>
      <c r="X870" s="2"/>
      <c r="Y870" s="2">
        <f>Table2[[#This Row],[Away EV]]-Table2[[#This Row],[Home EV]]</f>
        <v>-4.7434655954020855</v>
      </c>
      <c r="Z870" s="33"/>
      <c r="AA870" s="34"/>
      <c r="AB870" s="5" t="b">
        <f>IF(VLOOKUP(Table2[[#This Row],[Home/Neutral]],division_lookup,9,FALSE)=VLOOKUP(Table2[[#This Row],[Visitor/Neutral]],division_lookup,9,FALSE),TRUE,FALSE)</f>
        <v>0</v>
      </c>
      <c r="AC870" s="19" t="str">
        <f>VLOOKUP(Table2[[#This Row],[Home/Neutral]],division_lookup,9,FALSE)</f>
        <v>SW</v>
      </c>
      <c r="AD870" s="19"/>
      <c r="AE870" s="19" t="str">
        <f>IF(Table2[[#This Row],[Total EV ®]]&lt;Table2[[#This Row],[Total (V)]],"UNDER","OVER")</f>
        <v>OVER</v>
      </c>
      <c r="AF870" s="30">
        <f>Table2[[#This Row],[(A) Spread]]-Table2[[#This Row],[Spread (V)]]</f>
        <v>0</v>
      </c>
      <c r="AG870" s="19"/>
      <c r="AH870" s="2">
        <f>Table2[[#This Row],[EV]]-Table2[[#This Row],[Spread (V)]]</f>
        <v>-4.7434655954020855</v>
      </c>
      <c r="AI870" s="22">
        <f>Table2[[#This Row],[(A)]]-Table2[[#This Row],[Spread]]</f>
        <v>-6.0551184834123308</v>
      </c>
      <c r="AJ870" s="1">
        <f>Table2[[#This Row],[(A) Err]]^2</f>
        <v>36.664459848161648</v>
      </c>
      <c r="AK870" s="6">
        <f>Table2[[#This Row],[EV]]-Table2[[#This Row],[Spread]]</f>
        <v>-4.7434655954020855</v>
      </c>
      <c r="AL870" s="1">
        <f>Table2[[#This Row],[EV Err]]^2</f>
        <v>22.500465854763259</v>
      </c>
    </row>
    <row r="871" spans="1:38" x14ac:dyDescent="0.25">
      <c r="A871" t="s">
        <v>158</v>
      </c>
      <c r="B871" t="s">
        <v>21</v>
      </c>
      <c r="C871" t="s">
        <v>33</v>
      </c>
      <c r="K871" s="25">
        <f>(Table2[[#This Row],[Home Pace]]/100)*(VLOOKUP(Table2[[#This Row],[Home/Neutral]],home_lookup,8,FALSE)+VLOOKUP(Table2[[#This Row],[Home/Neutral]],OFR_lookup,2,FALSE)+VLOOKUP(Table2[[#This Row],[Visitor/Neutral]],def_diff_lookup,6,FALSE))</f>
        <v>103.81477117524391</v>
      </c>
      <c r="L871" s="25"/>
      <c r="M871" s="25">
        <f>(Table2[[#This Row],[Away Pace]]/100)*(VLOOKUP(Table2[[#This Row],[Visitor/Neutral]],OFR_lookup,2,FALSE)+VLOOKUP(Table2[[#This Row],[Home/Neutral]],def_diff_lookup,6,FALSE))</f>
        <v>97.984614666666673</v>
      </c>
      <c r="N871" s="25"/>
      <c r="O871" s="25"/>
      <c r="P871">
        <f>VLOOKUP(Table2[[#This Row],[Home/Neutral]],pace_lookup,7,FALSE)</f>
        <v>94.2</v>
      </c>
      <c r="Q871" s="5">
        <f>VLOOKUP(Table2[[#This Row],[Visitor/Neutral]],pace_lookup,7,FALSE)</f>
        <v>98.2</v>
      </c>
      <c r="R871" s="9"/>
      <c r="V871" s="2">
        <f>-home-VLOOKUP(Table2[[#This Row],[Home/Neutral]],rtg_vlookup,4,FALSE)+VLOOKUP(Table2[[#This Row],[Visitor/Neutral]],rtg_vlookup,4,FALSE)</f>
        <v>-7.8751184834123311</v>
      </c>
      <c r="W871" s="25"/>
      <c r="X871" s="2"/>
      <c r="Y871" s="2">
        <f>Table2[[#This Row],[Away EV]]-Table2[[#This Row],[Home EV]]</f>
        <v>-5.8301565085772324</v>
      </c>
      <c r="Z871" s="33"/>
      <c r="AA871" s="34"/>
      <c r="AB871" s="5" t="b">
        <f>IF(VLOOKUP(Table2[[#This Row],[Home/Neutral]],division_lookup,9,FALSE)=VLOOKUP(Table2[[#This Row],[Visitor/Neutral]],division_lookup,9,FALSE),TRUE,FALSE)</f>
        <v>0</v>
      </c>
      <c r="AC871" s="19" t="str">
        <f>VLOOKUP(Table2[[#This Row],[Home/Neutral]],division_lookup,9,FALSE)</f>
        <v>SE</v>
      </c>
      <c r="AD871" s="19"/>
      <c r="AE871" s="19" t="str">
        <f>IF(Table2[[#This Row],[Total EV ®]]&lt;Table2[[#This Row],[Total (V)]],"UNDER","OVER")</f>
        <v>OVER</v>
      </c>
      <c r="AF871" s="30">
        <f>Table2[[#This Row],[(A) Spread]]-Table2[[#This Row],[Spread (V)]]</f>
        <v>0</v>
      </c>
      <c r="AG871" s="19"/>
      <c r="AH871" s="2">
        <f>Table2[[#This Row],[EV]]-Table2[[#This Row],[Spread (V)]]</f>
        <v>-5.8301565085772324</v>
      </c>
      <c r="AI871" s="22">
        <f>Table2[[#This Row],[(A)]]-Table2[[#This Row],[Spread]]</f>
        <v>-7.8751184834123311</v>
      </c>
      <c r="AJ871" s="1">
        <f>Table2[[#This Row],[(A) Err]]^2</f>
        <v>62.017491127782534</v>
      </c>
      <c r="AK871" s="6">
        <f>Table2[[#This Row],[EV]]-Table2[[#This Row],[Spread]]</f>
        <v>-5.8301565085772324</v>
      </c>
      <c r="AL871" s="1">
        <f>Table2[[#This Row],[EV Err]]^2</f>
        <v>33.990724914505464</v>
      </c>
    </row>
    <row r="872" spans="1:38" x14ac:dyDescent="0.25">
      <c r="A872" t="s">
        <v>158</v>
      </c>
      <c r="B872" t="s">
        <v>31</v>
      </c>
      <c r="C872" t="s">
        <v>39</v>
      </c>
      <c r="K872" s="25">
        <f>(Table2[[#This Row],[Home Pace]]/100)*(VLOOKUP(Table2[[#This Row],[Home/Neutral]],home_lookup,8,FALSE)+VLOOKUP(Table2[[#This Row],[Home/Neutral]],OFR_lookup,2,FALSE)+VLOOKUP(Table2[[#This Row],[Visitor/Neutral]],def_diff_lookup,6,FALSE))</f>
        <v>113.2509743021789</v>
      </c>
      <c r="L872" s="25"/>
      <c r="M872" s="25">
        <f>(Table2[[#This Row],[Away Pace]]/100)*(VLOOKUP(Table2[[#This Row],[Visitor/Neutral]],OFR_lookup,2,FALSE)+VLOOKUP(Table2[[#This Row],[Home/Neutral]],def_diff_lookup,6,FALSE))</f>
        <v>102.16115000000001</v>
      </c>
      <c r="N872" s="25"/>
      <c r="O872" s="25"/>
      <c r="P872">
        <f>VLOOKUP(Table2[[#This Row],[Home/Neutral]],pace_lookup,7,FALSE)</f>
        <v>96</v>
      </c>
      <c r="Q872" s="5">
        <f>VLOOKUP(Table2[[#This Row],[Visitor/Neutral]],pace_lookup,7,FALSE)</f>
        <v>97.5</v>
      </c>
      <c r="R872" s="9"/>
      <c r="V872" s="2">
        <f>-home-VLOOKUP(Table2[[#This Row],[Home/Neutral]],rtg_vlookup,4,FALSE)+VLOOKUP(Table2[[#This Row],[Visitor/Neutral]],rtg_vlookup,4,FALSE)</f>
        <v>-9.7551184834123301</v>
      </c>
      <c r="W872" s="25"/>
      <c r="X872" s="2"/>
      <c r="Y872" s="2">
        <f>Table2[[#This Row],[Away EV]]-Table2[[#This Row],[Home EV]]</f>
        <v>-11.089824302178897</v>
      </c>
      <c r="Z872" s="33"/>
      <c r="AA872" s="34"/>
      <c r="AB872" s="5" t="b">
        <f>IF(VLOOKUP(Table2[[#This Row],[Home/Neutral]],division_lookup,9,FALSE)=VLOOKUP(Table2[[#This Row],[Visitor/Neutral]],division_lookup,9,FALSE),TRUE,FALSE)</f>
        <v>1</v>
      </c>
      <c r="AC872" s="19" t="str">
        <f>VLOOKUP(Table2[[#This Row],[Home/Neutral]],division_lookup,9,FALSE)</f>
        <v>A</v>
      </c>
      <c r="AD872" s="19"/>
      <c r="AE872" s="19" t="str">
        <f>IF(Table2[[#This Row],[Total EV ®]]&lt;Table2[[#This Row],[Total (V)]],"UNDER","OVER")</f>
        <v>OVER</v>
      </c>
      <c r="AF872" s="30">
        <f>Table2[[#This Row],[(A) Spread]]-Table2[[#This Row],[Spread (V)]]</f>
        <v>0</v>
      </c>
      <c r="AG872" s="19"/>
      <c r="AH872" s="2">
        <f>Table2[[#This Row],[EV]]-Table2[[#This Row],[Spread (V)]]</f>
        <v>-11.089824302178897</v>
      </c>
      <c r="AI872" s="22">
        <f>Table2[[#This Row],[(A)]]-Table2[[#This Row],[Spread]]</f>
        <v>-9.7551184834123301</v>
      </c>
      <c r="AJ872" s="1">
        <f>Table2[[#This Row],[(A) Err]]^2</f>
        <v>95.162336625412877</v>
      </c>
      <c r="AK872" s="6">
        <f>Table2[[#This Row],[EV]]-Table2[[#This Row],[Spread]]</f>
        <v>-11.089824302178897</v>
      </c>
      <c r="AL872" s="1">
        <f>Table2[[#This Row],[EV Err]]^2</f>
        <v>122.98420305319766</v>
      </c>
    </row>
    <row r="873" spans="1:38" x14ac:dyDescent="0.25">
      <c r="A873" t="s">
        <v>158</v>
      </c>
      <c r="B873" t="s">
        <v>38</v>
      </c>
      <c r="C873" t="s">
        <v>11</v>
      </c>
      <c r="K873" s="25">
        <f>(Table2[[#This Row],[Home Pace]]/100)*(VLOOKUP(Table2[[#This Row],[Home/Neutral]],home_lookup,8,FALSE)+VLOOKUP(Table2[[#This Row],[Home/Neutral]],OFR_lookup,2,FALSE)+VLOOKUP(Table2[[#This Row],[Visitor/Neutral]],def_diff_lookup,6,FALSE))</f>
        <v>98.649031678914795</v>
      </c>
      <c r="L873" s="25"/>
      <c r="M873" s="25">
        <f>(Table2[[#This Row],[Away Pace]]/100)*(VLOOKUP(Table2[[#This Row],[Visitor/Neutral]],OFR_lookup,2,FALSE)+VLOOKUP(Table2[[#This Row],[Home/Neutral]],def_diff_lookup,6,FALSE))</f>
        <v>105.62284466666667</v>
      </c>
      <c r="N873" s="25"/>
      <c r="O873" s="25"/>
      <c r="P873">
        <f>VLOOKUP(Table2[[#This Row],[Home/Neutral]],pace_lookup,7,FALSE)</f>
        <v>94.2</v>
      </c>
      <c r="Q873" s="5">
        <f>VLOOKUP(Table2[[#This Row],[Visitor/Neutral]],pace_lookup,7,FALSE)</f>
        <v>99.7</v>
      </c>
      <c r="R873" s="9"/>
      <c r="V873" s="2">
        <f>-home-VLOOKUP(Table2[[#This Row],[Home/Neutral]],rtg_vlookup,4,FALSE)+VLOOKUP(Table2[[#This Row],[Visitor/Neutral]],rtg_vlookup,4,FALSE)</f>
        <v>12.284881516587669</v>
      </c>
      <c r="W873" s="25"/>
      <c r="X873" s="2"/>
      <c r="Y873" s="2">
        <f>Table2[[#This Row],[Away EV]]-Table2[[#This Row],[Home EV]]</f>
        <v>6.9738129877518702</v>
      </c>
      <c r="Z873" s="33"/>
      <c r="AA873" s="34"/>
      <c r="AB873" s="5" t="b">
        <f>IF(VLOOKUP(Table2[[#This Row],[Home/Neutral]],division_lookup,9,FALSE)=VLOOKUP(Table2[[#This Row],[Visitor/Neutral]],division_lookup,9,FALSE),TRUE,FALSE)</f>
        <v>1</v>
      </c>
      <c r="AC873" s="19" t="str">
        <f>VLOOKUP(Table2[[#This Row],[Home/Neutral]],division_lookup,9,FALSE)</f>
        <v>SE</v>
      </c>
      <c r="AD873" s="19"/>
      <c r="AE873" s="19" t="str">
        <f>IF(Table2[[#This Row],[Total EV ®]]&lt;Table2[[#This Row],[Total (V)]],"UNDER","OVER")</f>
        <v>OVER</v>
      </c>
      <c r="AF873" s="30">
        <f>Table2[[#This Row],[(A) Spread]]-Table2[[#This Row],[Spread (V)]]</f>
        <v>0</v>
      </c>
      <c r="AG873" s="19"/>
      <c r="AH873" s="2">
        <f>Table2[[#This Row],[EV]]-Table2[[#This Row],[Spread (V)]]</f>
        <v>6.9738129877518702</v>
      </c>
      <c r="AI873" s="22">
        <f>Table2[[#This Row],[(A)]]-Table2[[#This Row],[Spread]]</f>
        <v>12.284881516587669</v>
      </c>
      <c r="AJ873" s="1">
        <f>Table2[[#This Row],[(A) Err]]^2</f>
        <v>150.91831387659735</v>
      </c>
      <c r="AK873" s="6">
        <f>Table2[[#This Row],[EV]]-Table2[[#This Row],[Spread]]</f>
        <v>6.9738129877518702</v>
      </c>
      <c r="AL873" s="1">
        <f>Table2[[#This Row],[EV Err]]^2</f>
        <v>48.634067588136666</v>
      </c>
    </row>
    <row r="874" spans="1:38" x14ac:dyDescent="0.25">
      <c r="A874" t="s">
        <v>158</v>
      </c>
      <c r="B874" t="s">
        <v>29</v>
      </c>
      <c r="C874" t="s">
        <v>16</v>
      </c>
      <c r="K874" s="25">
        <f>(Table2[[#This Row],[Home Pace]]/100)*(VLOOKUP(Table2[[#This Row],[Home/Neutral]],home_lookup,8,FALSE)+VLOOKUP(Table2[[#This Row],[Home/Neutral]],OFR_lookup,2,FALSE)+VLOOKUP(Table2[[#This Row],[Visitor/Neutral]],def_diff_lookup,6,FALSE))</f>
        <v>107.30082926898524</v>
      </c>
      <c r="L874" s="25"/>
      <c r="M874" s="25">
        <f>(Table2[[#This Row],[Away Pace]]/100)*(VLOOKUP(Table2[[#This Row],[Visitor/Neutral]],OFR_lookup,2,FALSE)+VLOOKUP(Table2[[#This Row],[Home/Neutral]],def_diff_lookup,6,FALSE))</f>
        <v>107.71865</v>
      </c>
      <c r="N874" s="25"/>
      <c r="O874" s="25"/>
      <c r="P874">
        <f>VLOOKUP(Table2[[#This Row],[Home/Neutral]],pace_lookup,7,FALSE)</f>
        <v>93.8</v>
      </c>
      <c r="Q874" s="5">
        <f>VLOOKUP(Table2[[#This Row],[Visitor/Neutral]],pace_lookup,7,FALSE)</f>
        <v>97.5</v>
      </c>
      <c r="R874" s="9"/>
      <c r="V874" s="2">
        <f>-home-VLOOKUP(Table2[[#This Row],[Home/Neutral]],rtg_vlookup,4,FALSE)+VLOOKUP(Table2[[#This Row],[Visitor/Neutral]],rtg_vlookup,4,FALSE)</f>
        <v>2.1848815165876694</v>
      </c>
      <c r="W874" s="25"/>
      <c r="X874" s="2"/>
      <c r="Y874" s="2">
        <f>Table2[[#This Row],[Away EV]]-Table2[[#This Row],[Home EV]]</f>
        <v>0.41782073101475703</v>
      </c>
      <c r="Z874" s="33"/>
      <c r="AA874" s="34"/>
      <c r="AB874" s="5" t="b">
        <f>IF(VLOOKUP(Table2[[#This Row],[Home/Neutral]],division_lookup,9,FALSE)=VLOOKUP(Table2[[#This Row],[Visitor/Neutral]],division_lookup,9,FALSE),TRUE,FALSE)</f>
        <v>0</v>
      </c>
      <c r="AC874" s="19" t="str">
        <f>VLOOKUP(Table2[[#This Row],[Home/Neutral]],division_lookup,9,FALSE)</f>
        <v>P</v>
      </c>
      <c r="AD874" s="19"/>
      <c r="AE874" s="19" t="str">
        <f>IF(Table2[[#This Row],[Total EV ®]]&lt;Table2[[#This Row],[Total (V)]],"UNDER","OVER")</f>
        <v>OVER</v>
      </c>
      <c r="AF874" s="30">
        <f>Table2[[#This Row],[(A) Spread]]-Table2[[#This Row],[Spread (V)]]</f>
        <v>0</v>
      </c>
      <c r="AG874" s="19"/>
      <c r="AH874" s="2">
        <f>Table2[[#This Row],[EV]]-Table2[[#This Row],[Spread (V)]]</f>
        <v>0.41782073101475703</v>
      </c>
      <c r="AI874" s="22">
        <f>Table2[[#This Row],[(A)]]-Table2[[#This Row],[Spread]]</f>
        <v>2.1848815165876694</v>
      </c>
      <c r="AJ874" s="1">
        <f>Table2[[#This Row],[(A) Err]]^2</f>
        <v>4.7737072415264343</v>
      </c>
      <c r="AK874" s="6">
        <f>Table2[[#This Row],[EV]]-Table2[[#This Row],[Spread]]</f>
        <v>0.41782073101475703</v>
      </c>
      <c r="AL874" s="1">
        <f>Table2[[#This Row],[EV Err]]^2</f>
        <v>0.17457416326570593</v>
      </c>
    </row>
    <row r="875" spans="1:38" x14ac:dyDescent="0.25">
      <c r="A875" t="s">
        <v>159</v>
      </c>
      <c r="B875" t="s">
        <v>27</v>
      </c>
      <c r="C875" t="s">
        <v>23</v>
      </c>
      <c r="K875" s="25">
        <f>(Table2[[#This Row],[Home Pace]]/100)*(VLOOKUP(Table2[[#This Row],[Home/Neutral]],home_lookup,8,FALSE)+VLOOKUP(Table2[[#This Row],[Home/Neutral]],OFR_lookup,2,FALSE)+VLOOKUP(Table2[[#This Row],[Visitor/Neutral]],def_diff_lookup,6,FALSE))</f>
        <v>100.21905642647258</v>
      </c>
      <c r="L875" s="25"/>
      <c r="M875" s="25">
        <f>(Table2[[#This Row],[Away Pace]]/100)*(VLOOKUP(Table2[[#This Row],[Visitor/Neutral]],OFR_lookup,2,FALSE)+VLOOKUP(Table2[[#This Row],[Home/Neutral]],def_diff_lookup,6,FALSE))</f>
        <v>96.108116666666689</v>
      </c>
      <c r="N875" s="25"/>
      <c r="O875" s="25"/>
      <c r="P875">
        <f>VLOOKUP(Table2[[#This Row],[Home/Neutral]],pace_lookup,7,FALSE)</f>
        <v>99</v>
      </c>
      <c r="Q875" s="5">
        <f>VLOOKUP(Table2[[#This Row],[Visitor/Neutral]],pace_lookup,7,FALSE)</f>
        <v>92.5</v>
      </c>
      <c r="R875" s="9"/>
      <c r="V875" s="2">
        <f>-home-VLOOKUP(Table2[[#This Row],[Home/Neutral]],rtg_vlookup,4,FALSE)+VLOOKUP(Table2[[#This Row],[Visitor/Neutral]],rtg_vlookup,4,FALSE)</f>
        <v>0.26488151658766901</v>
      </c>
      <c r="W875" s="25"/>
      <c r="X875" s="2"/>
      <c r="Y875" s="2">
        <f>Table2[[#This Row],[Away EV]]-Table2[[#This Row],[Home EV]]</f>
        <v>-4.1109397598058877</v>
      </c>
      <c r="Z875" s="33"/>
      <c r="AA875" s="34"/>
      <c r="AB875" s="5" t="b">
        <f>IF(VLOOKUP(Table2[[#This Row],[Home/Neutral]],division_lookup,9,FALSE)=VLOOKUP(Table2[[#This Row],[Visitor/Neutral]],division_lookup,9,FALSE),TRUE,FALSE)</f>
        <v>0</v>
      </c>
      <c r="AC875" s="19" t="str">
        <f>VLOOKUP(Table2[[#This Row],[Home/Neutral]],division_lookup,9,FALSE)</f>
        <v>NW</v>
      </c>
      <c r="AD875" s="19"/>
      <c r="AE875" s="19" t="str">
        <f>IF(Table2[[#This Row],[Total EV ®]]&lt;Table2[[#This Row],[Total (V)]],"UNDER","OVER")</f>
        <v>OVER</v>
      </c>
      <c r="AF875" s="30">
        <f>Table2[[#This Row],[(A) Spread]]-Table2[[#This Row],[Spread (V)]]</f>
        <v>0</v>
      </c>
      <c r="AG875" s="19"/>
      <c r="AH875" s="2">
        <f>Table2[[#This Row],[EV]]-Table2[[#This Row],[Spread (V)]]</f>
        <v>-4.1109397598058877</v>
      </c>
      <c r="AI875" s="22">
        <f>Table2[[#This Row],[(A)]]-Table2[[#This Row],[Spread]]</f>
        <v>0.26488151658766901</v>
      </c>
      <c r="AJ875" s="1">
        <f>Table2[[#This Row],[(A) Err]]^2</f>
        <v>7.0162217829783574E-2</v>
      </c>
      <c r="AK875" s="6">
        <f>Table2[[#This Row],[EV]]-Table2[[#This Row],[Spread]]</f>
        <v>-4.1109397598058877</v>
      </c>
      <c r="AL875" s="1">
        <f>Table2[[#This Row],[EV Err]]^2</f>
        <v>16.899825708752889</v>
      </c>
    </row>
    <row r="876" spans="1:38" x14ac:dyDescent="0.25">
      <c r="A876" t="s">
        <v>159</v>
      </c>
      <c r="B876" t="s">
        <v>25</v>
      </c>
      <c r="C876" t="s">
        <v>26</v>
      </c>
      <c r="K876" s="25">
        <f>(Table2[[#This Row],[Home Pace]]/100)*(VLOOKUP(Table2[[#This Row],[Home/Neutral]],home_lookup,8,FALSE)+VLOOKUP(Table2[[#This Row],[Home/Neutral]],OFR_lookup,2,FALSE)+VLOOKUP(Table2[[#This Row],[Visitor/Neutral]],def_diff_lookup,6,FALSE))</f>
        <v>104.92414444427257</v>
      </c>
      <c r="L876" s="25"/>
      <c r="M876" s="25">
        <f>(Table2[[#This Row],[Away Pace]]/100)*(VLOOKUP(Table2[[#This Row],[Visitor/Neutral]],OFR_lookup,2,FALSE)+VLOOKUP(Table2[[#This Row],[Home/Neutral]],def_diff_lookup,6,FALSE))</f>
        <v>99.984640000000013</v>
      </c>
      <c r="N876" s="25"/>
      <c r="O876" s="25"/>
      <c r="P876">
        <f>VLOOKUP(Table2[[#This Row],[Home/Neutral]],pace_lookup,7,FALSE)</f>
        <v>94.4</v>
      </c>
      <c r="Q876" s="5">
        <f>VLOOKUP(Table2[[#This Row],[Visitor/Neutral]],pace_lookup,7,FALSE)</f>
        <v>96</v>
      </c>
      <c r="R876" s="9"/>
      <c r="V876" s="2">
        <f>-home-VLOOKUP(Table2[[#This Row],[Home/Neutral]],rtg_vlookup,4,FALSE)+VLOOKUP(Table2[[#This Row],[Visitor/Neutral]],rtg_vlookup,4,FALSE)</f>
        <v>-2.9351184834123307</v>
      </c>
      <c r="W876" s="25"/>
      <c r="X876" s="2"/>
      <c r="Y876" s="2">
        <f>Table2[[#This Row],[Away EV]]-Table2[[#This Row],[Home EV]]</f>
        <v>-4.9395044442725577</v>
      </c>
      <c r="Z876" s="33"/>
      <c r="AA876" s="34"/>
      <c r="AB876" s="5" t="b">
        <f>IF(VLOOKUP(Table2[[#This Row],[Home/Neutral]],division_lookup,9,FALSE)=VLOOKUP(Table2[[#This Row],[Visitor/Neutral]],division_lookup,9,FALSE),TRUE,FALSE)</f>
        <v>0</v>
      </c>
      <c r="AC876" s="19" t="str">
        <f>VLOOKUP(Table2[[#This Row],[Home/Neutral]],division_lookup,9,FALSE)</f>
        <v>C</v>
      </c>
      <c r="AD876" s="19"/>
      <c r="AE876" s="19" t="str">
        <f>IF(Table2[[#This Row],[Total EV ®]]&lt;Table2[[#This Row],[Total (V)]],"UNDER","OVER")</f>
        <v>OVER</v>
      </c>
      <c r="AF876" s="30">
        <f>Table2[[#This Row],[(A) Spread]]-Table2[[#This Row],[Spread (V)]]</f>
        <v>0</v>
      </c>
      <c r="AG876" s="19"/>
      <c r="AH876" s="2">
        <f>Table2[[#This Row],[EV]]-Table2[[#This Row],[Spread (V)]]</f>
        <v>-4.9395044442725577</v>
      </c>
      <c r="AI876" s="22">
        <f>Table2[[#This Row],[(A)]]-Table2[[#This Row],[Spread]]</f>
        <v>-2.9351184834123307</v>
      </c>
      <c r="AJ876" s="1">
        <f>Table2[[#This Row],[(A) Err]]^2</f>
        <v>8.6149205116687</v>
      </c>
      <c r="AK876" s="6">
        <f>Table2[[#This Row],[EV]]-Table2[[#This Row],[Spread]]</f>
        <v>-4.9395044442725577</v>
      </c>
      <c r="AL876" s="1">
        <f>Table2[[#This Row],[EV Err]]^2</f>
        <v>24.398704154988348</v>
      </c>
    </row>
    <row r="877" spans="1:38" x14ac:dyDescent="0.25">
      <c r="A877" t="s">
        <v>159</v>
      </c>
      <c r="B877" t="s">
        <v>4</v>
      </c>
      <c r="C877" t="s">
        <v>16</v>
      </c>
      <c r="K877" s="25">
        <f>(Table2[[#This Row],[Home Pace]]/100)*(VLOOKUP(Table2[[#This Row],[Home/Neutral]],home_lookup,8,FALSE)+VLOOKUP(Table2[[#This Row],[Home/Neutral]],OFR_lookup,2,FALSE)+VLOOKUP(Table2[[#This Row],[Visitor/Neutral]],def_diff_lookup,6,FALSE))</f>
        <v>100.60092781393446</v>
      </c>
      <c r="L877" s="25"/>
      <c r="M877" s="25">
        <f>(Table2[[#This Row],[Away Pace]]/100)*(VLOOKUP(Table2[[#This Row],[Visitor/Neutral]],OFR_lookup,2,FALSE)+VLOOKUP(Table2[[#This Row],[Home/Neutral]],def_diff_lookup,6,FALSE))</f>
        <v>98.543899999999994</v>
      </c>
      <c r="N877" s="25"/>
      <c r="O877" s="25"/>
      <c r="P877">
        <f>VLOOKUP(Table2[[#This Row],[Home/Neutral]],pace_lookup,7,FALSE)</f>
        <v>96.6</v>
      </c>
      <c r="Q877" s="5">
        <f>VLOOKUP(Table2[[#This Row],[Visitor/Neutral]],pace_lookup,7,FALSE)</f>
        <v>97.5</v>
      </c>
      <c r="R877" s="9"/>
      <c r="V877" s="2">
        <f>-home-VLOOKUP(Table2[[#This Row],[Home/Neutral]],rtg_vlookup,4,FALSE)+VLOOKUP(Table2[[#This Row],[Visitor/Neutral]],rtg_vlookup,4,FALSE)</f>
        <v>-14.74511848341233</v>
      </c>
      <c r="W877" s="25"/>
      <c r="X877" s="2"/>
      <c r="Y877" s="2">
        <f>Table2[[#This Row],[Away EV]]-Table2[[#This Row],[Home EV]]</f>
        <v>-2.057027813934468</v>
      </c>
      <c r="Z877" s="33"/>
      <c r="AA877" s="34"/>
      <c r="AB877" s="5" t="b">
        <f>IF(VLOOKUP(Table2[[#This Row],[Home/Neutral]],division_lookup,9,FALSE)=VLOOKUP(Table2[[#This Row],[Visitor/Neutral]],division_lookup,9,FALSE),TRUE,FALSE)</f>
        <v>0</v>
      </c>
      <c r="AC877" s="19" t="str">
        <f>VLOOKUP(Table2[[#This Row],[Home/Neutral]],division_lookup,9,FALSE)</f>
        <v>P</v>
      </c>
      <c r="AD877" s="19"/>
      <c r="AE877" s="19" t="str">
        <f>IF(Table2[[#This Row],[Total EV ®]]&lt;Table2[[#This Row],[Total (V)]],"UNDER","OVER")</f>
        <v>OVER</v>
      </c>
      <c r="AF877" s="30">
        <f>Table2[[#This Row],[(A) Spread]]-Table2[[#This Row],[Spread (V)]]</f>
        <v>0</v>
      </c>
      <c r="AG877" s="19"/>
      <c r="AH877" s="2">
        <f>Table2[[#This Row],[EV]]-Table2[[#This Row],[Spread (V)]]</f>
        <v>-2.057027813934468</v>
      </c>
      <c r="AI877" s="22">
        <f>Table2[[#This Row],[(A)]]-Table2[[#This Row],[Spread]]</f>
        <v>-14.74511848341233</v>
      </c>
      <c r="AJ877" s="1">
        <f>Table2[[#This Row],[(A) Err]]^2</f>
        <v>217.41851908986794</v>
      </c>
      <c r="AK877" s="6">
        <f>Table2[[#This Row],[EV]]-Table2[[#This Row],[Spread]]</f>
        <v>-2.057027813934468</v>
      </c>
      <c r="AL877" s="1">
        <f>Table2[[#This Row],[EV Err]]^2</f>
        <v>4.2313634273000158</v>
      </c>
    </row>
    <row r="878" spans="1:38" x14ac:dyDescent="0.25">
      <c r="A878" t="s">
        <v>159</v>
      </c>
      <c r="B878" t="s">
        <v>24</v>
      </c>
      <c r="C878" t="s">
        <v>6</v>
      </c>
      <c r="K878" s="25">
        <f>(Table2[[#This Row],[Home Pace]]/100)*(VLOOKUP(Table2[[#This Row],[Home/Neutral]],home_lookup,8,FALSE)+VLOOKUP(Table2[[#This Row],[Home/Neutral]],OFR_lookup,2,FALSE)+VLOOKUP(Table2[[#This Row],[Visitor/Neutral]],def_diff_lookup,6,FALSE))</f>
        <v>106.8888043283094</v>
      </c>
      <c r="L878" s="25"/>
      <c r="M878" s="25">
        <f>(Table2[[#This Row],[Away Pace]]/100)*(VLOOKUP(Table2[[#This Row],[Visitor/Neutral]],OFR_lookup,2,FALSE)+VLOOKUP(Table2[[#This Row],[Home/Neutral]],def_diff_lookup,6,FALSE))</f>
        <v>107.03769066666666</v>
      </c>
      <c r="N878" s="25"/>
      <c r="O878" s="25"/>
      <c r="P878">
        <f>VLOOKUP(Table2[[#This Row],[Home/Neutral]],pace_lookup,7,FALSE)</f>
        <v>99.9</v>
      </c>
      <c r="Q878" s="5">
        <f>VLOOKUP(Table2[[#This Row],[Visitor/Neutral]],pace_lookup,7,FALSE)</f>
        <v>93.1</v>
      </c>
      <c r="R878" s="9"/>
      <c r="V878" s="2">
        <f>-home-VLOOKUP(Table2[[#This Row],[Home/Neutral]],rtg_vlookup,4,FALSE)+VLOOKUP(Table2[[#This Row],[Visitor/Neutral]],rtg_vlookup,4,FALSE)</f>
        <v>4.0148815165876695</v>
      </c>
      <c r="W878" s="25"/>
      <c r="X878" s="2"/>
      <c r="Y878" s="2">
        <f>Table2[[#This Row],[Away EV]]-Table2[[#This Row],[Home EV]]</f>
        <v>0.14888633835725784</v>
      </c>
      <c r="Z878" s="33"/>
      <c r="AA878" s="34"/>
      <c r="AB878" s="5" t="b">
        <f>IF(VLOOKUP(Table2[[#This Row],[Home/Neutral]],division_lookup,9,FALSE)=VLOOKUP(Table2[[#This Row],[Visitor/Neutral]],division_lookup,9,FALSE),TRUE,FALSE)</f>
        <v>0</v>
      </c>
      <c r="AC878" s="19" t="str">
        <f>VLOOKUP(Table2[[#This Row],[Home/Neutral]],division_lookup,9,FALSE)</f>
        <v>P</v>
      </c>
      <c r="AD878" s="19"/>
      <c r="AE878" s="19" t="str">
        <f>IF(Table2[[#This Row],[Total EV ®]]&lt;Table2[[#This Row],[Total (V)]],"UNDER","OVER")</f>
        <v>OVER</v>
      </c>
      <c r="AF878" s="30">
        <f>Table2[[#This Row],[(A) Spread]]-Table2[[#This Row],[Spread (V)]]</f>
        <v>0</v>
      </c>
      <c r="AG878" s="19"/>
      <c r="AH878" s="2">
        <f>Table2[[#This Row],[EV]]-Table2[[#This Row],[Spread (V)]]</f>
        <v>0.14888633835725784</v>
      </c>
      <c r="AI878" s="22">
        <f>Table2[[#This Row],[(A)]]-Table2[[#This Row],[Spread]]</f>
        <v>4.0148815165876695</v>
      </c>
      <c r="AJ878" s="1">
        <f>Table2[[#This Row],[(A) Err]]^2</f>
        <v>16.119273592237306</v>
      </c>
      <c r="AK878" s="6">
        <f>Table2[[#This Row],[EV]]-Table2[[#This Row],[Spread]]</f>
        <v>0.14888633835725784</v>
      </c>
      <c r="AL878" s="1">
        <f>Table2[[#This Row],[EV Err]]^2</f>
        <v>2.2167141749431869E-2</v>
      </c>
    </row>
    <row r="879" spans="1:38" x14ac:dyDescent="0.25">
      <c r="A879" t="s">
        <v>159</v>
      </c>
      <c r="B879" t="s">
        <v>30</v>
      </c>
      <c r="C879" t="s">
        <v>36</v>
      </c>
      <c r="K879" s="25">
        <f>(Table2[[#This Row],[Home Pace]]/100)*(VLOOKUP(Table2[[#This Row],[Home/Neutral]],home_lookup,8,FALSE)+VLOOKUP(Table2[[#This Row],[Home/Neutral]],OFR_lookup,2,FALSE)+VLOOKUP(Table2[[#This Row],[Visitor/Neutral]],def_diff_lookup,6,FALSE))</f>
        <v>110.87112034993645</v>
      </c>
      <c r="L879" s="25"/>
      <c r="M879" s="25">
        <f>(Table2[[#This Row],[Away Pace]]/100)*(VLOOKUP(Table2[[#This Row],[Visitor/Neutral]],OFR_lookup,2,FALSE)+VLOOKUP(Table2[[#This Row],[Home/Neutral]],def_diff_lookup,6,FALSE))</f>
        <v>107.19826133333336</v>
      </c>
      <c r="N879" s="25"/>
      <c r="O879" s="25"/>
      <c r="P879">
        <f>VLOOKUP(Table2[[#This Row],[Home/Neutral]],pace_lookup,7,FALSE)</f>
        <v>96.8</v>
      </c>
      <c r="Q879" s="5">
        <f>VLOOKUP(Table2[[#This Row],[Visitor/Neutral]],pace_lookup,7,FALSE)</f>
        <v>102.2</v>
      </c>
      <c r="R879" s="9"/>
      <c r="V879" s="2">
        <f>-home-VLOOKUP(Table2[[#This Row],[Home/Neutral]],rtg_vlookup,4,FALSE)+VLOOKUP(Table2[[#This Row],[Visitor/Neutral]],rtg_vlookup,4,FALSE)</f>
        <v>-6.4151184834123312</v>
      </c>
      <c r="W879" s="25"/>
      <c r="X879" s="2"/>
      <c r="Y879" s="2">
        <f>Table2[[#This Row],[Away EV]]-Table2[[#This Row],[Home EV]]</f>
        <v>-3.6728590166030841</v>
      </c>
      <c r="Z879" s="33"/>
      <c r="AA879" s="34"/>
      <c r="AB879" s="5" t="b">
        <f>IF(VLOOKUP(Table2[[#This Row],[Home/Neutral]],division_lookup,9,FALSE)=VLOOKUP(Table2[[#This Row],[Visitor/Neutral]],division_lookup,9,FALSE),TRUE,FALSE)</f>
        <v>0</v>
      </c>
      <c r="AC879" s="19" t="str">
        <f>VLOOKUP(Table2[[#This Row],[Home/Neutral]],division_lookup,9,FALSE)</f>
        <v>C</v>
      </c>
      <c r="AD879" s="19"/>
      <c r="AE879" s="19" t="str">
        <f>IF(Table2[[#This Row],[Total EV ®]]&lt;Table2[[#This Row],[Total (V)]],"UNDER","OVER")</f>
        <v>OVER</v>
      </c>
      <c r="AF879" s="30">
        <f>Table2[[#This Row],[(A) Spread]]-Table2[[#This Row],[Spread (V)]]</f>
        <v>0</v>
      </c>
      <c r="AG879" s="19"/>
      <c r="AH879" s="2">
        <f>Table2[[#This Row],[EV]]-Table2[[#This Row],[Spread (V)]]</f>
        <v>-3.6728590166030841</v>
      </c>
      <c r="AI879" s="22">
        <f>Table2[[#This Row],[(A)]]-Table2[[#This Row],[Spread]]</f>
        <v>-6.4151184834123312</v>
      </c>
      <c r="AJ879" s="1">
        <f>Table2[[#This Row],[(A) Err]]^2</f>
        <v>41.153745156218527</v>
      </c>
      <c r="AK879" s="6">
        <f>Table2[[#This Row],[EV]]-Table2[[#This Row],[Spread]]</f>
        <v>-3.6728590166030841</v>
      </c>
      <c r="AL879" s="1">
        <f>Table2[[#This Row],[EV Err]]^2</f>
        <v>13.489893355842574</v>
      </c>
    </row>
    <row r="880" spans="1:38" x14ac:dyDescent="0.25">
      <c r="A880" t="s">
        <v>159</v>
      </c>
      <c r="B880" t="s">
        <v>18</v>
      </c>
      <c r="C880" t="s">
        <v>34</v>
      </c>
      <c r="K880" s="25">
        <f>(Table2[[#This Row],[Home Pace]]/100)*(VLOOKUP(Table2[[#This Row],[Home/Neutral]],home_lookup,8,FALSE)+VLOOKUP(Table2[[#This Row],[Home/Neutral]],OFR_lookup,2,FALSE)+VLOOKUP(Table2[[#This Row],[Visitor/Neutral]],def_diff_lookup,6,FALSE))</f>
        <v>102.61655616021132</v>
      </c>
      <c r="L880" s="25"/>
      <c r="M880" s="25">
        <f>(Table2[[#This Row],[Away Pace]]/100)*(VLOOKUP(Table2[[#This Row],[Visitor/Neutral]],OFR_lookup,2,FALSE)+VLOOKUP(Table2[[#This Row],[Home/Neutral]],def_diff_lookup,6,FALSE))</f>
        <v>95.678578666666667</v>
      </c>
      <c r="N880" s="25"/>
      <c r="O880" s="25"/>
      <c r="P880">
        <f>VLOOKUP(Table2[[#This Row],[Home/Neutral]],pace_lookup,7,FALSE)</f>
        <v>99.5</v>
      </c>
      <c r="Q880" s="5">
        <f>VLOOKUP(Table2[[#This Row],[Visitor/Neutral]],pace_lookup,7,FALSE)</f>
        <v>98.8</v>
      </c>
      <c r="R880" s="9"/>
      <c r="V880" s="2">
        <f>-home-VLOOKUP(Table2[[#This Row],[Home/Neutral]],rtg_vlookup,4,FALSE)+VLOOKUP(Table2[[#This Row],[Visitor/Neutral]],rtg_vlookup,4,FALSE)</f>
        <v>-10.08511848341233</v>
      </c>
      <c r="W880" s="25"/>
      <c r="X880" s="2"/>
      <c r="Y880" s="2">
        <f>Table2[[#This Row],[Away EV]]-Table2[[#This Row],[Home EV]]</f>
        <v>-6.9379774935446505</v>
      </c>
      <c r="Z880" s="33"/>
      <c r="AA880" s="34"/>
      <c r="AB880" s="5" t="b">
        <f>IF(VLOOKUP(Table2[[#This Row],[Home/Neutral]],division_lookup,9,FALSE)=VLOOKUP(Table2[[#This Row],[Visitor/Neutral]],division_lookup,9,FALSE),TRUE,FALSE)</f>
        <v>0</v>
      </c>
      <c r="AC880" s="19" t="str">
        <f>VLOOKUP(Table2[[#This Row],[Home/Neutral]],division_lookup,9,FALSE)</f>
        <v>NW</v>
      </c>
      <c r="AD880" s="19"/>
      <c r="AE880" s="19" t="str">
        <f>IF(Table2[[#This Row],[Total EV ®]]&lt;Table2[[#This Row],[Total (V)]],"UNDER","OVER")</f>
        <v>OVER</v>
      </c>
      <c r="AF880" s="30">
        <f>Table2[[#This Row],[(A) Spread]]-Table2[[#This Row],[Spread (V)]]</f>
        <v>0</v>
      </c>
      <c r="AG880" s="19"/>
      <c r="AH880" s="2">
        <f>Table2[[#This Row],[EV]]-Table2[[#This Row],[Spread (V)]]</f>
        <v>-6.9379774935446505</v>
      </c>
      <c r="AI880" s="22">
        <f>Table2[[#This Row],[(A)]]-Table2[[#This Row],[Spread]]</f>
        <v>-10.08511848341233</v>
      </c>
      <c r="AJ880" s="1">
        <f>Table2[[#This Row],[(A) Err]]^2</f>
        <v>101.70961482446502</v>
      </c>
      <c r="AK880" s="6">
        <f>Table2[[#This Row],[EV]]-Table2[[#This Row],[Spread]]</f>
        <v>-6.9379774935446505</v>
      </c>
      <c r="AL880" s="1">
        <f>Table2[[#This Row],[EV Err]]^2</f>
        <v>48.135531700932113</v>
      </c>
    </row>
    <row r="881" spans="1:38" x14ac:dyDescent="0.25">
      <c r="A881" t="s">
        <v>159</v>
      </c>
      <c r="B881" t="s">
        <v>14</v>
      </c>
      <c r="C881" t="s">
        <v>32</v>
      </c>
      <c r="K881" s="25">
        <f>(Table2[[#This Row],[Home Pace]]/100)*(VLOOKUP(Table2[[#This Row],[Home/Neutral]],home_lookup,8,FALSE)+VLOOKUP(Table2[[#This Row],[Home/Neutral]],OFR_lookup,2,FALSE)+VLOOKUP(Table2[[#This Row],[Visitor/Neutral]],def_diff_lookup,6,FALSE))</f>
        <v>112.02032414241451</v>
      </c>
      <c r="L881" s="25"/>
      <c r="M881" s="25">
        <f>(Table2[[#This Row],[Away Pace]]/100)*(VLOOKUP(Table2[[#This Row],[Visitor/Neutral]],OFR_lookup,2,FALSE)+VLOOKUP(Table2[[#This Row],[Home/Neutral]],def_diff_lookup,6,FALSE))</f>
        <v>108.82547733333334</v>
      </c>
      <c r="N881" s="25"/>
      <c r="O881" s="25"/>
      <c r="P881">
        <f>VLOOKUP(Table2[[#This Row],[Home/Neutral]],pace_lookup,7,FALSE)</f>
        <v>95.9</v>
      </c>
      <c r="Q881" s="5">
        <f>VLOOKUP(Table2[[#This Row],[Visitor/Neutral]],pace_lookup,7,FALSE)</f>
        <v>98.6</v>
      </c>
      <c r="R881" s="9"/>
      <c r="V881" s="2">
        <f>-home-VLOOKUP(Table2[[#This Row],[Home/Neutral]],rtg_vlookup,4,FALSE)+VLOOKUP(Table2[[#This Row],[Visitor/Neutral]],rtg_vlookup,4,FALSE)</f>
        <v>-10.57511848341233</v>
      </c>
      <c r="W881" s="25"/>
      <c r="X881" s="2"/>
      <c r="Y881" s="2">
        <f>Table2[[#This Row],[Away EV]]-Table2[[#This Row],[Home EV]]</f>
        <v>-3.1948468090811701</v>
      </c>
      <c r="Z881" s="33"/>
      <c r="AA881" s="34"/>
      <c r="AB881" s="5" t="b">
        <f>IF(VLOOKUP(Table2[[#This Row],[Home/Neutral]],division_lookup,9,FALSE)=VLOOKUP(Table2[[#This Row],[Visitor/Neutral]],division_lookup,9,FALSE),TRUE,FALSE)</f>
        <v>0</v>
      </c>
      <c r="AC881" s="19" t="str">
        <f>VLOOKUP(Table2[[#This Row],[Home/Neutral]],division_lookup,9,FALSE)</f>
        <v>A</v>
      </c>
      <c r="AD881" s="19"/>
      <c r="AE881" s="19" t="str">
        <f>IF(Table2[[#This Row],[Total EV ®]]&lt;Table2[[#This Row],[Total (V)]],"UNDER","OVER")</f>
        <v>OVER</v>
      </c>
      <c r="AF881" s="30">
        <f>Table2[[#This Row],[(A) Spread]]-Table2[[#This Row],[Spread (V)]]</f>
        <v>0</v>
      </c>
      <c r="AG881" s="19"/>
      <c r="AH881" s="2">
        <f>Table2[[#This Row],[EV]]-Table2[[#This Row],[Spread (V)]]</f>
        <v>-3.1948468090811701</v>
      </c>
      <c r="AI881" s="22">
        <f>Table2[[#This Row],[(A)]]-Table2[[#This Row],[Spread]]</f>
        <v>-10.57511848341233</v>
      </c>
      <c r="AJ881" s="1">
        <f>Table2[[#This Row],[(A) Err]]^2</f>
        <v>111.83313093820911</v>
      </c>
      <c r="AK881" s="6">
        <f>Table2[[#This Row],[EV]]-Table2[[#This Row],[Spread]]</f>
        <v>-3.1948468090811701</v>
      </c>
      <c r="AL881" s="1">
        <f>Table2[[#This Row],[EV Err]]^2</f>
        <v>10.207046133496135</v>
      </c>
    </row>
    <row r="882" spans="1:38" x14ac:dyDescent="0.25">
      <c r="A882" t="s">
        <v>159</v>
      </c>
      <c r="B882" t="s">
        <v>28</v>
      </c>
      <c r="C882" t="s">
        <v>20</v>
      </c>
      <c r="K882" s="25">
        <f>(Table2[[#This Row],[Home Pace]]/100)*(VLOOKUP(Table2[[#This Row],[Home/Neutral]],home_lookup,8,FALSE)+VLOOKUP(Table2[[#This Row],[Home/Neutral]],OFR_lookup,2,FALSE)+VLOOKUP(Table2[[#This Row],[Visitor/Neutral]],def_diff_lookup,6,FALSE))</f>
        <v>106.91906553204274</v>
      </c>
      <c r="L882" s="25"/>
      <c r="M882" s="25">
        <f>(Table2[[#This Row],[Away Pace]]/100)*(VLOOKUP(Table2[[#This Row],[Visitor/Neutral]],OFR_lookup,2,FALSE)+VLOOKUP(Table2[[#This Row],[Home/Neutral]],def_diff_lookup,6,FALSE))</f>
        <v>99.608826000000022</v>
      </c>
      <c r="N882" s="25"/>
      <c r="O882" s="25"/>
      <c r="P882">
        <f>VLOOKUP(Table2[[#This Row],[Home/Neutral]],pace_lookup,7,FALSE)</f>
        <v>96.3</v>
      </c>
      <c r="Q882" s="5">
        <f>VLOOKUP(Table2[[#This Row],[Visitor/Neutral]],pace_lookup,7,FALSE)</f>
        <v>90.9</v>
      </c>
      <c r="R882" s="9"/>
      <c r="V882" s="2">
        <f>-home-VLOOKUP(Table2[[#This Row],[Home/Neutral]],rtg_vlookup,4,FALSE)+VLOOKUP(Table2[[#This Row],[Visitor/Neutral]],rtg_vlookup,4,FALSE)</f>
        <v>0.92488151658766937</v>
      </c>
      <c r="W882" s="25"/>
      <c r="X882" s="2"/>
      <c r="Y882" s="2">
        <f>Table2[[#This Row],[Away EV]]-Table2[[#This Row],[Home EV]]</f>
        <v>-7.3102395320427149</v>
      </c>
      <c r="Z882" s="33"/>
      <c r="AA882" s="34"/>
      <c r="AB882" s="5" t="b">
        <f>IF(VLOOKUP(Table2[[#This Row],[Home/Neutral]],division_lookup,9,FALSE)=VLOOKUP(Table2[[#This Row],[Visitor/Neutral]],division_lookup,9,FALSE),TRUE,FALSE)</f>
        <v>0</v>
      </c>
      <c r="AC882" s="19" t="str">
        <f>VLOOKUP(Table2[[#This Row],[Home/Neutral]],division_lookup,9,FALSE)</f>
        <v>SE</v>
      </c>
      <c r="AD882" s="19"/>
      <c r="AE882" s="19" t="str">
        <f>IF(Table2[[#This Row],[Total EV ®]]&lt;Table2[[#This Row],[Total (V)]],"UNDER","OVER")</f>
        <v>OVER</v>
      </c>
      <c r="AF882" s="30">
        <f>Table2[[#This Row],[(A) Spread]]-Table2[[#This Row],[Spread (V)]]</f>
        <v>0</v>
      </c>
      <c r="AG882" s="19"/>
      <c r="AH882" s="2">
        <f>Table2[[#This Row],[EV]]-Table2[[#This Row],[Spread (V)]]</f>
        <v>-7.3102395320427149</v>
      </c>
      <c r="AI882" s="22">
        <f>Table2[[#This Row],[(A)]]-Table2[[#This Row],[Spread]]</f>
        <v>0.92488151658766937</v>
      </c>
      <c r="AJ882" s="1">
        <f>Table2[[#This Row],[(A) Err]]^2</f>
        <v>0.85540581972550733</v>
      </c>
      <c r="AK882" s="6">
        <f>Table2[[#This Row],[EV]]-Table2[[#This Row],[Spread]]</f>
        <v>-7.3102395320427149</v>
      </c>
      <c r="AL882" s="1">
        <f>Table2[[#This Row],[EV Err]]^2</f>
        <v>53.439602015840094</v>
      </c>
    </row>
    <row r="883" spans="1:38" x14ac:dyDescent="0.25">
      <c r="A883" t="s">
        <v>160</v>
      </c>
      <c r="B883" t="s">
        <v>26</v>
      </c>
      <c r="C883" t="s">
        <v>11</v>
      </c>
      <c r="K883" s="25">
        <f>(Table2[[#This Row],[Home Pace]]/100)*(VLOOKUP(Table2[[#This Row],[Home/Neutral]],home_lookup,8,FALSE)+VLOOKUP(Table2[[#This Row],[Home/Neutral]],OFR_lookup,2,FALSE)+VLOOKUP(Table2[[#This Row],[Visitor/Neutral]],def_diff_lookup,6,FALSE))</f>
        <v>99.363363589181589</v>
      </c>
      <c r="L883" s="25"/>
      <c r="M883" s="25">
        <f>(Table2[[#This Row],[Away Pace]]/100)*(VLOOKUP(Table2[[#This Row],[Visitor/Neutral]],OFR_lookup,2,FALSE)+VLOOKUP(Table2[[#This Row],[Home/Neutral]],def_diff_lookup,6,FALSE))</f>
        <v>106.26092466666667</v>
      </c>
      <c r="N883" s="25"/>
      <c r="O883" s="25"/>
      <c r="P883">
        <f>VLOOKUP(Table2[[#This Row],[Home/Neutral]],pace_lookup,7,FALSE)</f>
        <v>96</v>
      </c>
      <c r="Q883" s="5">
        <f>VLOOKUP(Table2[[#This Row],[Visitor/Neutral]],pace_lookup,7,FALSE)</f>
        <v>99.7</v>
      </c>
      <c r="R883" s="9"/>
      <c r="V883" s="2">
        <f>-home-VLOOKUP(Table2[[#This Row],[Home/Neutral]],rtg_vlookup,4,FALSE)+VLOOKUP(Table2[[#This Row],[Visitor/Neutral]],rtg_vlookup,4,FALSE)</f>
        <v>3.8148815165876693</v>
      </c>
      <c r="W883" s="25"/>
      <c r="X883" s="2"/>
      <c r="Y883" s="2">
        <f>Table2[[#This Row],[Away EV]]-Table2[[#This Row],[Home EV]]</f>
        <v>6.8975610774850793</v>
      </c>
      <c r="Z883" s="33"/>
      <c r="AA883" s="34"/>
      <c r="AB883" s="5" t="b">
        <f>IF(VLOOKUP(Table2[[#This Row],[Home/Neutral]],division_lookup,9,FALSE)=VLOOKUP(Table2[[#This Row],[Visitor/Neutral]],division_lookup,9,FALSE),TRUE,FALSE)</f>
        <v>0</v>
      </c>
      <c r="AC883" s="19" t="str">
        <f>VLOOKUP(Table2[[#This Row],[Home/Neutral]],division_lookup,9,FALSE)</f>
        <v>A</v>
      </c>
      <c r="AD883" s="19"/>
      <c r="AE883" s="19" t="str">
        <f>IF(Table2[[#This Row],[Total EV ®]]&lt;Table2[[#This Row],[Total (V)]],"UNDER","OVER")</f>
        <v>OVER</v>
      </c>
      <c r="AF883" s="30">
        <f>Table2[[#This Row],[(A) Spread]]-Table2[[#This Row],[Spread (V)]]</f>
        <v>0</v>
      </c>
      <c r="AG883" s="19"/>
      <c r="AH883" s="2">
        <f>Table2[[#This Row],[EV]]-Table2[[#This Row],[Spread (V)]]</f>
        <v>6.8975610774850793</v>
      </c>
      <c r="AI883" s="22">
        <f>Table2[[#This Row],[(A)]]-Table2[[#This Row],[Spread]]</f>
        <v>3.8148815165876693</v>
      </c>
      <c r="AJ883" s="1">
        <f>Table2[[#This Row],[(A) Err]]^2</f>
        <v>14.553320985602236</v>
      </c>
      <c r="AK883" s="6">
        <f>Table2[[#This Row],[EV]]-Table2[[#This Row],[Spread]]</f>
        <v>6.8975610774850793</v>
      </c>
      <c r="AL883" s="1">
        <f>Table2[[#This Row],[EV Err]]^2</f>
        <v>47.576348817637125</v>
      </c>
    </row>
    <row r="884" spans="1:38" x14ac:dyDescent="0.25">
      <c r="A884" t="s">
        <v>160</v>
      </c>
      <c r="B884" t="s">
        <v>8</v>
      </c>
      <c r="C884" t="s">
        <v>30</v>
      </c>
      <c r="K884" s="25">
        <f>(Table2[[#This Row],[Home Pace]]/100)*(VLOOKUP(Table2[[#This Row],[Home/Neutral]],home_lookup,8,FALSE)+VLOOKUP(Table2[[#This Row],[Home/Neutral]],OFR_lookup,2,FALSE)+VLOOKUP(Table2[[#This Row],[Visitor/Neutral]],def_diff_lookup,6,FALSE))</f>
        <v>106.6626603689818</v>
      </c>
      <c r="L884" s="25"/>
      <c r="M884" s="25">
        <f>(Table2[[#This Row],[Away Pace]]/100)*(VLOOKUP(Table2[[#This Row],[Visitor/Neutral]],OFR_lookup,2,FALSE)+VLOOKUP(Table2[[#This Row],[Home/Neutral]],def_diff_lookup,6,FALSE))</f>
        <v>100.44032533333335</v>
      </c>
      <c r="N884" s="25"/>
      <c r="O884" s="25"/>
      <c r="P884">
        <f>VLOOKUP(Table2[[#This Row],[Home/Neutral]],pace_lookup,7,FALSE)</f>
        <v>97.2</v>
      </c>
      <c r="Q884" s="5">
        <f>VLOOKUP(Table2[[#This Row],[Visitor/Neutral]],pace_lookup,7,FALSE)</f>
        <v>96.8</v>
      </c>
      <c r="R884" s="9"/>
      <c r="V884" s="2">
        <f>-home-VLOOKUP(Table2[[#This Row],[Home/Neutral]],rtg_vlookup,4,FALSE)+VLOOKUP(Table2[[#This Row],[Visitor/Neutral]],rtg_vlookup,4,FALSE)</f>
        <v>-12.09511848341233</v>
      </c>
      <c r="W884" s="25"/>
      <c r="X884" s="2"/>
      <c r="Y884" s="2">
        <f>Table2[[#This Row],[Away EV]]-Table2[[#This Row],[Home EV]]</f>
        <v>-6.2223350356484559</v>
      </c>
      <c r="Z884" s="33"/>
      <c r="AA884" s="34"/>
      <c r="AB884" s="5" t="b">
        <f>IF(VLOOKUP(Table2[[#This Row],[Home/Neutral]],division_lookup,9,FALSE)=VLOOKUP(Table2[[#This Row],[Visitor/Neutral]],division_lookup,9,FALSE),TRUE,FALSE)</f>
        <v>1</v>
      </c>
      <c r="AC884" s="19" t="str">
        <f>VLOOKUP(Table2[[#This Row],[Home/Neutral]],division_lookup,9,FALSE)</f>
        <v>C</v>
      </c>
      <c r="AD884" s="19"/>
      <c r="AE884" s="19" t="str">
        <f>IF(Table2[[#This Row],[Total EV ®]]&lt;Table2[[#This Row],[Total (V)]],"UNDER","OVER")</f>
        <v>OVER</v>
      </c>
      <c r="AF884" s="30">
        <f>Table2[[#This Row],[(A) Spread]]-Table2[[#This Row],[Spread (V)]]</f>
        <v>0</v>
      </c>
      <c r="AG884" s="19"/>
      <c r="AH884" s="2">
        <f>Table2[[#This Row],[EV]]-Table2[[#This Row],[Spread (V)]]</f>
        <v>-6.2223350356484559</v>
      </c>
      <c r="AI884" s="22">
        <f>Table2[[#This Row],[(A)]]-Table2[[#This Row],[Spread]]</f>
        <v>-12.09511848341233</v>
      </c>
      <c r="AJ884" s="1">
        <f>Table2[[#This Row],[(A) Err]]^2</f>
        <v>146.29189112778258</v>
      </c>
      <c r="AK884" s="6">
        <f>Table2[[#This Row],[EV]]-Table2[[#This Row],[Spread]]</f>
        <v>-6.2223350356484559</v>
      </c>
      <c r="AL884" s="1">
        <f>Table2[[#This Row],[EV Err]]^2</f>
        <v>38.71745329585827</v>
      </c>
    </row>
    <row r="885" spans="1:38" x14ac:dyDescent="0.25">
      <c r="A885" t="s">
        <v>160</v>
      </c>
      <c r="B885" t="s">
        <v>37</v>
      </c>
      <c r="C885" t="s">
        <v>21</v>
      </c>
      <c r="K885" s="25">
        <f>(Table2[[#This Row],[Home Pace]]/100)*(VLOOKUP(Table2[[#This Row],[Home/Neutral]],home_lookup,8,FALSE)+VLOOKUP(Table2[[#This Row],[Home/Neutral]],OFR_lookup,2,FALSE)+VLOOKUP(Table2[[#This Row],[Visitor/Neutral]],def_diff_lookup,6,FALSE))</f>
        <v>98.904448093621227</v>
      </c>
      <c r="L885" s="25"/>
      <c r="M885" s="25">
        <f>(Table2[[#This Row],[Away Pace]]/100)*(VLOOKUP(Table2[[#This Row],[Visitor/Neutral]],OFR_lookup,2,FALSE)+VLOOKUP(Table2[[#This Row],[Home/Neutral]],def_diff_lookup,6,FALSE))</f>
        <v>93.635428000000019</v>
      </c>
      <c r="N885" s="25"/>
      <c r="O885" s="25"/>
      <c r="P885">
        <f>VLOOKUP(Table2[[#This Row],[Home/Neutral]],pace_lookup,7,FALSE)</f>
        <v>92.1</v>
      </c>
      <c r="Q885" s="5">
        <f>VLOOKUP(Table2[[#This Row],[Visitor/Neutral]],pace_lookup,7,FALSE)</f>
        <v>94.2</v>
      </c>
      <c r="R885" s="9"/>
      <c r="V885" s="2">
        <f>-home-VLOOKUP(Table2[[#This Row],[Home/Neutral]],rtg_vlookup,4,FALSE)+VLOOKUP(Table2[[#This Row],[Visitor/Neutral]],rtg_vlookup,4,FALSE)</f>
        <v>4.6648815165876698</v>
      </c>
      <c r="W885" s="25"/>
      <c r="X885" s="2"/>
      <c r="Y885" s="2">
        <f>Table2[[#This Row],[Away EV]]-Table2[[#This Row],[Home EV]]</f>
        <v>-5.2690200936212079</v>
      </c>
      <c r="Z885" s="33"/>
      <c r="AA885" s="34"/>
      <c r="AB885" s="5" t="b">
        <f>IF(VLOOKUP(Table2[[#This Row],[Home/Neutral]],division_lookup,9,FALSE)=VLOOKUP(Table2[[#This Row],[Visitor/Neutral]],division_lookup,9,FALSE),TRUE,FALSE)</f>
        <v>0</v>
      </c>
      <c r="AC885" s="19" t="str">
        <f>VLOOKUP(Table2[[#This Row],[Home/Neutral]],division_lookup,9,FALSE)</f>
        <v>SW</v>
      </c>
      <c r="AD885" s="19"/>
      <c r="AE885" s="19" t="str">
        <f>IF(Table2[[#This Row],[Total EV ®]]&lt;Table2[[#This Row],[Total (V)]],"UNDER","OVER")</f>
        <v>OVER</v>
      </c>
      <c r="AF885" s="30">
        <f>Table2[[#This Row],[(A) Spread]]-Table2[[#This Row],[Spread (V)]]</f>
        <v>0</v>
      </c>
      <c r="AG885" s="19"/>
      <c r="AH885" s="2">
        <f>Table2[[#This Row],[EV]]-Table2[[#This Row],[Spread (V)]]</f>
        <v>-5.2690200936212079</v>
      </c>
      <c r="AI885" s="22">
        <f>Table2[[#This Row],[(A)]]-Table2[[#This Row],[Spread]]</f>
        <v>4.6648815165876698</v>
      </c>
      <c r="AJ885" s="1">
        <f>Table2[[#This Row],[(A) Err]]^2</f>
        <v>21.761119563801277</v>
      </c>
      <c r="AK885" s="6">
        <f>Table2[[#This Row],[EV]]-Table2[[#This Row],[Spread]]</f>
        <v>-5.2690200936212079</v>
      </c>
      <c r="AL885" s="1">
        <f>Table2[[#This Row],[EV Err]]^2</f>
        <v>27.762572746984041</v>
      </c>
    </row>
    <row r="886" spans="1:38" x14ac:dyDescent="0.25">
      <c r="A886" t="s">
        <v>160</v>
      </c>
      <c r="B886" t="s">
        <v>17</v>
      </c>
      <c r="C886" t="s">
        <v>33</v>
      </c>
      <c r="K886" s="25">
        <f>(Table2[[#This Row],[Home Pace]]/100)*(VLOOKUP(Table2[[#This Row],[Home/Neutral]],home_lookup,8,FALSE)+VLOOKUP(Table2[[#This Row],[Home/Neutral]],OFR_lookup,2,FALSE)+VLOOKUP(Table2[[#This Row],[Visitor/Neutral]],def_diff_lookup,6,FALSE))</f>
        <v>111.69568692873546</v>
      </c>
      <c r="L886" s="25"/>
      <c r="M886" s="25">
        <f>(Table2[[#This Row],[Away Pace]]/100)*(VLOOKUP(Table2[[#This Row],[Visitor/Neutral]],OFR_lookup,2,FALSE)+VLOOKUP(Table2[[#This Row],[Home/Neutral]],def_diff_lookup,6,FALSE))</f>
        <v>104.90771466666668</v>
      </c>
      <c r="N886" s="25"/>
      <c r="O886" s="25"/>
      <c r="P886">
        <f>VLOOKUP(Table2[[#This Row],[Home/Neutral]],pace_lookup,7,FALSE)</f>
        <v>96.7</v>
      </c>
      <c r="Q886" s="5">
        <f>VLOOKUP(Table2[[#This Row],[Visitor/Neutral]],pace_lookup,7,FALSE)</f>
        <v>98.2</v>
      </c>
      <c r="R886" s="9"/>
      <c r="V886" s="2">
        <f>-home-VLOOKUP(Table2[[#This Row],[Home/Neutral]],rtg_vlookup,4,FALSE)+VLOOKUP(Table2[[#This Row],[Visitor/Neutral]],rtg_vlookup,4,FALSE)</f>
        <v>-12.205118483412331</v>
      </c>
      <c r="W886" s="25"/>
      <c r="X886" s="2"/>
      <c r="Y886" s="2">
        <f>Table2[[#This Row],[Away EV]]-Table2[[#This Row],[Home EV]]</f>
        <v>-6.7879722620687772</v>
      </c>
      <c r="Z886" s="33"/>
      <c r="AA886" s="34"/>
      <c r="AB886" s="5" t="b">
        <f>IF(VLOOKUP(Table2[[#This Row],[Home/Neutral]],division_lookup,9,FALSE)=VLOOKUP(Table2[[#This Row],[Visitor/Neutral]],division_lookup,9,FALSE),TRUE,FALSE)</f>
        <v>0</v>
      </c>
      <c r="AC886" s="19" t="str">
        <f>VLOOKUP(Table2[[#This Row],[Home/Neutral]],division_lookup,9,FALSE)</f>
        <v>SW</v>
      </c>
      <c r="AD886" s="19"/>
      <c r="AE886" s="19" t="str">
        <f>IF(Table2[[#This Row],[Total EV ®]]&lt;Table2[[#This Row],[Total (V)]],"UNDER","OVER")</f>
        <v>OVER</v>
      </c>
      <c r="AF886" s="30">
        <f>Table2[[#This Row],[(A) Spread]]-Table2[[#This Row],[Spread (V)]]</f>
        <v>0</v>
      </c>
      <c r="AG886" s="19"/>
      <c r="AH886" s="2">
        <f>Table2[[#This Row],[EV]]-Table2[[#This Row],[Spread (V)]]</f>
        <v>-6.7879722620687772</v>
      </c>
      <c r="AI886" s="22">
        <f>Table2[[#This Row],[(A)]]-Table2[[#This Row],[Spread]]</f>
        <v>-12.205118483412331</v>
      </c>
      <c r="AJ886" s="1">
        <f>Table2[[#This Row],[(A) Err]]^2</f>
        <v>148.96491719413333</v>
      </c>
      <c r="AK886" s="6">
        <f>Table2[[#This Row],[EV]]-Table2[[#This Row],[Spread]]</f>
        <v>-6.7879722620687772</v>
      </c>
      <c r="AL886" s="1">
        <f>Table2[[#This Row],[EV Err]]^2</f>
        <v>46.076567430615114</v>
      </c>
    </row>
    <row r="887" spans="1:38" x14ac:dyDescent="0.25">
      <c r="A887" t="s">
        <v>160</v>
      </c>
      <c r="B887" t="s">
        <v>31</v>
      </c>
      <c r="C887" t="s">
        <v>14</v>
      </c>
      <c r="K887" s="25">
        <f>(Table2[[#This Row],[Home Pace]]/100)*(VLOOKUP(Table2[[#This Row],[Home/Neutral]],home_lookup,8,FALSE)+VLOOKUP(Table2[[#This Row],[Home/Neutral]],OFR_lookup,2,FALSE)+VLOOKUP(Table2[[#This Row],[Visitor/Neutral]],def_diff_lookup,6,FALSE))</f>
        <v>112.1661743021789</v>
      </c>
      <c r="L887" s="25"/>
      <c r="M887" s="25">
        <f>(Table2[[#This Row],[Away Pace]]/100)*(VLOOKUP(Table2[[#This Row],[Visitor/Neutral]],OFR_lookup,2,FALSE)+VLOOKUP(Table2[[#This Row],[Home/Neutral]],def_diff_lookup,6,FALSE))</f>
        <v>113.06673933333336</v>
      </c>
      <c r="N887" s="25"/>
      <c r="O887" s="25"/>
      <c r="P887">
        <f>VLOOKUP(Table2[[#This Row],[Home/Neutral]],pace_lookup,7,FALSE)</f>
        <v>96</v>
      </c>
      <c r="Q887" s="5">
        <f>VLOOKUP(Table2[[#This Row],[Visitor/Neutral]],pace_lookup,7,FALSE)</f>
        <v>95.9</v>
      </c>
      <c r="R887" s="9"/>
      <c r="V887" s="2">
        <f>-home-VLOOKUP(Table2[[#This Row],[Home/Neutral]],rtg_vlookup,4,FALSE)+VLOOKUP(Table2[[#This Row],[Visitor/Neutral]],rtg_vlookup,4,FALSE)</f>
        <v>4.4848815165876692</v>
      </c>
      <c r="W887" s="25"/>
      <c r="X887" s="2"/>
      <c r="Y887" s="2">
        <f>Table2[[#This Row],[Away EV]]-Table2[[#This Row],[Home EV]]</f>
        <v>0.90056503115445707</v>
      </c>
      <c r="Z887" s="33"/>
      <c r="AA887" s="34"/>
      <c r="AB887" s="5" t="b">
        <f>IF(VLOOKUP(Table2[[#This Row],[Home/Neutral]],division_lookup,9,FALSE)=VLOOKUP(Table2[[#This Row],[Visitor/Neutral]],division_lookup,9,FALSE),TRUE,FALSE)</f>
        <v>1</v>
      </c>
      <c r="AC887" s="19" t="str">
        <f>VLOOKUP(Table2[[#This Row],[Home/Neutral]],division_lookup,9,FALSE)</f>
        <v>A</v>
      </c>
      <c r="AD887" s="19"/>
      <c r="AE887" s="19" t="str">
        <f>IF(Table2[[#This Row],[Total EV ®]]&lt;Table2[[#This Row],[Total (V)]],"UNDER","OVER")</f>
        <v>OVER</v>
      </c>
      <c r="AF887" s="30">
        <f>Table2[[#This Row],[(A) Spread]]-Table2[[#This Row],[Spread (V)]]</f>
        <v>0</v>
      </c>
      <c r="AG887" s="19"/>
      <c r="AH887" s="2">
        <f>Table2[[#This Row],[EV]]-Table2[[#This Row],[Spread (V)]]</f>
        <v>0.90056503115445707</v>
      </c>
      <c r="AI887" s="22">
        <f>Table2[[#This Row],[(A)]]-Table2[[#This Row],[Spread]]</f>
        <v>4.4848815165876692</v>
      </c>
      <c r="AJ887" s="1">
        <f>Table2[[#This Row],[(A) Err]]^2</f>
        <v>20.114162217829712</v>
      </c>
      <c r="AK887" s="6">
        <f>Table2[[#This Row],[EV]]-Table2[[#This Row],[Spread]]</f>
        <v>0.90056503115445707</v>
      </c>
      <c r="AL887" s="1">
        <f>Table2[[#This Row],[EV Err]]^2</f>
        <v>0.81101737533822826</v>
      </c>
    </row>
    <row r="888" spans="1:38" x14ac:dyDescent="0.25">
      <c r="A888" t="s">
        <v>160</v>
      </c>
      <c r="B888" t="s">
        <v>39</v>
      </c>
      <c r="C888" t="s">
        <v>10</v>
      </c>
      <c r="K888" s="25">
        <f>(Table2[[#This Row],[Home Pace]]/100)*(VLOOKUP(Table2[[#This Row],[Home/Neutral]],home_lookup,8,FALSE)+VLOOKUP(Table2[[#This Row],[Home/Neutral]],OFR_lookup,2,FALSE)+VLOOKUP(Table2[[#This Row],[Visitor/Neutral]],def_diff_lookup,6,FALSE))</f>
        <v>108.86852211468577</v>
      </c>
      <c r="L888" s="25"/>
      <c r="M888" s="25">
        <f>(Table2[[#This Row],[Away Pace]]/100)*(VLOOKUP(Table2[[#This Row],[Visitor/Neutral]],OFR_lookup,2,FALSE)+VLOOKUP(Table2[[#This Row],[Home/Neutral]],def_diff_lookup,6,FALSE))</f>
        <v>119.73880866666666</v>
      </c>
      <c r="N888" s="25"/>
      <c r="O888" s="25"/>
      <c r="P888">
        <f>VLOOKUP(Table2[[#This Row],[Home/Neutral]],pace_lookup,7,FALSE)</f>
        <v>97.5</v>
      </c>
      <c r="Q888" s="5">
        <f>VLOOKUP(Table2[[#This Row],[Visitor/Neutral]],pace_lookup,7,FALSE)</f>
        <v>100.3</v>
      </c>
      <c r="R888" s="9"/>
      <c r="V888" s="2">
        <f>-home-VLOOKUP(Table2[[#This Row],[Home/Neutral]],rtg_vlookup,4,FALSE)+VLOOKUP(Table2[[#This Row],[Visitor/Neutral]],rtg_vlookup,4,FALSE)</f>
        <v>15.024881516587669</v>
      </c>
      <c r="W888" s="25"/>
      <c r="X888" s="2"/>
      <c r="Y888" s="2">
        <f>Table2[[#This Row],[Away EV]]-Table2[[#This Row],[Home EV]]</f>
        <v>10.870286551980882</v>
      </c>
      <c r="Z888" s="33"/>
      <c r="AA888" s="34"/>
      <c r="AB888" s="5" t="b">
        <f>IF(VLOOKUP(Table2[[#This Row],[Home/Neutral]],division_lookup,9,FALSE)=VLOOKUP(Table2[[#This Row],[Visitor/Neutral]],division_lookup,9,FALSE),TRUE,FALSE)</f>
        <v>0</v>
      </c>
      <c r="AC888" s="19" t="str">
        <f>VLOOKUP(Table2[[#This Row],[Home/Neutral]],division_lookup,9,FALSE)</f>
        <v>A</v>
      </c>
      <c r="AD888" s="19"/>
      <c r="AE888" s="19" t="str">
        <f>IF(Table2[[#This Row],[Total EV ®]]&lt;Table2[[#This Row],[Total (V)]],"UNDER","OVER")</f>
        <v>OVER</v>
      </c>
      <c r="AF888" s="30">
        <f>Table2[[#This Row],[(A) Spread]]-Table2[[#This Row],[Spread (V)]]</f>
        <v>0</v>
      </c>
      <c r="AG888" s="19"/>
      <c r="AH888" s="2">
        <f>Table2[[#This Row],[EV]]-Table2[[#This Row],[Spread (V)]]</f>
        <v>10.870286551980882</v>
      </c>
      <c r="AI888" s="22">
        <f>Table2[[#This Row],[(A)]]-Table2[[#This Row],[Spread]]</f>
        <v>15.024881516587669</v>
      </c>
      <c r="AJ888" s="1">
        <f>Table2[[#This Row],[(A) Err]]^2</f>
        <v>225.74706458749779</v>
      </c>
      <c r="AK888" s="6">
        <f>Table2[[#This Row],[EV]]-Table2[[#This Row],[Spread]]</f>
        <v>10.870286551980882</v>
      </c>
      <c r="AL888" s="1">
        <f>Table2[[#This Row],[EV Err]]^2</f>
        <v>118.16312972217642</v>
      </c>
    </row>
    <row r="889" spans="1:38" x14ac:dyDescent="0.25">
      <c r="A889" t="s">
        <v>160</v>
      </c>
      <c r="B889" t="s">
        <v>29</v>
      </c>
      <c r="C889" t="s">
        <v>22</v>
      </c>
      <c r="K889" s="25">
        <f>(Table2[[#This Row],[Home Pace]]/100)*(VLOOKUP(Table2[[#This Row],[Home/Neutral]],home_lookup,8,FALSE)+VLOOKUP(Table2[[#This Row],[Home/Neutral]],OFR_lookup,2,FALSE)+VLOOKUP(Table2[[#This Row],[Visitor/Neutral]],def_diff_lookup,6,FALSE))</f>
        <v>112.74122926898524</v>
      </c>
      <c r="L889" s="25"/>
      <c r="M889" s="25">
        <f>(Table2[[#This Row],[Away Pace]]/100)*(VLOOKUP(Table2[[#This Row],[Visitor/Neutral]],OFR_lookup,2,FALSE)+VLOOKUP(Table2[[#This Row],[Home/Neutral]],def_diff_lookup,6,FALSE))</f>
        <v>108.48895133333335</v>
      </c>
      <c r="N889" s="25"/>
      <c r="O889" s="25"/>
      <c r="P889">
        <f>VLOOKUP(Table2[[#This Row],[Home/Neutral]],pace_lookup,7,FALSE)</f>
        <v>93.8</v>
      </c>
      <c r="Q889" s="5">
        <f>VLOOKUP(Table2[[#This Row],[Visitor/Neutral]],pace_lookup,7,FALSE)</f>
        <v>94.7</v>
      </c>
      <c r="R889" s="9"/>
      <c r="V889" s="2">
        <f>-home-VLOOKUP(Table2[[#This Row],[Home/Neutral]],rtg_vlookup,4,FALSE)+VLOOKUP(Table2[[#This Row],[Visitor/Neutral]],rtg_vlookup,4,FALSE)</f>
        <v>0.47488151658766931</v>
      </c>
      <c r="W889" s="25"/>
      <c r="X889" s="2"/>
      <c r="Y889" s="2">
        <f>Table2[[#This Row],[Away EV]]-Table2[[#This Row],[Home EV]]</f>
        <v>-4.2522779356518896</v>
      </c>
      <c r="Z889" s="33"/>
      <c r="AA889" s="34"/>
      <c r="AB889" s="5" t="b">
        <f>IF(VLOOKUP(Table2[[#This Row],[Home/Neutral]],division_lookup,9,FALSE)=VLOOKUP(Table2[[#This Row],[Visitor/Neutral]],division_lookup,9,FALSE),TRUE,FALSE)</f>
        <v>0</v>
      </c>
      <c r="AC889" s="19" t="str">
        <f>VLOOKUP(Table2[[#This Row],[Home/Neutral]],division_lookup,9,FALSE)</f>
        <v>P</v>
      </c>
      <c r="AD889" s="19"/>
      <c r="AE889" s="19" t="str">
        <f>IF(Table2[[#This Row],[Total EV ®]]&lt;Table2[[#This Row],[Total (V)]],"UNDER","OVER")</f>
        <v>OVER</v>
      </c>
      <c r="AF889" s="30">
        <f>Table2[[#This Row],[(A) Spread]]-Table2[[#This Row],[Spread (V)]]</f>
        <v>0</v>
      </c>
      <c r="AG889" s="19"/>
      <c r="AH889" s="2">
        <f>Table2[[#This Row],[EV]]-Table2[[#This Row],[Spread (V)]]</f>
        <v>-4.2522779356518896</v>
      </c>
      <c r="AI889" s="22">
        <f>Table2[[#This Row],[(A)]]-Table2[[#This Row],[Spread]]</f>
        <v>0.47488151658766931</v>
      </c>
      <c r="AJ889" s="1">
        <f>Table2[[#This Row],[(A) Err]]^2</f>
        <v>0.22551245479660484</v>
      </c>
      <c r="AK889" s="6">
        <f>Table2[[#This Row],[EV]]-Table2[[#This Row],[Spread]]</f>
        <v>-4.2522779356518896</v>
      </c>
      <c r="AL889" s="1">
        <f>Table2[[#This Row],[EV Err]]^2</f>
        <v>18.081867642031895</v>
      </c>
    </row>
    <row r="890" spans="1:38" x14ac:dyDescent="0.25">
      <c r="A890" t="s">
        <v>161</v>
      </c>
      <c r="B890" t="s">
        <v>13</v>
      </c>
      <c r="C890" t="s">
        <v>27</v>
      </c>
      <c r="K890" s="25">
        <f>(Table2[[#This Row],[Home Pace]]/100)*(VLOOKUP(Table2[[#This Row],[Home/Neutral]],home_lookup,8,FALSE)+VLOOKUP(Table2[[#This Row],[Home/Neutral]],OFR_lookup,2,FALSE)+VLOOKUP(Table2[[#This Row],[Visitor/Neutral]],def_diff_lookup,6,FALSE))</f>
        <v>104.995241084504</v>
      </c>
      <c r="L890" s="25"/>
      <c r="M890" s="25">
        <f>(Table2[[#This Row],[Away Pace]]/100)*(VLOOKUP(Table2[[#This Row],[Visitor/Neutral]],OFR_lookup,2,FALSE)+VLOOKUP(Table2[[#This Row],[Home/Neutral]],def_diff_lookup,6,FALSE))</f>
        <v>103.56456</v>
      </c>
      <c r="N890" s="25"/>
      <c r="O890" s="25"/>
      <c r="P890">
        <f>VLOOKUP(Table2[[#This Row],[Home/Neutral]],pace_lookup,7,FALSE)</f>
        <v>94.5</v>
      </c>
      <c r="Q890" s="5">
        <f>VLOOKUP(Table2[[#This Row],[Visitor/Neutral]],pace_lookup,7,FALSE)</f>
        <v>99</v>
      </c>
      <c r="R890" s="9"/>
      <c r="V890" s="2">
        <f>-home-VLOOKUP(Table2[[#This Row],[Home/Neutral]],rtg_vlookup,4,FALSE)+VLOOKUP(Table2[[#This Row],[Visitor/Neutral]],rtg_vlookup,4,FALSE)</f>
        <v>-8.9551184834123312</v>
      </c>
      <c r="W890" s="25"/>
      <c r="X890" s="2"/>
      <c r="Y890" s="2">
        <f>Table2[[#This Row],[Away EV]]-Table2[[#This Row],[Home EV]]</f>
        <v>-1.4306810845040019</v>
      </c>
      <c r="Z890" s="33"/>
      <c r="AA890" s="34"/>
      <c r="AB890" s="5" t="b">
        <f>IF(VLOOKUP(Table2[[#This Row],[Home/Neutral]],division_lookup,9,FALSE)=VLOOKUP(Table2[[#This Row],[Visitor/Neutral]],division_lookup,9,FALSE),TRUE,FALSE)</f>
        <v>0</v>
      </c>
      <c r="AC890" s="19" t="str">
        <f>VLOOKUP(Table2[[#This Row],[Home/Neutral]],division_lookup,9,FALSE)</f>
        <v>C</v>
      </c>
      <c r="AD890" s="19"/>
      <c r="AE890" s="19" t="str">
        <f>IF(Table2[[#This Row],[Total EV ®]]&lt;Table2[[#This Row],[Total (V)]],"UNDER","OVER")</f>
        <v>OVER</v>
      </c>
      <c r="AF890" s="30">
        <f>Table2[[#This Row],[(A) Spread]]-Table2[[#This Row],[Spread (V)]]</f>
        <v>0</v>
      </c>
      <c r="AG890" s="19"/>
      <c r="AH890" s="2">
        <f>Table2[[#This Row],[EV]]-Table2[[#This Row],[Spread (V)]]</f>
        <v>-1.4306810845040019</v>
      </c>
      <c r="AI890" s="22">
        <f>Table2[[#This Row],[(A)]]-Table2[[#This Row],[Spread]]</f>
        <v>-8.9551184834123312</v>
      </c>
      <c r="AJ890" s="1">
        <f>Table2[[#This Row],[(A) Err]]^2</f>
        <v>80.194147051953166</v>
      </c>
      <c r="AK890" s="6">
        <f>Table2[[#This Row],[EV]]-Table2[[#This Row],[Spread]]</f>
        <v>-1.4306810845040019</v>
      </c>
      <c r="AL890" s="1">
        <f>Table2[[#This Row],[EV Err]]^2</f>
        <v>2.0468483655575471</v>
      </c>
    </row>
    <row r="891" spans="1:38" x14ac:dyDescent="0.25">
      <c r="A891" t="s">
        <v>161</v>
      </c>
      <c r="B891" t="s">
        <v>25</v>
      </c>
      <c r="C891" t="s">
        <v>32</v>
      </c>
      <c r="K891" s="25">
        <f>(Table2[[#This Row],[Home Pace]]/100)*(VLOOKUP(Table2[[#This Row],[Home/Neutral]],home_lookup,8,FALSE)+VLOOKUP(Table2[[#This Row],[Home/Neutral]],OFR_lookup,2,FALSE)+VLOOKUP(Table2[[#This Row],[Visitor/Neutral]],def_diff_lookup,6,FALSE))</f>
        <v>108.04878444427257</v>
      </c>
      <c r="L891" s="25"/>
      <c r="M891" s="25">
        <f>(Table2[[#This Row],[Away Pace]]/100)*(VLOOKUP(Table2[[#This Row],[Visitor/Neutral]],OFR_lookup,2,FALSE)+VLOOKUP(Table2[[#This Row],[Home/Neutral]],def_diff_lookup,6,FALSE))</f>
        <v>103.32359733333334</v>
      </c>
      <c r="N891" s="25"/>
      <c r="O891" s="25"/>
      <c r="P891">
        <f>VLOOKUP(Table2[[#This Row],[Home/Neutral]],pace_lookup,7,FALSE)</f>
        <v>94.4</v>
      </c>
      <c r="Q891" s="5">
        <f>VLOOKUP(Table2[[#This Row],[Visitor/Neutral]],pace_lookup,7,FALSE)</f>
        <v>98.6</v>
      </c>
      <c r="R891" s="9"/>
      <c r="V891" s="2">
        <f>-home-VLOOKUP(Table2[[#This Row],[Home/Neutral]],rtg_vlookup,4,FALSE)+VLOOKUP(Table2[[#This Row],[Visitor/Neutral]],rtg_vlookup,4,FALSE)</f>
        <v>-5.5951184834123309</v>
      </c>
      <c r="W891" s="25"/>
      <c r="X891" s="2"/>
      <c r="Y891" s="2">
        <f>Table2[[#This Row],[Away EV]]-Table2[[#This Row],[Home EV]]</f>
        <v>-4.7251871109392312</v>
      </c>
      <c r="Z891" s="33"/>
      <c r="AA891" s="34"/>
      <c r="AB891" s="5" t="b">
        <f>IF(VLOOKUP(Table2[[#This Row],[Home/Neutral]],division_lookup,9,FALSE)=VLOOKUP(Table2[[#This Row],[Visitor/Neutral]],division_lookup,9,FALSE),TRUE,FALSE)</f>
        <v>0</v>
      </c>
      <c r="AC891" s="19" t="str">
        <f>VLOOKUP(Table2[[#This Row],[Home/Neutral]],division_lookup,9,FALSE)</f>
        <v>C</v>
      </c>
      <c r="AD891" s="19"/>
      <c r="AE891" s="19" t="str">
        <f>IF(Table2[[#This Row],[Total EV ®]]&lt;Table2[[#This Row],[Total (V)]],"UNDER","OVER")</f>
        <v>OVER</v>
      </c>
      <c r="AF891" s="30">
        <f>Table2[[#This Row],[(A) Spread]]-Table2[[#This Row],[Spread (V)]]</f>
        <v>0</v>
      </c>
      <c r="AG891" s="19"/>
      <c r="AH891" s="2">
        <f>Table2[[#This Row],[EV]]-Table2[[#This Row],[Spread (V)]]</f>
        <v>-4.7251871109392312</v>
      </c>
      <c r="AI891" s="22">
        <f>Table2[[#This Row],[(A)]]-Table2[[#This Row],[Spread]]</f>
        <v>-5.5951184834123309</v>
      </c>
      <c r="AJ891" s="1">
        <f>Table2[[#This Row],[(A) Err]]^2</f>
        <v>31.3053508434223</v>
      </c>
      <c r="AK891" s="6">
        <f>Table2[[#This Row],[EV]]-Table2[[#This Row],[Spread]]</f>
        <v>-4.7251871109392312</v>
      </c>
      <c r="AL891" s="1">
        <f>Table2[[#This Row],[EV Err]]^2</f>
        <v>22.327393233386239</v>
      </c>
    </row>
    <row r="892" spans="1:38" x14ac:dyDescent="0.25">
      <c r="A892" t="s">
        <v>161</v>
      </c>
      <c r="B892" t="s">
        <v>24</v>
      </c>
      <c r="C892" t="s">
        <v>16</v>
      </c>
      <c r="K892" s="25">
        <f>(Table2[[#This Row],[Home Pace]]/100)*(VLOOKUP(Table2[[#This Row],[Home/Neutral]],home_lookup,8,FALSE)+VLOOKUP(Table2[[#This Row],[Home/Neutral]],OFR_lookup,2,FALSE)+VLOOKUP(Table2[[#This Row],[Visitor/Neutral]],def_diff_lookup,6,FALSE))</f>
        <v>107.41827432830941</v>
      </c>
      <c r="L892" s="25"/>
      <c r="M892" s="25">
        <f>(Table2[[#This Row],[Away Pace]]/100)*(VLOOKUP(Table2[[#This Row],[Visitor/Neutral]],OFR_lookup,2,FALSE)+VLOOKUP(Table2[[#This Row],[Home/Neutral]],def_diff_lookup,6,FALSE))</f>
        <v>108.34264999999999</v>
      </c>
      <c r="N892" s="25"/>
      <c r="O892" s="25"/>
      <c r="P892">
        <f>VLOOKUP(Table2[[#This Row],[Home/Neutral]],pace_lookup,7,FALSE)</f>
        <v>99.9</v>
      </c>
      <c r="Q892" s="5">
        <f>VLOOKUP(Table2[[#This Row],[Visitor/Neutral]],pace_lookup,7,FALSE)</f>
        <v>97.5</v>
      </c>
      <c r="R892" s="9"/>
      <c r="V892" s="2">
        <f>-home-VLOOKUP(Table2[[#This Row],[Home/Neutral]],rtg_vlookup,4,FALSE)+VLOOKUP(Table2[[#This Row],[Visitor/Neutral]],rtg_vlookup,4,FALSE)</f>
        <v>-0.36511848341233044</v>
      </c>
      <c r="W892" s="25"/>
      <c r="X892" s="2"/>
      <c r="Y892" s="2">
        <f>Table2[[#This Row],[Away EV]]-Table2[[#This Row],[Home EV]]</f>
        <v>0.92437567169058354</v>
      </c>
      <c r="Z892" s="33"/>
      <c r="AA892" s="34"/>
      <c r="AB892" s="5" t="b">
        <f>IF(VLOOKUP(Table2[[#This Row],[Home/Neutral]],division_lookup,9,FALSE)=VLOOKUP(Table2[[#This Row],[Visitor/Neutral]],division_lookup,9,FALSE),TRUE,FALSE)</f>
        <v>0</v>
      </c>
      <c r="AC892" s="19" t="str">
        <f>VLOOKUP(Table2[[#This Row],[Home/Neutral]],division_lookup,9,FALSE)</f>
        <v>P</v>
      </c>
      <c r="AD892" s="19"/>
      <c r="AE892" s="19" t="str">
        <f>IF(Table2[[#This Row],[Total EV ®]]&lt;Table2[[#This Row],[Total (V)]],"UNDER","OVER")</f>
        <v>OVER</v>
      </c>
      <c r="AF892" s="30">
        <f>Table2[[#This Row],[(A) Spread]]-Table2[[#This Row],[Spread (V)]]</f>
        <v>0</v>
      </c>
      <c r="AG892" s="19"/>
      <c r="AH892" s="2">
        <f>Table2[[#This Row],[EV]]-Table2[[#This Row],[Spread (V)]]</f>
        <v>0.92437567169058354</v>
      </c>
      <c r="AI892" s="22">
        <f>Table2[[#This Row],[(A)]]-Table2[[#This Row],[Spread]]</f>
        <v>-0.36511848341233044</v>
      </c>
      <c r="AJ892" s="1">
        <f>Table2[[#This Row],[(A) Err]]^2</f>
        <v>0.13331150692932023</v>
      </c>
      <c r="AK892" s="6">
        <f>Table2[[#This Row],[EV]]-Table2[[#This Row],[Spread]]</f>
        <v>0.92437567169058354</v>
      </c>
      <c r="AL892" s="1">
        <f>Table2[[#This Row],[EV Err]]^2</f>
        <v>0.85447038241341755</v>
      </c>
    </row>
    <row r="893" spans="1:38" x14ac:dyDescent="0.25">
      <c r="A893" t="s">
        <v>161</v>
      </c>
      <c r="B893" t="s">
        <v>23</v>
      </c>
      <c r="C893" t="s">
        <v>36</v>
      </c>
      <c r="K893" s="25">
        <f>(Table2[[#This Row],[Home Pace]]/100)*(VLOOKUP(Table2[[#This Row],[Home/Neutral]],home_lookup,8,FALSE)+VLOOKUP(Table2[[#This Row],[Home/Neutral]],OFR_lookup,2,FALSE)+VLOOKUP(Table2[[#This Row],[Visitor/Neutral]],def_diff_lookup,6,FALSE))</f>
        <v>104.57063735871358</v>
      </c>
      <c r="L893" s="25"/>
      <c r="M893" s="25">
        <f>(Table2[[#This Row],[Away Pace]]/100)*(VLOOKUP(Table2[[#This Row],[Visitor/Neutral]],OFR_lookup,2,FALSE)+VLOOKUP(Table2[[#This Row],[Home/Neutral]],def_diff_lookup,6,FALSE))</f>
        <v>100.74944133333335</v>
      </c>
      <c r="N893" s="25"/>
      <c r="O893" s="25"/>
      <c r="P893">
        <f>VLOOKUP(Table2[[#This Row],[Home/Neutral]],pace_lookup,7,FALSE)</f>
        <v>92.5</v>
      </c>
      <c r="Q893" s="5">
        <f>VLOOKUP(Table2[[#This Row],[Visitor/Neutral]],pace_lookup,7,FALSE)</f>
        <v>102.2</v>
      </c>
      <c r="R893" s="9"/>
      <c r="V893" s="2">
        <f>-home-VLOOKUP(Table2[[#This Row],[Home/Neutral]],rtg_vlookup,4,FALSE)+VLOOKUP(Table2[[#This Row],[Visitor/Neutral]],rtg_vlookup,4,FALSE)</f>
        <v>-11.325118483412332</v>
      </c>
      <c r="W893" s="25"/>
      <c r="X893" s="2"/>
      <c r="Y893" s="2">
        <f>Table2[[#This Row],[Away EV]]-Table2[[#This Row],[Home EV]]</f>
        <v>-3.8211960253802317</v>
      </c>
      <c r="Z893" s="33"/>
      <c r="AA893" s="34"/>
      <c r="AB893" s="5" t="b">
        <f>IF(VLOOKUP(Table2[[#This Row],[Home/Neutral]],division_lookup,9,FALSE)=VLOOKUP(Table2[[#This Row],[Visitor/Neutral]],division_lookup,9,FALSE),TRUE,FALSE)</f>
        <v>0</v>
      </c>
      <c r="AC893" s="19" t="str">
        <f>VLOOKUP(Table2[[#This Row],[Home/Neutral]],division_lookup,9,FALSE)</f>
        <v>SW</v>
      </c>
      <c r="AD893" s="19"/>
      <c r="AE893" s="19" t="str">
        <f>IF(Table2[[#This Row],[Total EV ®]]&lt;Table2[[#This Row],[Total (V)]],"UNDER","OVER")</f>
        <v>OVER</v>
      </c>
      <c r="AF893" s="30">
        <f>Table2[[#This Row],[(A) Spread]]-Table2[[#This Row],[Spread (V)]]</f>
        <v>0</v>
      </c>
      <c r="AG893" s="19"/>
      <c r="AH893" s="2">
        <f>Table2[[#This Row],[EV]]-Table2[[#This Row],[Spread (V)]]</f>
        <v>-3.8211960253802317</v>
      </c>
      <c r="AI893" s="22">
        <f>Table2[[#This Row],[(A)]]-Table2[[#This Row],[Spread]]</f>
        <v>-11.325118483412332</v>
      </c>
      <c r="AJ893" s="1">
        <f>Table2[[#This Row],[(A) Err]]^2</f>
        <v>128.25830866332765</v>
      </c>
      <c r="AK893" s="6">
        <f>Table2[[#This Row],[EV]]-Table2[[#This Row],[Spread]]</f>
        <v>-3.8211960253802317</v>
      </c>
      <c r="AL893" s="1">
        <f>Table2[[#This Row],[EV Err]]^2</f>
        <v>14.601539064381681</v>
      </c>
    </row>
    <row r="894" spans="1:38" x14ac:dyDescent="0.25">
      <c r="A894" t="s">
        <v>161</v>
      </c>
      <c r="B894" t="s">
        <v>18</v>
      </c>
      <c r="C894" t="s">
        <v>20</v>
      </c>
      <c r="K894" s="25">
        <f>(Table2[[#This Row],[Home Pace]]/100)*(VLOOKUP(Table2[[#This Row],[Home/Neutral]],home_lookup,8,FALSE)+VLOOKUP(Table2[[#This Row],[Home/Neutral]],OFR_lookup,2,FALSE)+VLOOKUP(Table2[[#This Row],[Visitor/Neutral]],def_diff_lookup,6,FALSE))</f>
        <v>101.42255616021133</v>
      </c>
      <c r="L894" s="25"/>
      <c r="M894" s="25">
        <f>(Table2[[#This Row],[Away Pace]]/100)*(VLOOKUP(Table2[[#This Row],[Visitor/Neutral]],OFR_lookup,2,FALSE)+VLOOKUP(Table2[[#This Row],[Home/Neutral]],def_diff_lookup,6,FALSE))</f>
        <v>93.100386000000015</v>
      </c>
      <c r="N894" s="25"/>
      <c r="O894" s="25"/>
      <c r="P894">
        <f>VLOOKUP(Table2[[#This Row],[Home/Neutral]],pace_lookup,7,FALSE)</f>
        <v>99.5</v>
      </c>
      <c r="Q894" s="5">
        <f>VLOOKUP(Table2[[#This Row],[Visitor/Neutral]],pace_lookup,7,FALSE)</f>
        <v>90.9</v>
      </c>
      <c r="R894" s="9"/>
      <c r="V894" s="2">
        <f>-home-VLOOKUP(Table2[[#This Row],[Home/Neutral]],rtg_vlookup,4,FALSE)+VLOOKUP(Table2[[#This Row],[Visitor/Neutral]],rtg_vlookup,4,FALSE)</f>
        <v>-3.3151184834123306</v>
      </c>
      <c r="W894" s="25"/>
      <c r="X894" s="2"/>
      <c r="Y894" s="2">
        <f>Table2[[#This Row],[Away EV]]-Table2[[#This Row],[Home EV]]</f>
        <v>-8.3221701602113143</v>
      </c>
      <c r="Z894" s="33"/>
      <c r="AA894" s="34"/>
      <c r="AB894" s="5" t="b">
        <f>IF(VLOOKUP(Table2[[#This Row],[Home/Neutral]],division_lookup,9,FALSE)=VLOOKUP(Table2[[#This Row],[Visitor/Neutral]],division_lookup,9,FALSE),TRUE,FALSE)</f>
        <v>1</v>
      </c>
      <c r="AC894" s="19" t="str">
        <f>VLOOKUP(Table2[[#This Row],[Home/Neutral]],division_lookup,9,FALSE)</f>
        <v>NW</v>
      </c>
      <c r="AD894" s="19"/>
      <c r="AE894" s="19" t="str">
        <f>IF(Table2[[#This Row],[Total EV ®]]&lt;Table2[[#This Row],[Total (V)]],"UNDER","OVER")</f>
        <v>OVER</v>
      </c>
      <c r="AF894" s="30">
        <f>Table2[[#This Row],[(A) Spread]]-Table2[[#This Row],[Spread (V)]]</f>
        <v>0</v>
      </c>
      <c r="AG894" s="19"/>
      <c r="AH894" s="2">
        <f>Table2[[#This Row],[EV]]-Table2[[#This Row],[Spread (V)]]</f>
        <v>-8.3221701602113143</v>
      </c>
      <c r="AI894" s="22">
        <f>Table2[[#This Row],[(A)]]-Table2[[#This Row],[Spread]]</f>
        <v>-3.3151184834123306</v>
      </c>
      <c r="AJ894" s="1">
        <f>Table2[[#This Row],[(A) Err]]^2</f>
        <v>10.990010559062071</v>
      </c>
      <c r="AK894" s="6">
        <f>Table2[[#This Row],[EV]]-Table2[[#This Row],[Spread]]</f>
        <v>-8.3221701602113143</v>
      </c>
      <c r="AL894" s="1">
        <f>Table2[[#This Row],[EV Err]]^2</f>
        <v>69.258516175511616</v>
      </c>
    </row>
    <row r="895" spans="1:38" x14ac:dyDescent="0.25">
      <c r="A895" t="s">
        <v>161</v>
      </c>
      <c r="B895" t="s">
        <v>28</v>
      </c>
      <c r="C895" t="s">
        <v>10</v>
      </c>
      <c r="K895" s="25">
        <f>(Table2[[#This Row],[Home Pace]]/100)*(VLOOKUP(Table2[[#This Row],[Home/Neutral]],home_lookup,8,FALSE)+VLOOKUP(Table2[[#This Row],[Home/Neutral]],OFR_lookup,2,FALSE)+VLOOKUP(Table2[[#This Row],[Visitor/Neutral]],def_diff_lookup,6,FALSE))</f>
        <v>109.83695553204272</v>
      </c>
      <c r="L895" s="25"/>
      <c r="M895" s="25">
        <f>(Table2[[#This Row],[Away Pace]]/100)*(VLOOKUP(Table2[[#This Row],[Visitor/Neutral]],OFR_lookup,2,FALSE)+VLOOKUP(Table2[[#This Row],[Home/Neutral]],def_diff_lookup,6,FALSE))</f>
        <v>119.69868866666667</v>
      </c>
      <c r="N895" s="25"/>
      <c r="O895" s="25"/>
      <c r="P895">
        <f>VLOOKUP(Table2[[#This Row],[Home/Neutral]],pace_lookup,7,FALSE)</f>
        <v>96.3</v>
      </c>
      <c r="Q895" s="5">
        <f>VLOOKUP(Table2[[#This Row],[Visitor/Neutral]],pace_lookup,7,FALSE)</f>
        <v>100.3</v>
      </c>
      <c r="R895" s="9"/>
      <c r="V895" s="2">
        <f>-home-VLOOKUP(Table2[[#This Row],[Home/Neutral]],rtg_vlookup,4,FALSE)+VLOOKUP(Table2[[#This Row],[Visitor/Neutral]],rtg_vlookup,4,FALSE)</f>
        <v>7.6648815165876698</v>
      </c>
      <c r="W895" s="25"/>
      <c r="X895" s="2"/>
      <c r="Y895" s="2">
        <f>Table2[[#This Row],[Away EV]]-Table2[[#This Row],[Home EV]]</f>
        <v>9.8617331346239467</v>
      </c>
      <c r="Z895" s="33"/>
      <c r="AA895" s="34"/>
      <c r="AB895" s="5" t="b">
        <f>IF(VLOOKUP(Table2[[#This Row],[Home/Neutral]],division_lookup,9,FALSE)=VLOOKUP(Table2[[#This Row],[Visitor/Neutral]],division_lookup,9,FALSE),TRUE,FALSE)</f>
        <v>0</v>
      </c>
      <c r="AC895" s="19" t="str">
        <f>VLOOKUP(Table2[[#This Row],[Home/Neutral]],division_lookup,9,FALSE)</f>
        <v>SE</v>
      </c>
      <c r="AD895" s="19"/>
      <c r="AE895" s="19" t="str">
        <f>IF(Table2[[#This Row],[Total EV ®]]&lt;Table2[[#This Row],[Total (V)]],"UNDER","OVER")</f>
        <v>OVER</v>
      </c>
      <c r="AF895" s="30">
        <f>Table2[[#This Row],[(A) Spread]]-Table2[[#This Row],[Spread (V)]]</f>
        <v>0</v>
      </c>
      <c r="AG895" s="19"/>
      <c r="AH895" s="2">
        <f>Table2[[#This Row],[EV]]-Table2[[#This Row],[Spread (V)]]</f>
        <v>9.8617331346239467</v>
      </c>
      <c r="AI895" s="22">
        <f>Table2[[#This Row],[(A)]]-Table2[[#This Row],[Spread]]</f>
        <v>7.6648815165876698</v>
      </c>
      <c r="AJ895" s="1">
        <f>Table2[[#This Row],[(A) Err]]^2</f>
        <v>58.750408663327299</v>
      </c>
      <c r="AK895" s="6">
        <f>Table2[[#This Row],[EV]]-Table2[[#This Row],[Spread]]</f>
        <v>9.8617331346239467</v>
      </c>
      <c r="AL895" s="1">
        <f>Table2[[#This Row],[EV Err]]^2</f>
        <v>97.253780418539861</v>
      </c>
    </row>
    <row r="896" spans="1:38" x14ac:dyDescent="0.25">
      <c r="A896" t="s">
        <v>162</v>
      </c>
      <c r="B896" t="s">
        <v>11</v>
      </c>
      <c r="C896" t="s">
        <v>37</v>
      </c>
      <c r="K896" s="25">
        <f>(Table2[[#This Row],[Home Pace]]/100)*(VLOOKUP(Table2[[#This Row],[Home/Neutral]],home_lookup,8,FALSE)+VLOOKUP(Table2[[#This Row],[Home/Neutral]],OFR_lookup,2,FALSE)+VLOOKUP(Table2[[#This Row],[Visitor/Neutral]],def_diff_lookup,6,FALSE))</f>
        <v>95.459559044072819</v>
      </c>
      <c r="L896" s="25"/>
      <c r="M896" s="25">
        <f>(Table2[[#This Row],[Away Pace]]/100)*(VLOOKUP(Table2[[#This Row],[Visitor/Neutral]],OFR_lookup,2,FALSE)+VLOOKUP(Table2[[#This Row],[Home/Neutral]],def_diff_lookup,6,FALSE))</f>
        <v>81.011774000000003</v>
      </c>
      <c r="N896" s="25"/>
      <c r="O896" s="25"/>
      <c r="P896">
        <f>VLOOKUP(Table2[[#This Row],[Home/Neutral]],pace_lookup,7,FALSE)</f>
        <v>99.7</v>
      </c>
      <c r="Q896" s="5">
        <f>VLOOKUP(Table2[[#This Row],[Visitor/Neutral]],pace_lookup,7,FALSE)</f>
        <v>92.1</v>
      </c>
      <c r="R896" s="9"/>
      <c r="V896" s="2">
        <f>-home-VLOOKUP(Table2[[#This Row],[Home/Neutral]],rtg_vlookup,4,FALSE)+VLOOKUP(Table2[[#This Row],[Visitor/Neutral]],rtg_vlookup,4,FALSE)</f>
        <v>-16.525118483412331</v>
      </c>
      <c r="W896" s="25"/>
      <c r="X896" s="2"/>
      <c r="Y896" s="2">
        <f>Table2[[#This Row],[Away EV]]-Table2[[#This Row],[Home EV]]</f>
        <v>-14.447785044072816</v>
      </c>
      <c r="Z896" s="33"/>
      <c r="AA896" s="34"/>
      <c r="AB896" s="5" t="b">
        <f>IF(VLOOKUP(Table2[[#This Row],[Home/Neutral]],division_lookup,9,FALSE)=VLOOKUP(Table2[[#This Row],[Visitor/Neutral]],division_lookup,9,FALSE),TRUE,FALSE)</f>
        <v>0</v>
      </c>
      <c r="AC896" s="19" t="str">
        <f>VLOOKUP(Table2[[#This Row],[Home/Neutral]],division_lookup,9,FALSE)</f>
        <v>SE</v>
      </c>
      <c r="AD896" s="19"/>
      <c r="AE896" s="19" t="str">
        <f>IF(Table2[[#This Row],[Total EV ®]]&lt;Table2[[#This Row],[Total (V)]],"UNDER","OVER")</f>
        <v>OVER</v>
      </c>
      <c r="AF896" s="30">
        <f>Table2[[#This Row],[(A) Spread]]-Table2[[#This Row],[Spread (V)]]</f>
        <v>0</v>
      </c>
      <c r="AG896" s="19"/>
      <c r="AH896" s="2">
        <f>Table2[[#This Row],[EV]]-Table2[[#This Row],[Spread (V)]]</f>
        <v>-14.447785044072816</v>
      </c>
      <c r="AI896" s="22">
        <f>Table2[[#This Row],[(A)]]-Table2[[#This Row],[Spread]]</f>
        <v>-16.525118483412331</v>
      </c>
      <c r="AJ896" s="1">
        <f>Table2[[#This Row],[(A) Err]]^2</f>
        <v>273.07954089081585</v>
      </c>
      <c r="AK896" s="6">
        <f>Table2[[#This Row],[EV]]-Table2[[#This Row],[Spread]]</f>
        <v>-14.447785044072816</v>
      </c>
      <c r="AL896" s="1">
        <f>Table2[[#This Row],[EV Err]]^2</f>
        <v>208.73849267973415</v>
      </c>
    </row>
    <row r="897" spans="1:38" x14ac:dyDescent="0.25">
      <c r="A897" t="s">
        <v>162</v>
      </c>
      <c r="B897" t="s">
        <v>26</v>
      </c>
      <c r="C897" t="s">
        <v>8</v>
      </c>
      <c r="K897" s="25">
        <f>(Table2[[#This Row],[Home Pace]]/100)*(VLOOKUP(Table2[[#This Row],[Home/Neutral]],home_lookup,8,FALSE)+VLOOKUP(Table2[[#This Row],[Home/Neutral]],OFR_lookup,2,FALSE)+VLOOKUP(Table2[[#This Row],[Visitor/Neutral]],def_diff_lookup,6,FALSE))</f>
        <v>104.96016358918159</v>
      </c>
      <c r="L897" s="25"/>
      <c r="M897" s="25">
        <f>(Table2[[#This Row],[Away Pace]]/100)*(VLOOKUP(Table2[[#This Row],[Visitor/Neutral]],OFR_lookup,2,FALSE)+VLOOKUP(Table2[[#This Row],[Home/Neutral]],def_diff_lookup,6,FALSE))</f>
        <v>109.778328</v>
      </c>
      <c r="N897" s="25"/>
      <c r="O897" s="25"/>
      <c r="P897">
        <f>VLOOKUP(Table2[[#This Row],[Home/Neutral]],pace_lookup,7,FALSE)</f>
        <v>96</v>
      </c>
      <c r="Q897" s="5">
        <f>VLOOKUP(Table2[[#This Row],[Visitor/Neutral]],pace_lookup,7,FALSE)</f>
        <v>97.2</v>
      </c>
      <c r="R897" s="9"/>
      <c r="V897" s="2">
        <f>-home-VLOOKUP(Table2[[#This Row],[Home/Neutral]],rtg_vlookup,4,FALSE)+VLOOKUP(Table2[[#This Row],[Visitor/Neutral]],rtg_vlookup,4,FALSE)</f>
        <v>4.3548815165876693</v>
      </c>
      <c r="W897" s="25"/>
      <c r="X897" s="2"/>
      <c r="Y897" s="2">
        <f>Table2[[#This Row],[Away EV]]-Table2[[#This Row],[Home EV]]</f>
        <v>4.8181644108184116</v>
      </c>
      <c r="Z897" s="33"/>
      <c r="AA897" s="34"/>
      <c r="AB897" s="5" t="b">
        <f>IF(VLOOKUP(Table2[[#This Row],[Home/Neutral]],division_lookup,9,FALSE)=VLOOKUP(Table2[[#This Row],[Visitor/Neutral]],division_lookup,9,FALSE),TRUE,FALSE)</f>
        <v>0</v>
      </c>
      <c r="AC897" s="19" t="str">
        <f>VLOOKUP(Table2[[#This Row],[Home/Neutral]],division_lookup,9,FALSE)</f>
        <v>A</v>
      </c>
      <c r="AD897" s="19"/>
      <c r="AE897" s="19" t="str">
        <f>IF(Table2[[#This Row],[Total EV ®]]&lt;Table2[[#This Row],[Total (V)]],"UNDER","OVER")</f>
        <v>OVER</v>
      </c>
      <c r="AF897" s="30">
        <f>Table2[[#This Row],[(A) Spread]]-Table2[[#This Row],[Spread (V)]]</f>
        <v>0</v>
      </c>
      <c r="AG897" s="19"/>
      <c r="AH897" s="2">
        <f>Table2[[#This Row],[EV]]-Table2[[#This Row],[Spread (V)]]</f>
        <v>4.8181644108184116</v>
      </c>
      <c r="AI897" s="22">
        <f>Table2[[#This Row],[(A)]]-Table2[[#This Row],[Spread]]</f>
        <v>4.3548815165876693</v>
      </c>
      <c r="AJ897" s="1">
        <f>Table2[[#This Row],[(A) Err]]^2</f>
        <v>18.964993023516918</v>
      </c>
      <c r="AK897" s="6">
        <f>Table2[[#This Row],[EV]]-Table2[[#This Row],[Spread]]</f>
        <v>4.8181644108184116</v>
      </c>
      <c r="AL897" s="1">
        <f>Table2[[#This Row],[EV Err]]^2</f>
        <v>23.21470828967713</v>
      </c>
    </row>
    <row r="898" spans="1:38" x14ac:dyDescent="0.25">
      <c r="A898" t="s">
        <v>162</v>
      </c>
      <c r="B898" t="s">
        <v>4</v>
      </c>
      <c r="C898" t="s">
        <v>17</v>
      </c>
      <c r="K898" s="25">
        <f>(Table2[[#This Row],[Home Pace]]/100)*(VLOOKUP(Table2[[#This Row],[Home/Neutral]],home_lookup,8,FALSE)+VLOOKUP(Table2[[#This Row],[Home/Neutral]],OFR_lookup,2,FALSE)+VLOOKUP(Table2[[#This Row],[Visitor/Neutral]],def_diff_lookup,6,FALSE))</f>
        <v>105.47922781393446</v>
      </c>
      <c r="L898" s="25"/>
      <c r="M898" s="25">
        <f>(Table2[[#This Row],[Away Pace]]/100)*(VLOOKUP(Table2[[#This Row],[Visitor/Neutral]],OFR_lookup,2,FALSE)+VLOOKUP(Table2[[#This Row],[Home/Neutral]],def_diff_lookup,6,FALSE))</f>
        <v>104.18522466666668</v>
      </c>
      <c r="N898" s="25"/>
      <c r="O898" s="25"/>
      <c r="P898">
        <f>VLOOKUP(Table2[[#This Row],[Home/Neutral]],pace_lookup,7,FALSE)</f>
        <v>96.6</v>
      </c>
      <c r="Q898" s="5">
        <f>VLOOKUP(Table2[[#This Row],[Visitor/Neutral]],pace_lookup,7,FALSE)</f>
        <v>96.7</v>
      </c>
      <c r="R898" s="9"/>
      <c r="V898" s="2">
        <f>-home-VLOOKUP(Table2[[#This Row],[Home/Neutral]],rtg_vlookup,4,FALSE)+VLOOKUP(Table2[[#This Row],[Visitor/Neutral]],rtg_vlookup,4,FALSE)</f>
        <v>-13.125118483412331</v>
      </c>
      <c r="W898" s="25"/>
      <c r="X898" s="2"/>
      <c r="Y898" s="2">
        <f>Table2[[#This Row],[Away EV]]-Table2[[#This Row],[Home EV]]</f>
        <v>-1.2940031472677731</v>
      </c>
      <c r="Z898" s="33"/>
      <c r="AA898" s="34"/>
      <c r="AB898" s="5" t="b">
        <f>IF(VLOOKUP(Table2[[#This Row],[Home/Neutral]],division_lookup,9,FALSE)=VLOOKUP(Table2[[#This Row],[Visitor/Neutral]],division_lookup,9,FALSE),TRUE,FALSE)</f>
        <v>0</v>
      </c>
      <c r="AC898" s="19" t="str">
        <f>VLOOKUP(Table2[[#This Row],[Home/Neutral]],division_lookup,9,FALSE)</f>
        <v>P</v>
      </c>
      <c r="AD898" s="19"/>
      <c r="AE898" s="19" t="str">
        <f>IF(Table2[[#This Row],[Total EV ®]]&lt;Table2[[#This Row],[Total (V)]],"UNDER","OVER")</f>
        <v>OVER</v>
      </c>
      <c r="AF898" s="30">
        <f>Table2[[#This Row],[(A) Spread]]-Table2[[#This Row],[Spread (V)]]</f>
        <v>0</v>
      </c>
      <c r="AG898" s="19"/>
      <c r="AH898" s="2">
        <f>Table2[[#This Row],[EV]]-Table2[[#This Row],[Spread (V)]]</f>
        <v>-1.2940031472677731</v>
      </c>
      <c r="AI898" s="22">
        <f>Table2[[#This Row],[(A)]]-Table2[[#This Row],[Spread]]</f>
        <v>-13.125118483412331</v>
      </c>
      <c r="AJ898" s="1">
        <f>Table2[[#This Row],[(A) Err]]^2</f>
        <v>172.26873520361201</v>
      </c>
      <c r="AK898" s="6">
        <f>Table2[[#This Row],[EV]]-Table2[[#This Row],[Spread]]</f>
        <v>-1.2940031472677731</v>
      </c>
      <c r="AL898" s="1">
        <f>Table2[[#This Row],[EV Err]]^2</f>
        <v>1.6744441451389021</v>
      </c>
    </row>
    <row r="899" spans="1:38" x14ac:dyDescent="0.25">
      <c r="A899" t="s">
        <v>162</v>
      </c>
      <c r="B899" t="s">
        <v>21</v>
      </c>
      <c r="C899" t="s">
        <v>39</v>
      </c>
      <c r="K899" s="25">
        <f>(Table2[[#This Row],[Home Pace]]/100)*(VLOOKUP(Table2[[#This Row],[Home/Neutral]],home_lookup,8,FALSE)+VLOOKUP(Table2[[#This Row],[Home/Neutral]],OFR_lookup,2,FALSE)+VLOOKUP(Table2[[#This Row],[Visitor/Neutral]],def_diff_lookup,6,FALSE))</f>
        <v>104.3234511752439</v>
      </c>
      <c r="L899" s="25"/>
      <c r="M899" s="25">
        <f>(Table2[[#This Row],[Away Pace]]/100)*(VLOOKUP(Table2[[#This Row],[Visitor/Neutral]],OFR_lookup,2,FALSE)+VLOOKUP(Table2[[#This Row],[Home/Neutral]],def_diff_lookup,6,FALSE))</f>
        <v>93.883400000000009</v>
      </c>
      <c r="N899" s="25"/>
      <c r="O899" s="25"/>
      <c r="P899">
        <f>VLOOKUP(Table2[[#This Row],[Home/Neutral]],pace_lookup,7,FALSE)</f>
        <v>94.2</v>
      </c>
      <c r="Q899" s="5">
        <f>VLOOKUP(Table2[[#This Row],[Visitor/Neutral]],pace_lookup,7,FALSE)</f>
        <v>97.5</v>
      </c>
      <c r="R899" s="9"/>
      <c r="V899" s="2">
        <f>-home-VLOOKUP(Table2[[#This Row],[Home/Neutral]],rtg_vlookup,4,FALSE)+VLOOKUP(Table2[[#This Row],[Visitor/Neutral]],rtg_vlookup,4,FALSE)</f>
        <v>-11.90511848341233</v>
      </c>
      <c r="W899" s="25"/>
      <c r="X899" s="2"/>
      <c r="Y899" s="2">
        <f>Table2[[#This Row],[Away EV]]-Table2[[#This Row],[Home EV]]</f>
        <v>-10.440051175243894</v>
      </c>
      <c r="Z899" s="33"/>
      <c r="AA899" s="34"/>
      <c r="AB899" s="5" t="b">
        <f>IF(VLOOKUP(Table2[[#This Row],[Home/Neutral]],division_lookup,9,FALSE)=VLOOKUP(Table2[[#This Row],[Visitor/Neutral]],division_lookup,9,FALSE),TRUE,FALSE)</f>
        <v>0</v>
      </c>
      <c r="AC899" s="19" t="str">
        <f>VLOOKUP(Table2[[#This Row],[Home/Neutral]],division_lookup,9,FALSE)</f>
        <v>SE</v>
      </c>
      <c r="AD899" s="19"/>
      <c r="AE899" s="19" t="str">
        <f>IF(Table2[[#This Row],[Total EV ®]]&lt;Table2[[#This Row],[Total (V)]],"UNDER","OVER")</f>
        <v>OVER</v>
      </c>
      <c r="AF899" s="30">
        <f>Table2[[#This Row],[(A) Spread]]-Table2[[#This Row],[Spread (V)]]</f>
        <v>0</v>
      </c>
      <c r="AG899" s="19"/>
      <c r="AH899" s="2">
        <f>Table2[[#This Row],[EV]]-Table2[[#This Row],[Spread (V)]]</f>
        <v>-10.440051175243894</v>
      </c>
      <c r="AI899" s="22">
        <f>Table2[[#This Row],[(A)]]-Table2[[#This Row],[Spread]]</f>
        <v>-11.90511848341233</v>
      </c>
      <c r="AJ899" s="1">
        <f>Table2[[#This Row],[(A) Err]]^2</f>
        <v>141.73184610408592</v>
      </c>
      <c r="AK899" s="6">
        <f>Table2[[#This Row],[EV]]-Table2[[#This Row],[Spread]]</f>
        <v>-10.440051175243894</v>
      </c>
      <c r="AL899" s="1">
        <f>Table2[[#This Row],[EV Err]]^2</f>
        <v>108.99466854171142</v>
      </c>
    </row>
    <row r="900" spans="1:38" x14ac:dyDescent="0.25">
      <c r="A900" t="s">
        <v>162</v>
      </c>
      <c r="B900" t="s">
        <v>30</v>
      </c>
      <c r="C900" t="s">
        <v>27</v>
      </c>
      <c r="K900" s="25">
        <f>(Table2[[#This Row],[Home Pace]]/100)*(VLOOKUP(Table2[[#This Row],[Home/Neutral]],home_lookup,8,FALSE)+VLOOKUP(Table2[[#This Row],[Home/Neutral]],OFR_lookup,2,FALSE)+VLOOKUP(Table2[[#This Row],[Visitor/Neutral]],def_diff_lookup,6,FALSE))</f>
        <v>107.70576034993644</v>
      </c>
      <c r="L900" s="25"/>
      <c r="M900" s="25">
        <f>(Table2[[#This Row],[Away Pace]]/100)*(VLOOKUP(Table2[[#This Row],[Visitor/Neutral]],OFR_lookup,2,FALSE)+VLOOKUP(Table2[[#This Row],[Home/Neutral]],def_diff_lookup,6,FALSE))</f>
        <v>106.15836000000002</v>
      </c>
      <c r="N900" s="25"/>
      <c r="O900" s="25"/>
      <c r="P900">
        <f>VLOOKUP(Table2[[#This Row],[Home/Neutral]],pace_lookup,7,FALSE)</f>
        <v>96.8</v>
      </c>
      <c r="Q900" s="5">
        <f>VLOOKUP(Table2[[#This Row],[Visitor/Neutral]],pace_lookup,7,FALSE)</f>
        <v>99</v>
      </c>
      <c r="R900" s="9"/>
      <c r="V900" s="2">
        <f>-home-VLOOKUP(Table2[[#This Row],[Home/Neutral]],rtg_vlookup,4,FALSE)+VLOOKUP(Table2[[#This Row],[Visitor/Neutral]],rtg_vlookup,4,FALSE)</f>
        <v>-0.80511848341233094</v>
      </c>
      <c r="W900" s="25"/>
      <c r="X900" s="2"/>
      <c r="Y900" s="2">
        <f>Table2[[#This Row],[Away EV]]-Table2[[#This Row],[Home EV]]</f>
        <v>-1.5474003499364244</v>
      </c>
      <c r="Z900" s="33"/>
      <c r="AA900" s="34"/>
      <c r="AB900" s="5" t="b">
        <f>IF(VLOOKUP(Table2[[#This Row],[Home/Neutral]],division_lookup,9,FALSE)=VLOOKUP(Table2[[#This Row],[Visitor/Neutral]],division_lookup,9,FALSE),TRUE,FALSE)</f>
        <v>0</v>
      </c>
      <c r="AC900" s="19" t="str">
        <f>VLOOKUP(Table2[[#This Row],[Home/Neutral]],division_lookup,9,FALSE)</f>
        <v>C</v>
      </c>
      <c r="AD900" s="19"/>
      <c r="AE900" s="19" t="str">
        <f>IF(Table2[[#This Row],[Total EV ®]]&lt;Table2[[#This Row],[Total (V)]],"UNDER","OVER")</f>
        <v>OVER</v>
      </c>
      <c r="AF900" s="30">
        <f>Table2[[#This Row],[(A) Spread]]-Table2[[#This Row],[Spread (V)]]</f>
        <v>0</v>
      </c>
      <c r="AG900" s="19"/>
      <c r="AH900" s="2">
        <f>Table2[[#This Row],[EV]]-Table2[[#This Row],[Spread (V)]]</f>
        <v>-1.5474003499364244</v>
      </c>
      <c r="AI900" s="22">
        <f>Table2[[#This Row],[(A)]]-Table2[[#This Row],[Spread]]</f>
        <v>-0.80511848341233094</v>
      </c>
      <c r="AJ900" s="1">
        <f>Table2[[#This Row],[(A) Err]]^2</f>
        <v>0.64821577233217187</v>
      </c>
      <c r="AK900" s="6">
        <f>Table2[[#This Row],[EV]]-Table2[[#This Row],[Spread]]</f>
        <v>-1.5474003499364244</v>
      </c>
      <c r="AL900" s="1">
        <f>Table2[[#This Row],[EV Err]]^2</f>
        <v>2.3944478429833689</v>
      </c>
    </row>
    <row r="901" spans="1:38" x14ac:dyDescent="0.25">
      <c r="A901" t="s">
        <v>162</v>
      </c>
      <c r="B901" t="s">
        <v>34</v>
      </c>
      <c r="C901" t="s">
        <v>25</v>
      </c>
      <c r="K901" s="25">
        <f>(Table2[[#This Row],[Home Pace]]/100)*(VLOOKUP(Table2[[#This Row],[Home/Neutral]],home_lookup,8,FALSE)+VLOOKUP(Table2[[#This Row],[Home/Neutral]],OFR_lookup,2,FALSE)+VLOOKUP(Table2[[#This Row],[Visitor/Neutral]],def_diff_lookup,6,FALSE))</f>
        <v>101.25195864565556</v>
      </c>
      <c r="L901" s="25"/>
      <c r="M901" s="25">
        <f>(Table2[[#This Row],[Away Pace]]/100)*(VLOOKUP(Table2[[#This Row],[Visitor/Neutral]],OFR_lookup,2,FALSE)+VLOOKUP(Table2[[#This Row],[Home/Neutral]],def_diff_lookup,6,FALSE))</f>
        <v>96.619029333333344</v>
      </c>
      <c r="N901" s="25"/>
      <c r="O901" s="25"/>
      <c r="P901">
        <f>VLOOKUP(Table2[[#This Row],[Home/Neutral]],pace_lookup,7,FALSE)</f>
        <v>98.8</v>
      </c>
      <c r="Q901" s="5">
        <f>VLOOKUP(Table2[[#This Row],[Visitor/Neutral]],pace_lookup,7,FALSE)</f>
        <v>94.4</v>
      </c>
      <c r="R901" s="9"/>
      <c r="V901" s="2">
        <f>-home-VLOOKUP(Table2[[#This Row],[Home/Neutral]],rtg_vlookup,4,FALSE)+VLOOKUP(Table2[[#This Row],[Visitor/Neutral]],rtg_vlookup,4,FALSE)</f>
        <v>2.2948815165876697</v>
      </c>
      <c r="W901" s="25"/>
      <c r="X901" s="2"/>
      <c r="Y901" s="2">
        <f>Table2[[#This Row],[Away EV]]-Table2[[#This Row],[Home EV]]</f>
        <v>-4.6329293123222186</v>
      </c>
      <c r="Z901" s="33"/>
      <c r="AA901" s="34"/>
      <c r="AB901" s="5" t="b">
        <f>IF(VLOOKUP(Table2[[#This Row],[Home/Neutral]],division_lookup,9,FALSE)=VLOOKUP(Table2[[#This Row],[Visitor/Neutral]],division_lookup,9,FALSE),TRUE,FALSE)</f>
        <v>0</v>
      </c>
      <c r="AC901" s="19" t="str">
        <f>VLOOKUP(Table2[[#This Row],[Home/Neutral]],division_lookup,9,FALSE)</f>
        <v>SW</v>
      </c>
      <c r="AD901" s="19"/>
      <c r="AE901" s="19" t="str">
        <f>IF(Table2[[#This Row],[Total EV ®]]&lt;Table2[[#This Row],[Total (V)]],"UNDER","OVER")</f>
        <v>OVER</v>
      </c>
      <c r="AF901" s="30">
        <f>Table2[[#This Row],[(A) Spread]]-Table2[[#This Row],[Spread (V)]]</f>
        <v>0</v>
      </c>
      <c r="AG901" s="19"/>
      <c r="AH901" s="2">
        <f>Table2[[#This Row],[EV]]-Table2[[#This Row],[Spread (V)]]</f>
        <v>-4.6329293123222186</v>
      </c>
      <c r="AI901" s="22">
        <f>Table2[[#This Row],[(A)]]-Table2[[#This Row],[Spread]]</f>
        <v>2.2948815165876697</v>
      </c>
      <c r="AJ901" s="1">
        <f>Table2[[#This Row],[(A) Err]]^2</f>
        <v>5.2664811751757226</v>
      </c>
      <c r="AK901" s="6">
        <f>Table2[[#This Row],[EV]]-Table2[[#This Row],[Spread]]</f>
        <v>-4.6329293123222186</v>
      </c>
      <c r="AL901" s="1">
        <f>Table2[[#This Row],[EV Err]]^2</f>
        <v>21.464034012974427</v>
      </c>
    </row>
    <row r="902" spans="1:38" x14ac:dyDescent="0.25">
      <c r="A902" t="s">
        <v>162</v>
      </c>
      <c r="B902" t="s">
        <v>38</v>
      </c>
      <c r="C902" t="s">
        <v>31</v>
      </c>
      <c r="K902" s="25">
        <f>(Table2[[#This Row],[Home Pace]]/100)*(VLOOKUP(Table2[[#This Row],[Home/Neutral]],home_lookup,8,FALSE)+VLOOKUP(Table2[[#This Row],[Home/Neutral]],OFR_lookup,2,FALSE)+VLOOKUP(Table2[[#This Row],[Visitor/Neutral]],def_diff_lookup,6,FALSE))</f>
        <v>110.4428716789148</v>
      </c>
      <c r="L902" s="25"/>
      <c r="M902" s="25">
        <f>(Table2[[#This Row],[Away Pace]]/100)*(VLOOKUP(Table2[[#This Row],[Visitor/Neutral]],OFR_lookup,2,FALSE)+VLOOKUP(Table2[[#This Row],[Home/Neutral]],def_diff_lookup,6,FALSE))</f>
        <v>105.49504</v>
      </c>
      <c r="N902" s="25"/>
      <c r="O902" s="25"/>
      <c r="P902">
        <f>VLOOKUP(Table2[[#This Row],[Home/Neutral]],pace_lookup,7,FALSE)</f>
        <v>94.2</v>
      </c>
      <c r="Q902" s="5">
        <f>VLOOKUP(Table2[[#This Row],[Visitor/Neutral]],pace_lookup,7,FALSE)</f>
        <v>96</v>
      </c>
      <c r="R902" s="9"/>
      <c r="V902" s="2">
        <f>-home-VLOOKUP(Table2[[#This Row],[Home/Neutral]],rtg_vlookup,4,FALSE)+VLOOKUP(Table2[[#This Row],[Visitor/Neutral]],rtg_vlookup,4,FALSE)</f>
        <v>3.7248815165876685</v>
      </c>
      <c r="W902" s="25"/>
      <c r="X902" s="2"/>
      <c r="Y902" s="2">
        <f>Table2[[#This Row],[Away EV]]-Table2[[#This Row],[Home EV]]</f>
        <v>-4.9478316789147954</v>
      </c>
      <c r="Z902" s="33"/>
      <c r="AA902" s="34"/>
      <c r="AB902" s="5" t="b">
        <f>IF(VLOOKUP(Table2[[#This Row],[Home/Neutral]],division_lookup,9,FALSE)=VLOOKUP(Table2[[#This Row],[Visitor/Neutral]],division_lookup,9,FALSE),TRUE,FALSE)</f>
        <v>0</v>
      </c>
      <c r="AC902" s="19" t="str">
        <f>VLOOKUP(Table2[[#This Row],[Home/Neutral]],division_lookup,9,FALSE)</f>
        <v>SE</v>
      </c>
      <c r="AD902" s="19"/>
      <c r="AE902" s="19" t="str">
        <f>IF(Table2[[#This Row],[Total EV ®]]&lt;Table2[[#This Row],[Total (V)]],"UNDER","OVER")</f>
        <v>OVER</v>
      </c>
      <c r="AF902" s="30">
        <f>Table2[[#This Row],[(A) Spread]]-Table2[[#This Row],[Spread (V)]]</f>
        <v>0</v>
      </c>
      <c r="AG902" s="19"/>
      <c r="AH902" s="2">
        <f>Table2[[#This Row],[EV]]-Table2[[#This Row],[Spread (V)]]</f>
        <v>-4.9478316789147954</v>
      </c>
      <c r="AI902" s="22">
        <f>Table2[[#This Row],[(A)]]-Table2[[#This Row],[Spread]]</f>
        <v>3.7248815165876685</v>
      </c>
      <c r="AJ902" s="1">
        <f>Table2[[#This Row],[(A) Err]]^2</f>
        <v>13.87474231261645</v>
      </c>
      <c r="AK902" s="6">
        <f>Table2[[#This Row],[EV]]-Table2[[#This Row],[Spread]]</f>
        <v>-4.9478316789147954</v>
      </c>
      <c r="AL902" s="1">
        <f>Table2[[#This Row],[EV Err]]^2</f>
        <v>24.481038322872802</v>
      </c>
    </row>
    <row r="903" spans="1:38" x14ac:dyDescent="0.25">
      <c r="A903" t="s">
        <v>162</v>
      </c>
      <c r="B903" t="s">
        <v>29</v>
      </c>
      <c r="C903" t="s">
        <v>35</v>
      </c>
      <c r="K903" s="25">
        <f>(Table2[[#This Row],[Home Pace]]/100)*(VLOOKUP(Table2[[#This Row],[Home/Neutral]],home_lookup,8,FALSE)+VLOOKUP(Table2[[#This Row],[Home/Neutral]],OFR_lookup,2,FALSE)+VLOOKUP(Table2[[#This Row],[Visitor/Neutral]],def_diff_lookup,6,FALSE))</f>
        <v>112.30974926898523</v>
      </c>
      <c r="L903" s="25"/>
      <c r="M903" s="25">
        <f>(Table2[[#This Row],[Away Pace]]/100)*(VLOOKUP(Table2[[#This Row],[Visitor/Neutral]],OFR_lookup,2,FALSE)+VLOOKUP(Table2[[#This Row],[Home/Neutral]],def_diff_lookup,6,FALSE))</f>
        <v>109.24226133333335</v>
      </c>
      <c r="N903" s="25"/>
      <c r="O903" s="25"/>
      <c r="P903">
        <f>VLOOKUP(Table2[[#This Row],[Home/Neutral]],pace_lookup,7,FALSE)</f>
        <v>93.8</v>
      </c>
      <c r="Q903" s="5">
        <f>VLOOKUP(Table2[[#This Row],[Visitor/Neutral]],pace_lookup,7,FALSE)</f>
        <v>102.2</v>
      </c>
      <c r="R903" s="9"/>
      <c r="V903" s="2">
        <f>-home-VLOOKUP(Table2[[#This Row],[Home/Neutral]],rtg_vlookup,4,FALSE)+VLOOKUP(Table2[[#This Row],[Visitor/Neutral]],rtg_vlookup,4,FALSE)</f>
        <v>-6.7451184834123303</v>
      </c>
      <c r="W903" s="25"/>
      <c r="X903" s="2"/>
      <c r="Y903" s="2">
        <f>Table2[[#This Row],[Away EV]]-Table2[[#This Row],[Home EV]]</f>
        <v>-3.0674879356518829</v>
      </c>
      <c r="Z903" s="33"/>
      <c r="AA903" s="34"/>
      <c r="AB903" s="5" t="b">
        <f>IF(VLOOKUP(Table2[[#This Row],[Home/Neutral]],division_lookup,9,FALSE)=VLOOKUP(Table2[[#This Row],[Visitor/Neutral]],division_lookup,9,FALSE),TRUE,FALSE)</f>
        <v>0</v>
      </c>
      <c r="AC903" s="19" t="str">
        <f>VLOOKUP(Table2[[#This Row],[Home/Neutral]],division_lookup,9,FALSE)</f>
        <v>P</v>
      </c>
      <c r="AD903" s="19"/>
      <c r="AE903" s="19" t="str">
        <f>IF(Table2[[#This Row],[Total EV ®]]&lt;Table2[[#This Row],[Total (V)]],"UNDER","OVER")</f>
        <v>OVER</v>
      </c>
      <c r="AF903" s="30">
        <f>Table2[[#This Row],[(A) Spread]]-Table2[[#This Row],[Spread (V)]]</f>
        <v>0</v>
      </c>
      <c r="AG903" s="19"/>
      <c r="AH903" s="2">
        <f>Table2[[#This Row],[EV]]-Table2[[#This Row],[Spread (V)]]</f>
        <v>-3.0674879356518829</v>
      </c>
      <c r="AI903" s="22">
        <f>Table2[[#This Row],[(A)]]-Table2[[#This Row],[Spread]]</f>
        <v>-6.7451184834123303</v>
      </c>
      <c r="AJ903" s="1">
        <f>Table2[[#This Row],[(A) Err]]^2</f>
        <v>45.496623355270657</v>
      </c>
      <c r="AK903" s="6">
        <f>Table2[[#This Row],[EV]]-Table2[[#This Row],[Spread]]</f>
        <v>-3.0674879356518829</v>
      </c>
      <c r="AL903" s="1">
        <f>Table2[[#This Row],[EV Err]]^2</f>
        <v>9.4094822353698504</v>
      </c>
    </row>
    <row r="904" spans="1:38" x14ac:dyDescent="0.25">
      <c r="A904" t="s">
        <v>162</v>
      </c>
      <c r="B904" t="s">
        <v>6</v>
      </c>
      <c r="C904" t="s">
        <v>33</v>
      </c>
      <c r="K904" s="25">
        <f>(Table2[[#This Row],[Home Pace]]/100)*(VLOOKUP(Table2[[#This Row],[Home/Neutral]],home_lookup,8,FALSE)+VLOOKUP(Table2[[#This Row],[Home/Neutral]],OFR_lookup,2,FALSE)+VLOOKUP(Table2[[#This Row],[Visitor/Neutral]],def_diff_lookup,6,FALSE))</f>
        <v>105.34044787062244</v>
      </c>
      <c r="L904" s="25"/>
      <c r="M904" s="25">
        <f>(Table2[[#This Row],[Away Pace]]/100)*(VLOOKUP(Table2[[#This Row],[Visitor/Neutral]],OFR_lookup,2,FALSE)+VLOOKUP(Table2[[#This Row],[Home/Neutral]],def_diff_lookup,6,FALSE))</f>
        <v>99.428154666666671</v>
      </c>
      <c r="N904" s="25"/>
      <c r="O904" s="25"/>
      <c r="P904">
        <f>VLOOKUP(Table2[[#This Row],[Home/Neutral]],pace_lookup,7,FALSE)</f>
        <v>93.1</v>
      </c>
      <c r="Q904" s="5">
        <f>VLOOKUP(Table2[[#This Row],[Visitor/Neutral]],pace_lookup,7,FALSE)</f>
        <v>98.2</v>
      </c>
      <c r="R904" s="9"/>
      <c r="V904" s="2">
        <f>-home-VLOOKUP(Table2[[#This Row],[Home/Neutral]],rtg_vlookup,4,FALSE)+VLOOKUP(Table2[[#This Row],[Visitor/Neutral]],rtg_vlookup,4,FALSE)</f>
        <v>-14.965118483412331</v>
      </c>
      <c r="W904" s="25"/>
      <c r="X904" s="2"/>
      <c r="Y904" s="2">
        <f>Table2[[#This Row],[Away EV]]-Table2[[#This Row],[Home EV]]</f>
        <v>-5.9122932039557696</v>
      </c>
      <c r="Z904" s="33"/>
      <c r="AA904" s="34"/>
      <c r="AB904" s="5" t="b">
        <f>IF(VLOOKUP(Table2[[#This Row],[Home/Neutral]],division_lookup,9,FALSE)=VLOOKUP(Table2[[#This Row],[Visitor/Neutral]],division_lookup,9,FALSE),TRUE,FALSE)</f>
        <v>0</v>
      </c>
      <c r="AC904" s="19" t="str">
        <f>VLOOKUP(Table2[[#This Row],[Home/Neutral]],division_lookup,9,FALSE)</f>
        <v>SW</v>
      </c>
      <c r="AD904" s="19"/>
      <c r="AE904" s="19" t="str">
        <f>IF(Table2[[#This Row],[Total EV ®]]&lt;Table2[[#This Row],[Total (V)]],"UNDER","OVER")</f>
        <v>OVER</v>
      </c>
      <c r="AF904" s="30">
        <f>Table2[[#This Row],[(A) Spread]]-Table2[[#This Row],[Spread (V)]]</f>
        <v>0</v>
      </c>
      <c r="AG904" s="19"/>
      <c r="AH904" s="2">
        <f>Table2[[#This Row],[EV]]-Table2[[#This Row],[Spread (V)]]</f>
        <v>-5.9122932039557696</v>
      </c>
      <c r="AI904" s="22">
        <f>Table2[[#This Row],[(A)]]-Table2[[#This Row],[Spread]]</f>
        <v>-14.965118483412331</v>
      </c>
      <c r="AJ904" s="1">
        <f>Table2[[#This Row],[(A) Err]]^2</f>
        <v>223.95477122256938</v>
      </c>
      <c r="AK904" s="6">
        <f>Table2[[#This Row],[EV]]-Table2[[#This Row],[Spread]]</f>
        <v>-5.9122932039557696</v>
      </c>
      <c r="AL904" s="1">
        <f>Table2[[#This Row],[EV Err]]^2</f>
        <v>34.955210929541579</v>
      </c>
    </row>
    <row r="905" spans="1:38" x14ac:dyDescent="0.25">
      <c r="A905" t="s">
        <v>162</v>
      </c>
      <c r="B905" t="s">
        <v>14</v>
      </c>
      <c r="C905" t="s">
        <v>28</v>
      </c>
      <c r="K905" s="25">
        <f>(Table2[[#This Row],[Home Pace]]/100)*(VLOOKUP(Table2[[#This Row],[Home/Neutral]],home_lookup,8,FALSE)+VLOOKUP(Table2[[#This Row],[Home/Neutral]],OFR_lookup,2,FALSE)+VLOOKUP(Table2[[#This Row],[Visitor/Neutral]],def_diff_lookup,6,FALSE))</f>
        <v>110.02560414241451</v>
      </c>
      <c r="L905" s="25"/>
      <c r="M905" s="25">
        <f>(Table2[[#This Row],[Away Pace]]/100)*(VLOOKUP(Table2[[#This Row],[Visitor/Neutral]],OFR_lookup,2,FALSE)+VLOOKUP(Table2[[#This Row],[Home/Neutral]],def_diff_lookup,6,FALSE))</f>
        <v>105.22765200000001</v>
      </c>
      <c r="N905" s="25"/>
      <c r="O905" s="25"/>
      <c r="P905">
        <f>VLOOKUP(Table2[[#This Row],[Home/Neutral]],pace_lookup,7,FALSE)</f>
        <v>95.9</v>
      </c>
      <c r="Q905" s="5">
        <f>VLOOKUP(Table2[[#This Row],[Visitor/Neutral]],pace_lookup,7,FALSE)</f>
        <v>96.3</v>
      </c>
      <c r="R905" s="9"/>
      <c r="V905" s="2">
        <f>-home-VLOOKUP(Table2[[#This Row],[Home/Neutral]],rtg_vlookup,4,FALSE)+VLOOKUP(Table2[[#This Row],[Visitor/Neutral]],rtg_vlookup,4,FALSE)</f>
        <v>-9.6051184834123298</v>
      </c>
      <c r="W905" s="25"/>
      <c r="X905" s="2"/>
      <c r="Y905" s="2">
        <f>Table2[[#This Row],[Away EV]]-Table2[[#This Row],[Home EV]]</f>
        <v>-4.797952142414502</v>
      </c>
      <c r="Z905" s="33"/>
      <c r="AA905" s="34"/>
      <c r="AB905" s="5" t="b">
        <f>IF(VLOOKUP(Table2[[#This Row],[Home/Neutral]],division_lookup,9,FALSE)=VLOOKUP(Table2[[#This Row],[Visitor/Neutral]],division_lookup,9,FALSE),TRUE,FALSE)</f>
        <v>0</v>
      </c>
      <c r="AC905" s="19" t="str">
        <f>VLOOKUP(Table2[[#This Row],[Home/Neutral]],division_lookup,9,FALSE)</f>
        <v>A</v>
      </c>
      <c r="AD905" s="19"/>
      <c r="AE905" s="19" t="str">
        <f>IF(Table2[[#This Row],[Total EV ®]]&lt;Table2[[#This Row],[Total (V)]],"UNDER","OVER")</f>
        <v>OVER</v>
      </c>
      <c r="AF905" s="30">
        <f>Table2[[#This Row],[(A) Spread]]-Table2[[#This Row],[Spread (V)]]</f>
        <v>0</v>
      </c>
      <c r="AG905" s="19"/>
      <c r="AH905" s="2">
        <f>Table2[[#This Row],[EV]]-Table2[[#This Row],[Spread (V)]]</f>
        <v>-4.797952142414502</v>
      </c>
      <c r="AI905" s="22">
        <f>Table2[[#This Row],[(A)]]-Table2[[#This Row],[Spread]]</f>
        <v>-9.6051184834123298</v>
      </c>
      <c r="AJ905" s="1">
        <f>Table2[[#This Row],[(A) Err]]^2</f>
        <v>92.258301080389174</v>
      </c>
      <c r="AK905" s="6">
        <f>Table2[[#This Row],[EV]]-Table2[[#This Row],[Spread]]</f>
        <v>-4.797952142414502</v>
      </c>
      <c r="AL905" s="1">
        <f>Table2[[#This Row],[EV Err]]^2</f>
        <v>23.02034476089991</v>
      </c>
    </row>
    <row r="906" spans="1:38" x14ac:dyDescent="0.25">
      <c r="A906" t="s">
        <v>162</v>
      </c>
      <c r="B906" t="s">
        <v>20</v>
      </c>
      <c r="C906" t="s">
        <v>22</v>
      </c>
      <c r="K906" s="25">
        <f>(Table2[[#This Row],[Home Pace]]/100)*(VLOOKUP(Table2[[#This Row],[Home/Neutral]],home_lookup,8,FALSE)+VLOOKUP(Table2[[#This Row],[Home/Neutral]],OFR_lookup,2,FALSE)+VLOOKUP(Table2[[#This Row],[Visitor/Neutral]],def_diff_lookup,6,FALSE))</f>
        <v>107.57387528915177</v>
      </c>
      <c r="L906" s="25"/>
      <c r="M906" s="25">
        <f>(Table2[[#This Row],[Away Pace]]/100)*(VLOOKUP(Table2[[#This Row],[Visitor/Neutral]],OFR_lookup,2,FALSE)+VLOOKUP(Table2[[#This Row],[Home/Neutral]],def_diff_lookup,6,FALSE))</f>
        <v>103.96229133333337</v>
      </c>
      <c r="N906" s="25"/>
      <c r="O906" s="25"/>
      <c r="P906">
        <f>VLOOKUP(Table2[[#This Row],[Home/Neutral]],pace_lookup,7,FALSE)</f>
        <v>90.9</v>
      </c>
      <c r="Q906" s="5">
        <f>VLOOKUP(Table2[[#This Row],[Visitor/Neutral]],pace_lookup,7,FALSE)</f>
        <v>94.7</v>
      </c>
      <c r="R906" s="9"/>
      <c r="V906" s="2">
        <f>-home-VLOOKUP(Table2[[#This Row],[Home/Neutral]],rtg_vlookup,4,FALSE)+VLOOKUP(Table2[[#This Row],[Visitor/Neutral]],rtg_vlookup,4,FALSE)</f>
        <v>-3.5551184834123308</v>
      </c>
      <c r="W906" s="25"/>
      <c r="X906" s="2"/>
      <c r="Y906" s="2">
        <f>Table2[[#This Row],[Away EV]]-Table2[[#This Row],[Home EV]]</f>
        <v>-3.6115839558184035</v>
      </c>
      <c r="Z906" s="33"/>
      <c r="AA906" s="34"/>
      <c r="AB906" s="5" t="b">
        <f>IF(VLOOKUP(Table2[[#This Row],[Home/Neutral]],division_lookup,9,FALSE)=VLOOKUP(Table2[[#This Row],[Visitor/Neutral]],division_lookup,9,FALSE),TRUE,FALSE)</f>
        <v>1</v>
      </c>
      <c r="AC906" s="19" t="str">
        <f>VLOOKUP(Table2[[#This Row],[Home/Neutral]],division_lookup,9,FALSE)</f>
        <v>NW</v>
      </c>
      <c r="AD906" s="19"/>
      <c r="AE906" s="19" t="str">
        <f>IF(Table2[[#This Row],[Total EV ®]]&lt;Table2[[#This Row],[Total (V)]],"UNDER","OVER")</f>
        <v>OVER</v>
      </c>
      <c r="AF906" s="30">
        <f>Table2[[#This Row],[(A) Spread]]-Table2[[#This Row],[Spread (V)]]</f>
        <v>0</v>
      </c>
      <c r="AG906" s="19"/>
      <c r="AH906" s="2">
        <f>Table2[[#This Row],[EV]]-Table2[[#This Row],[Spread (V)]]</f>
        <v>-3.6115839558184035</v>
      </c>
      <c r="AI906" s="22">
        <f>Table2[[#This Row],[(A)]]-Table2[[#This Row],[Spread]]</f>
        <v>-3.5551184834123308</v>
      </c>
      <c r="AJ906" s="1">
        <f>Table2[[#This Row],[(A) Err]]^2</f>
        <v>12.638867431099991</v>
      </c>
      <c r="AK906" s="6">
        <f>Table2[[#This Row],[EV]]-Table2[[#This Row],[Spread]]</f>
        <v>-3.6115839558184035</v>
      </c>
      <c r="AL906" s="1">
        <f>Table2[[#This Row],[EV Err]]^2</f>
        <v>13.043538669924908</v>
      </c>
    </row>
    <row r="907" spans="1:38" x14ac:dyDescent="0.25">
      <c r="A907" t="s">
        <v>163</v>
      </c>
      <c r="B907" t="s">
        <v>13</v>
      </c>
      <c r="C907" t="s">
        <v>10</v>
      </c>
      <c r="K907" s="25">
        <f>(Table2[[#This Row],[Home Pace]]/100)*(VLOOKUP(Table2[[#This Row],[Home/Neutral]],home_lookup,8,FALSE)+VLOOKUP(Table2[[#This Row],[Home/Neutral]],OFR_lookup,2,FALSE)+VLOOKUP(Table2[[#This Row],[Visitor/Neutral]],def_diff_lookup,6,FALSE))</f>
        <v>106.875791084504</v>
      </c>
      <c r="L907" s="25"/>
      <c r="M907" s="25">
        <f>(Table2[[#This Row],[Away Pace]]/100)*(VLOOKUP(Table2[[#This Row],[Visitor/Neutral]],OFR_lookup,2,FALSE)+VLOOKUP(Table2[[#This Row],[Home/Neutral]],def_diff_lookup,6,FALSE))</f>
        <v>116.01767866666667</v>
      </c>
      <c r="N907" s="25"/>
      <c r="O907" s="25"/>
      <c r="P907">
        <f>VLOOKUP(Table2[[#This Row],[Home/Neutral]],pace_lookup,7,FALSE)</f>
        <v>94.5</v>
      </c>
      <c r="Q907" s="5">
        <f>VLOOKUP(Table2[[#This Row],[Visitor/Neutral]],pace_lookup,7,FALSE)</f>
        <v>100.3</v>
      </c>
      <c r="R907" s="9"/>
      <c r="V907" s="2">
        <f>-home-VLOOKUP(Table2[[#This Row],[Home/Neutral]],rtg_vlookup,4,FALSE)+VLOOKUP(Table2[[#This Row],[Visitor/Neutral]],rtg_vlookup,4,FALSE)</f>
        <v>0.1148815165876691</v>
      </c>
      <c r="W907" s="25"/>
      <c r="X907" s="2"/>
      <c r="Y907" s="2">
        <f>Table2[[#This Row],[Away EV]]-Table2[[#This Row],[Home EV]]</f>
        <v>9.1418875821626671</v>
      </c>
      <c r="Z907" s="33"/>
      <c r="AA907" s="34"/>
      <c r="AB907" s="5" t="b">
        <f>IF(VLOOKUP(Table2[[#This Row],[Home/Neutral]],division_lookup,9,FALSE)=VLOOKUP(Table2[[#This Row],[Visitor/Neutral]],division_lookup,9,FALSE),TRUE,FALSE)</f>
        <v>0</v>
      </c>
      <c r="AC907" s="19" t="str">
        <f>VLOOKUP(Table2[[#This Row],[Home/Neutral]],division_lookup,9,FALSE)</f>
        <v>C</v>
      </c>
      <c r="AD907" s="19"/>
      <c r="AE907" s="19" t="str">
        <f>IF(Table2[[#This Row],[Total EV ®]]&lt;Table2[[#This Row],[Total (V)]],"UNDER","OVER")</f>
        <v>OVER</v>
      </c>
      <c r="AF907" s="30">
        <f>Table2[[#This Row],[(A) Spread]]-Table2[[#This Row],[Spread (V)]]</f>
        <v>0</v>
      </c>
      <c r="AG907" s="19"/>
      <c r="AH907" s="2">
        <f>Table2[[#This Row],[EV]]-Table2[[#This Row],[Spread (V)]]</f>
        <v>9.1418875821626671</v>
      </c>
      <c r="AI907" s="22">
        <f>Table2[[#This Row],[(A)]]-Table2[[#This Row],[Spread]]</f>
        <v>0.1148815165876691</v>
      </c>
      <c r="AJ907" s="1">
        <f>Table2[[#This Row],[(A) Err]]^2</f>
        <v>1.319776285348289E-2</v>
      </c>
      <c r="AK907" s="6">
        <f>Table2[[#This Row],[EV]]-Table2[[#This Row],[Spread]]</f>
        <v>9.1418875821626671</v>
      </c>
      <c r="AL907" s="1">
        <f>Table2[[#This Row],[EV Err]]^2</f>
        <v>83.574108564899973</v>
      </c>
    </row>
    <row r="908" spans="1:38" x14ac:dyDescent="0.25">
      <c r="A908" t="s">
        <v>163</v>
      </c>
      <c r="B908" t="s">
        <v>36</v>
      </c>
      <c r="C908" t="s">
        <v>16</v>
      </c>
      <c r="K908" s="25">
        <f>(Table2[[#This Row],[Home Pace]]/100)*(VLOOKUP(Table2[[#This Row],[Home/Neutral]],home_lookup,8,FALSE)+VLOOKUP(Table2[[#This Row],[Home/Neutral]],OFR_lookup,2,FALSE)+VLOOKUP(Table2[[#This Row],[Visitor/Neutral]],def_diff_lookup,6,FALSE))</f>
        <v>105.67345156604043</v>
      </c>
      <c r="L908" s="25"/>
      <c r="M908" s="25">
        <f>(Table2[[#This Row],[Away Pace]]/100)*(VLOOKUP(Table2[[#This Row],[Visitor/Neutral]],OFR_lookup,2,FALSE)+VLOOKUP(Table2[[#This Row],[Home/Neutral]],def_diff_lookup,6,FALSE))</f>
        <v>107.26039999999999</v>
      </c>
      <c r="N908" s="25"/>
      <c r="O908" s="25"/>
      <c r="P908">
        <f>VLOOKUP(Table2[[#This Row],[Home/Neutral]],pace_lookup,7,FALSE)</f>
        <v>102.2</v>
      </c>
      <c r="Q908" s="5">
        <f>VLOOKUP(Table2[[#This Row],[Visitor/Neutral]],pace_lookup,7,FALSE)</f>
        <v>97.5</v>
      </c>
      <c r="R908" s="9"/>
      <c r="V908" s="2">
        <f>-home-VLOOKUP(Table2[[#This Row],[Home/Neutral]],rtg_vlookup,4,FALSE)+VLOOKUP(Table2[[#This Row],[Visitor/Neutral]],rtg_vlookup,4,FALSE)</f>
        <v>6.0948815165876695</v>
      </c>
      <c r="W908" s="25"/>
      <c r="X908" s="2"/>
      <c r="Y908" s="2">
        <f>Table2[[#This Row],[Away EV]]-Table2[[#This Row],[Home EV]]</f>
        <v>1.586948433959563</v>
      </c>
      <c r="Z908" s="33"/>
      <c r="AA908" s="34"/>
      <c r="AB908" s="5" t="b">
        <f>IF(VLOOKUP(Table2[[#This Row],[Home/Neutral]],division_lookup,9,FALSE)=VLOOKUP(Table2[[#This Row],[Visitor/Neutral]],division_lookup,9,FALSE),TRUE,FALSE)</f>
        <v>0</v>
      </c>
      <c r="AC908" s="19" t="str">
        <f>VLOOKUP(Table2[[#This Row],[Home/Neutral]],division_lookup,9,FALSE)</f>
        <v>P</v>
      </c>
      <c r="AD908" s="19"/>
      <c r="AE908" s="19" t="str">
        <f>IF(Table2[[#This Row],[Total EV ®]]&lt;Table2[[#This Row],[Total (V)]],"UNDER","OVER")</f>
        <v>OVER</v>
      </c>
      <c r="AF908" s="30">
        <f>Table2[[#This Row],[(A) Spread]]-Table2[[#This Row],[Spread (V)]]</f>
        <v>0</v>
      </c>
      <c r="AG908" s="19"/>
      <c r="AH908" s="2">
        <f>Table2[[#This Row],[EV]]-Table2[[#This Row],[Spread (V)]]</f>
        <v>1.586948433959563</v>
      </c>
      <c r="AI908" s="22">
        <f>Table2[[#This Row],[(A)]]-Table2[[#This Row],[Spread]]</f>
        <v>6.0948815165876695</v>
      </c>
      <c r="AJ908" s="1">
        <f>Table2[[#This Row],[(A) Err]]^2</f>
        <v>37.147580701242013</v>
      </c>
      <c r="AK908" s="6">
        <f>Table2[[#This Row],[EV]]-Table2[[#This Row],[Spread]]</f>
        <v>1.586948433959563</v>
      </c>
      <c r="AL908" s="1">
        <f>Table2[[#This Row],[EV Err]]^2</f>
        <v>2.5184053320467092</v>
      </c>
    </row>
    <row r="909" spans="1:38" x14ac:dyDescent="0.25">
      <c r="A909" t="s">
        <v>163</v>
      </c>
      <c r="B909" t="s">
        <v>32</v>
      </c>
      <c r="C909" t="s">
        <v>18</v>
      </c>
      <c r="K909" s="25">
        <f>(Table2[[#This Row],[Home Pace]]/100)*(VLOOKUP(Table2[[#This Row],[Home/Neutral]],home_lookup,8,FALSE)+VLOOKUP(Table2[[#This Row],[Home/Neutral]],OFR_lookup,2,FALSE)+VLOOKUP(Table2[[#This Row],[Visitor/Neutral]],def_diff_lookup,6,FALSE))</f>
        <v>105.09677112001839</v>
      </c>
      <c r="L909" s="25"/>
      <c r="M909" s="25">
        <f>(Table2[[#This Row],[Away Pace]]/100)*(VLOOKUP(Table2[[#This Row],[Visitor/Neutral]],OFR_lookup,2,FALSE)+VLOOKUP(Table2[[#This Row],[Home/Neutral]],def_diff_lookup,6,FALSE))</f>
        <v>108.97306333333336</v>
      </c>
      <c r="N909" s="25"/>
      <c r="O909" s="25"/>
      <c r="P909">
        <f>VLOOKUP(Table2[[#This Row],[Home/Neutral]],pace_lookup,7,FALSE)</f>
        <v>98.6</v>
      </c>
      <c r="Q909" s="5">
        <f>VLOOKUP(Table2[[#This Row],[Visitor/Neutral]],pace_lookup,7,FALSE)</f>
        <v>99.5</v>
      </c>
      <c r="R909" s="9"/>
      <c r="V909" s="2">
        <f>-home-VLOOKUP(Table2[[#This Row],[Home/Neutral]],rtg_vlookup,4,FALSE)+VLOOKUP(Table2[[#This Row],[Visitor/Neutral]],rtg_vlookup,4,FALSE)</f>
        <v>2.4848815165876692</v>
      </c>
      <c r="W909" s="25"/>
      <c r="X909" s="2"/>
      <c r="Y909" s="2">
        <f>Table2[[#This Row],[Away EV]]-Table2[[#This Row],[Home EV]]</f>
        <v>3.8762922133149686</v>
      </c>
      <c r="Z909" s="33"/>
      <c r="AA909" s="34"/>
      <c r="AB909" s="5" t="b">
        <f>IF(VLOOKUP(Table2[[#This Row],[Home/Neutral]],division_lookup,9,FALSE)=VLOOKUP(Table2[[#This Row],[Visitor/Neutral]],division_lookup,9,FALSE),TRUE,FALSE)</f>
        <v>1</v>
      </c>
      <c r="AC909" s="19" t="str">
        <f>VLOOKUP(Table2[[#This Row],[Home/Neutral]],division_lookup,9,FALSE)</f>
        <v>NW</v>
      </c>
      <c r="AD909" s="19"/>
      <c r="AE909" s="19" t="str">
        <f>IF(Table2[[#This Row],[Total EV ®]]&lt;Table2[[#This Row],[Total (V)]],"UNDER","OVER")</f>
        <v>OVER</v>
      </c>
      <c r="AF909" s="30">
        <f>Table2[[#This Row],[(A) Spread]]-Table2[[#This Row],[Spread (V)]]</f>
        <v>0</v>
      </c>
      <c r="AG909" s="19"/>
      <c r="AH909" s="2">
        <f>Table2[[#This Row],[EV]]-Table2[[#This Row],[Spread (V)]]</f>
        <v>3.8762922133149686</v>
      </c>
      <c r="AI909" s="22">
        <f>Table2[[#This Row],[(A)]]-Table2[[#This Row],[Spread]]</f>
        <v>2.4848815165876692</v>
      </c>
      <c r="AJ909" s="1">
        <f>Table2[[#This Row],[(A) Err]]^2</f>
        <v>6.1746361514790351</v>
      </c>
      <c r="AK909" s="6">
        <f>Table2[[#This Row],[EV]]-Table2[[#This Row],[Spread]]</f>
        <v>3.8762922133149686</v>
      </c>
      <c r="AL909" s="1">
        <f>Table2[[#This Row],[EV Err]]^2</f>
        <v>15.025641323006258</v>
      </c>
    </row>
    <row r="910" spans="1:38" x14ac:dyDescent="0.25">
      <c r="A910" t="s">
        <v>164</v>
      </c>
      <c r="B910" t="s">
        <v>11</v>
      </c>
      <c r="C910" t="s">
        <v>8</v>
      </c>
      <c r="K910" s="25">
        <f>(Table2[[#This Row],[Home Pace]]/100)*(VLOOKUP(Table2[[#This Row],[Home/Neutral]],home_lookup,8,FALSE)+VLOOKUP(Table2[[#This Row],[Home/Neutral]],OFR_lookup,2,FALSE)+VLOOKUP(Table2[[#This Row],[Visitor/Neutral]],def_diff_lookup,6,FALSE))</f>
        <v>96.546289044072822</v>
      </c>
      <c r="L910" s="25"/>
      <c r="M910" s="25">
        <f>(Table2[[#This Row],[Away Pace]]/100)*(VLOOKUP(Table2[[#This Row],[Visitor/Neutral]],OFR_lookup,2,FALSE)+VLOOKUP(Table2[[#This Row],[Home/Neutral]],def_diff_lookup,6,FALSE))</f>
        <v>100.495728</v>
      </c>
      <c r="N910" s="25"/>
      <c r="O910" s="25"/>
      <c r="P910">
        <f>VLOOKUP(Table2[[#This Row],[Home/Neutral]],pace_lookup,7,FALSE)</f>
        <v>99.7</v>
      </c>
      <c r="Q910" s="5">
        <f>VLOOKUP(Table2[[#This Row],[Visitor/Neutral]],pace_lookup,7,FALSE)</f>
        <v>97.2</v>
      </c>
      <c r="R910" s="9"/>
      <c r="V910" s="2">
        <f>-home-VLOOKUP(Table2[[#This Row],[Home/Neutral]],rtg_vlookup,4,FALSE)+VLOOKUP(Table2[[#This Row],[Visitor/Neutral]],rtg_vlookup,4,FALSE)</f>
        <v>-2.1851184834123307</v>
      </c>
      <c r="W910" s="25"/>
      <c r="X910" s="2"/>
      <c r="Y910" s="2">
        <f>Table2[[#This Row],[Away EV]]-Table2[[#This Row],[Home EV]]</f>
        <v>3.9494389559271781</v>
      </c>
      <c r="Z910" s="33"/>
      <c r="AA910" s="34"/>
      <c r="AB910" s="5" t="b">
        <f>IF(VLOOKUP(Table2[[#This Row],[Home/Neutral]],division_lookup,9,FALSE)=VLOOKUP(Table2[[#This Row],[Visitor/Neutral]],division_lookup,9,FALSE),TRUE,FALSE)</f>
        <v>0</v>
      </c>
      <c r="AC910" s="19" t="str">
        <f>VLOOKUP(Table2[[#This Row],[Home/Neutral]],division_lookup,9,FALSE)</f>
        <v>SE</v>
      </c>
      <c r="AD910" s="19"/>
      <c r="AE910" s="19" t="str">
        <f>IF(Table2[[#This Row],[Total EV ®]]&lt;Table2[[#This Row],[Total (V)]],"UNDER","OVER")</f>
        <v>OVER</v>
      </c>
      <c r="AF910" s="30">
        <f>Table2[[#This Row],[(A) Spread]]-Table2[[#This Row],[Spread (V)]]</f>
        <v>0</v>
      </c>
      <c r="AG910" s="19"/>
      <c r="AH910" s="2">
        <f>Table2[[#This Row],[EV]]-Table2[[#This Row],[Spread (V)]]</f>
        <v>3.9494389559271781</v>
      </c>
      <c r="AI910" s="22">
        <f>Table2[[#This Row],[(A)]]-Table2[[#This Row],[Spread]]</f>
        <v>-2.1851184834123307</v>
      </c>
      <c r="AJ910" s="1">
        <f>Table2[[#This Row],[(A) Err]]^2</f>
        <v>4.7747427865502043</v>
      </c>
      <c r="AK910" s="6">
        <f>Table2[[#This Row],[EV]]-Table2[[#This Row],[Spread]]</f>
        <v>3.9494389559271781</v>
      </c>
      <c r="AL910" s="1">
        <f>Table2[[#This Row],[EV Err]]^2</f>
        <v>15.598068066595159</v>
      </c>
    </row>
    <row r="911" spans="1:38" x14ac:dyDescent="0.25">
      <c r="A911" t="s">
        <v>164</v>
      </c>
      <c r="B911" t="s">
        <v>37</v>
      </c>
      <c r="C911" t="s">
        <v>23</v>
      </c>
      <c r="K911" s="25">
        <f>(Table2[[#This Row],[Home Pace]]/100)*(VLOOKUP(Table2[[#This Row],[Home/Neutral]],home_lookup,8,FALSE)+VLOOKUP(Table2[[#This Row],[Home/Neutral]],OFR_lookup,2,FALSE)+VLOOKUP(Table2[[#This Row],[Visitor/Neutral]],def_diff_lookup,6,FALSE))</f>
        <v>98.342638093621233</v>
      </c>
      <c r="L911" s="25"/>
      <c r="M911" s="25">
        <f>(Table2[[#This Row],[Away Pace]]/100)*(VLOOKUP(Table2[[#This Row],[Visitor/Neutral]],OFR_lookup,2,FALSE)+VLOOKUP(Table2[[#This Row],[Home/Neutral]],def_diff_lookup,6,FALSE))</f>
        <v>93.666116666666682</v>
      </c>
      <c r="N911" s="25"/>
      <c r="O911" s="25"/>
      <c r="P911">
        <f>VLOOKUP(Table2[[#This Row],[Home/Neutral]],pace_lookup,7,FALSE)</f>
        <v>92.1</v>
      </c>
      <c r="Q911" s="5">
        <f>VLOOKUP(Table2[[#This Row],[Visitor/Neutral]],pace_lookup,7,FALSE)</f>
        <v>92.5</v>
      </c>
      <c r="R911" s="9"/>
      <c r="V911" s="2">
        <f>-home-VLOOKUP(Table2[[#This Row],[Home/Neutral]],rtg_vlookup,4,FALSE)+VLOOKUP(Table2[[#This Row],[Visitor/Neutral]],rtg_vlookup,4,FALSE)</f>
        <v>7.15488151658767</v>
      </c>
      <c r="W911" s="25"/>
      <c r="X911" s="2"/>
      <c r="Y911" s="2">
        <f>Table2[[#This Row],[Away EV]]-Table2[[#This Row],[Home EV]]</f>
        <v>-4.676521426954551</v>
      </c>
      <c r="Z911" s="33"/>
      <c r="AA911" s="34"/>
      <c r="AB911" s="5" t="b">
        <f>IF(VLOOKUP(Table2[[#This Row],[Home/Neutral]],division_lookup,9,FALSE)=VLOOKUP(Table2[[#This Row],[Visitor/Neutral]],division_lookup,9,FALSE),TRUE,FALSE)</f>
        <v>1</v>
      </c>
      <c r="AC911" s="19" t="str">
        <f>VLOOKUP(Table2[[#This Row],[Home/Neutral]],division_lookup,9,FALSE)</f>
        <v>SW</v>
      </c>
      <c r="AD911" s="19"/>
      <c r="AE911" s="19" t="str">
        <f>IF(Table2[[#This Row],[Total EV ®]]&lt;Table2[[#This Row],[Total (V)]],"UNDER","OVER")</f>
        <v>OVER</v>
      </c>
      <c r="AF911" s="30">
        <f>Table2[[#This Row],[(A) Spread]]-Table2[[#This Row],[Spread (V)]]</f>
        <v>0</v>
      </c>
      <c r="AG911" s="19"/>
      <c r="AH911" s="2">
        <f>Table2[[#This Row],[EV]]-Table2[[#This Row],[Spread (V)]]</f>
        <v>-4.676521426954551</v>
      </c>
      <c r="AI911" s="22">
        <f>Table2[[#This Row],[(A)]]-Table2[[#This Row],[Spread]]</f>
        <v>7.15488151658767</v>
      </c>
      <c r="AJ911" s="1">
        <f>Table2[[#This Row],[(A) Err]]^2</f>
        <v>51.192329516407874</v>
      </c>
      <c r="AK911" s="6">
        <f>Table2[[#This Row],[EV]]-Table2[[#This Row],[Spread]]</f>
        <v>-4.676521426954551</v>
      </c>
      <c r="AL911" s="1">
        <f>Table2[[#This Row],[EV Err]]^2</f>
        <v>21.86985265676503</v>
      </c>
    </row>
    <row r="912" spans="1:38" x14ac:dyDescent="0.25">
      <c r="A912" t="s">
        <v>164</v>
      </c>
      <c r="B912" t="s">
        <v>24</v>
      </c>
      <c r="C912" t="s">
        <v>26</v>
      </c>
      <c r="K912" s="25">
        <f>(Table2[[#This Row],[Home Pace]]/100)*(VLOOKUP(Table2[[#This Row],[Home/Neutral]],home_lookup,8,FALSE)+VLOOKUP(Table2[[#This Row],[Home/Neutral]],OFR_lookup,2,FALSE)+VLOOKUP(Table2[[#This Row],[Visitor/Neutral]],def_diff_lookup,6,FALSE))</f>
        <v>110.93475432830941</v>
      </c>
      <c r="L912" s="25"/>
      <c r="M912" s="25">
        <f>(Table2[[#This Row],[Away Pace]]/100)*(VLOOKUP(Table2[[#This Row],[Visitor/Neutral]],OFR_lookup,2,FALSE)+VLOOKUP(Table2[[#This Row],[Home/Neutral]],def_diff_lookup,6,FALSE))</f>
        <v>107.32864000000001</v>
      </c>
      <c r="N912" s="25"/>
      <c r="O912" s="25"/>
      <c r="P912">
        <f>VLOOKUP(Table2[[#This Row],[Home/Neutral]],pace_lookup,7,FALSE)</f>
        <v>99.9</v>
      </c>
      <c r="Q912" s="5">
        <f>VLOOKUP(Table2[[#This Row],[Visitor/Neutral]],pace_lookup,7,FALSE)</f>
        <v>96</v>
      </c>
      <c r="R912" s="9"/>
      <c r="V912" s="2">
        <f>-home-VLOOKUP(Table2[[#This Row],[Home/Neutral]],rtg_vlookup,4,FALSE)+VLOOKUP(Table2[[#This Row],[Visitor/Neutral]],rtg_vlookup,4,FALSE)</f>
        <v>-3.2051184834123303</v>
      </c>
      <c r="W912" s="25"/>
      <c r="X912" s="2"/>
      <c r="Y912" s="2">
        <f>Table2[[#This Row],[Away EV]]-Table2[[#This Row],[Home EV]]</f>
        <v>-3.6061143283094026</v>
      </c>
      <c r="Z912" s="33"/>
      <c r="AA912" s="34"/>
      <c r="AB912" s="5" t="b">
        <f>IF(VLOOKUP(Table2[[#This Row],[Home/Neutral]],division_lookup,9,FALSE)=VLOOKUP(Table2[[#This Row],[Visitor/Neutral]],division_lookup,9,FALSE),TRUE,FALSE)</f>
        <v>0</v>
      </c>
      <c r="AC912" s="19" t="str">
        <f>VLOOKUP(Table2[[#This Row],[Home/Neutral]],division_lookup,9,FALSE)</f>
        <v>P</v>
      </c>
      <c r="AD912" s="19"/>
      <c r="AE912" s="19" t="str">
        <f>IF(Table2[[#This Row],[Total EV ®]]&lt;Table2[[#This Row],[Total (V)]],"UNDER","OVER")</f>
        <v>OVER</v>
      </c>
      <c r="AF912" s="30">
        <f>Table2[[#This Row],[(A) Spread]]-Table2[[#This Row],[Spread (V)]]</f>
        <v>0</v>
      </c>
      <c r="AG912" s="19"/>
      <c r="AH912" s="2">
        <f>Table2[[#This Row],[EV]]-Table2[[#This Row],[Spread (V)]]</f>
        <v>-3.6061143283094026</v>
      </c>
      <c r="AI912" s="22">
        <f>Table2[[#This Row],[(A)]]-Table2[[#This Row],[Spread]]</f>
        <v>-3.2051184834123303</v>
      </c>
      <c r="AJ912" s="1">
        <f>Table2[[#This Row],[(A) Err]]^2</f>
        <v>10.272784492711356</v>
      </c>
      <c r="AK912" s="6">
        <f>Table2[[#This Row],[EV]]-Table2[[#This Row],[Spread]]</f>
        <v>-3.6061143283094026</v>
      </c>
      <c r="AL912" s="1">
        <f>Table2[[#This Row],[EV Err]]^2</f>
        <v>13.004060548838375</v>
      </c>
    </row>
    <row r="913" spans="1:38" x14ac:dyDescent="0.25">
      <c r="A913" t="s">
        <v>164</v>
      </c>
      <c r="B913" t="s">
        <v>30</v>
      </c>
      <c r="C913" t="s">
        <v>4</v>
      </c>
      <c r="K913" s="25">
        <f>(Table2[[#This Row],[Home Pace]]/100)*(VLOOKUP(Table2[[#This Row],[Home/Neutral]],home_lookup,8,FALSE)+VLOOKUP(Table2[[#This Row],[Home/Neutral]],OFR_lookup,2,FALSE)+VLOOKUP(Table2[[#This Row],[Visitor/Neutral]],def_diff_lookup,6,FALSE))</f>
        <v>102.21720034993645</v>
      </c>
      <c r="L913" s="25"/>
      <c r="M913" s="25">
        <f>(Table2[[#This Row],[Away Pace]]/100)*(VLOOKUP(Table2[[#This Row],[Visitor/Neutral]],OFR_lookup,2,FALSE)+VLOOKUP(Table2[[#This Row],[Home/Neutral]],def_diff_lookup,6,FALSE))</f>
        <v>112.81978400000001</v>
      </c>
      <c r="N913" s="25"/>
      <c r="O913" s="25"/>
      <c r="P913">
        <f>VLOOKUP(Table2[[#This Row],[Home/Neutral]],pace_lookup,7,FALSE)</f>
        <v>96.8</v>
      </c>
      <c r="Q913" s="5">
        <f>VLOOKUP(Table2[[#This Row],[Visitor/Neutral]],pace_lookup,7,FALSE)</f>
        <v>96.6</v>
      </c>
      <c r="R913" s="9"/>
      <c r="V913" s="2">
        <f>-home-VLOOKUP(Table2[[#This Row],[Home/Neutral]],rtg_vlookup,4,FALSE)+VLOOKUP(Table2[[#This Row],[Visitor/Neutral]],rtg_vlookup,4,FALSE)</f>
        <v>14.42488151658767</v>
      </c>
      <c r="W913" s="25"/>
      <c r="X913" s="2"/>
      <c r="Y913" s="2">
        <f>Table2[[#This Row],[Away EV]]-Table2[[#This Row],[Home EV]]</f>
        <v>10.602583650063565</v>
      </c>
      <c r="Z913" s="33"/>
      <c r="AA913" s="34"/>
      <c r="AB913" s="5" t="b">
        <f>IF(VLOOKUP(Table2[[#This Row],[Home/Neutral]],division_lookup,9,FALSE)=VLOOKUP(Table2[[#This Row],[Visitor/Neutral]],division_lookup,9,FALSE),TRUE,FALSE)</f>
        <v>0</v>
      </c>
      <c r="AC913" s="19" t="str">
        <f>VLOOKUP(Table2[[#This Row],[Home/Neutral]],division_lookup,9,FALSE)</f>
        <v>C</v>
      </c>
      <c r="AD913" s="19"/>
      <c r="AE913" s="19" t="str">
        <f>IF(Table2[[#This Row],[Total EV ®]]&lt;Table2[[#This Row],[Total (V)]],"UNDER","OVER")</f>
        <v>OVER</v>
      </c>
      <c r="AF913" s="30">
        <f>Table2[[#This Row],[(A) Spread]]-Table2[[#This Row],[Spread (V)]]</f>
        <v>0</v>
      </c>
      <c r="AG913" s="19"/>
      <c r="AH913" s="2">
        <f>Table2[[#This Row],[EV]]-Table2[[#This Row],[Spread (V)]]</f>
        <v>10.602583650063565</v>
      </c>
      <c r="AI913" s="22">
        <f>Table2[[#This Row],[(A)]]-Table2[[#This Row],[Spread]]</f>
        <v>14.42488151658767</v>
      </c>
      <c r="AJ913" s="1">
        <f>Table2[[#This Row],[(A) Err]]^2</f>
        <v>208.0772067675926</v>
      </c>
      <c r="AK913" s="6">
        <f>Table2[[#This Row],[EV]]-Table2[[#This Row],[Spread]]</f>
        <v>10.602583650063565</v>
      </c>
      <c r="AL913" s="1">
        <f>Table2[[#This Row],[EV Err]]^2</f>
        <v>112.41478005659522</v>
      </c>
    </row>
    <row r="914" spans="1:38" x14ac:dyDescent="0.25">
      <c r="A914" t="s">
        <v>164</v>
      </c>
      <c r="B914" t="s">
        <v>34</v>
      </c>
      <c r="C914" t="s">
        <v>6</v>
      </c>
      <c r="K914" s="25">
        <f>(Table2[[#This Row],[Home Pace]]/100)*(VLOOKUP(Table2[[#This Row],[Home/Neutral]],home_lookup,8,FALSE)+VLOOKUP(Table2[[#This Row],[Home/Neutral]],OFR_lookup,2,FALSE)+VLOOKUP(Table2[[#This Row],[Visitor/Neutral]],def_diff_lookup,6,FALSE))</f>
        <v>102.62527864565556</v>
      </c>
      <c r="L914" s="25"/>
      <c r="M914" s="25">
        <f>(Table2[[#This Row],[Away Pace]]/100)*(VLOOKUP(Table2[[#This Row],[Visitor/Neutral]],OFR_lookup,2,FALSE)+VLOOKUP(Table2[[#This Row],[Home/Neutral]],def_diff_lookup,6,FALSE))</f>
        <v>103.10887066666666</v>
      </c>
      <c r="N914" s="25"/>
      <c r="O914" s="25"/>
      <c r="P914">
        <f>VLOOKUP(Table2[[#This Row],[Home/Neutral]],pace_lookup,7,FALSE)</f>
        <v>98.8</v>
      </c>
      <c r="Q914" s="5">
        <f>VLOOKUP(Table2[[#This Row],[Visitor/Neutral]],pace_lookup,7,FALSE)</f>
        <v>93.1</v>
      </c>
      <c r="R914" s="9"/>
      <c r="V914" s="2">
        <f>-home-VLOOKUP(Table2[[#This Row],[Home/Neutral]],rtg_vlookup,4,FALSE)+VLOOKUP(Table2[[#This Row],[Visitor/Neutral]],rtg_vlookup,4,FALSE)</f>
        <v>9.3048815165876704</v>
      </c>
      <c r="W914" s="25"/>
      <c r="X914" s="2"/>
      <c r="Y914" s="2">
        <f>Table2[[#This Row],[Away EV]]-Table2[[#This Row],[Home EV]]</f>
        <v>0.48359202101110554</v>
      </c>
      <c r="Z914" s="33"/>
      <c r="AA914" s="34"/>
      <c r="AB914" s="5" t="b">
        <f>IF(VLOOKUP(Table2[[#This Row],[Home/Neutral]],division_lookup,9,FALSE)=VLOOKUP(Table2[[#This Row],[Visitor/Neutral]],division_lookup,9,FALSE),TRUE,FALSE)</f>
        <v>1</v>
      </c>
      <c r="AC914" s="19" t="str">
        <f>VLOOKUP(Table2[[#This Row],[Home/Neutral]],division_lookup,9,FALSE)</f>
        <v>SW</v>
      </c>
      <c r="AD914" s="19"/>
      <c r="AE914" s="19" t="str">
        <f>IF(Table2[[#This Row],[Total EV ®]]&lt;Table2[[#This Row],[Total (V)]],"UNDER","OVER")</f>
        <v>OVER</v>
      </c>
      <c r="AF914" s="30">
        <f>Table2[[#This Row],[(A) Spread]]-Table2[[#This Row],[Spread (V)]]</f>
        <v>0</v>
      </c>
      <c r="AG914" s="19"/>
      <c r="AH914" s="2">
        <f>Table2[[#This Row],[EV]]-Table2[[#This Row],[Spread (V)]]</f>
        <v>0.48359202101110554</v>
      </c>
      <c r="AI914" s="22">
        <f>Table2[[#This Row],[(A)]]-Table2[[#This Row],[Spread]]</f>
        <v>9.3048815165876704</v>
      </c>
      <c r="AJ914" s="1">
        <f>Table2[[#This Row],[(A) Err]]^2</f>
        <v>86.580820037734867</v>
      </c>
      <c r="AK914" s="6">
        <f>Table2[[#This Row],[EV]]-Table2[[#This Row],[Spread]]</f>
        <v>0.48359202101110554</v>
      </c>
      <c r="AL914" s="1">
        <f>Table2[[#This Row],[EV Err]]^2</f>
        <v>0.23386124278560555</v>
      </c>
    </row>
    <row r="915" spans="1:38" x14ac:dyDescent="0.25">
      <c r="A915" t="s">
        <v>164</v>
      </c>
      <c r="B915" t="s">
        <v>38</v>
      </c>
      <c r="C915" t="s">
        <v>21</v>
      </c>
      <c r="K915" s="25">
        <f>(Table2[[#This Row],[Home Pace]]/100)*(VLOOKUP(Table2[[#This Row],[Home/Neutral]],home_lookup,8,FALSE)+VLOOKUP(Table2[[#This Row],[Home/Neutral]],OFR_lookup,2,FALSE)+VLOOKUP(Table2[[#This Row],[Visitor/Neutral]],def_diff_lookup,6,FALSE))</f>
        <v>102.4452916789148</v>
      </c>
      <c r="L915" s="25"/>
      <c r="M915" s="25">
        <f>(Table2[[#This Row],[Away Pace]]/100)*(VLOOKUP(Table2[[#This Row],[Visitor/Neutral]],OFR_lookup,2,FALSE)+VLOOKUP(Table2[[#This Row],[Home/Neutral]],def_diff_lookup,6,FALSE))</f>
        <v>97.563568000000018</v>
      </c>
      <c r="N915" s="25"/>
      <c r="O915" s="25"/>
      <c r="P915">
        <f>VLOOKUP(Table2[[#This Row],[Home/Neutral]],pace_lookup,7,FALSE)</f>
        <v>94.2</v>
      </c>
      <c r="Q915" s="5">
        <f>VLOOKUP(Table2[[#This Row],[Visitor/Neutral]],pace_lookup,7,FALSE)</f>
        <v>94.2</v>
      </c>
      <c r="R915" s="9"/>
      <c r="V915" s="2">
        <f>-home-VLOOKUP(Table2[[#This Row],[Home/Neutral]],rtg_vlookup,4,FALSE)+VLOOKUP(Table2[[#This Row],[Visitor/Neutral]],rtg_vlookup,4,FALSE)</f>
        <v>5.8748815165876689</v>
      </c>
      <c r="W915" s="25"/>
      <c r="X915" s="2"/>
      <c r="Y915" s="2">
        <f>Table2[[#This Row],[Away EV]]-Table2[[#This Row],[Home EV]]</f>
        <v>-4.8817236789147813</v>
      </c>
      <c r="Z915" s="33"/>
      <c r="AA915" s="34"/>
      <c r="AB915" s="5" t="b">
        <f>IF(VLOOKUP(Table2[[#This Row],[Home/Neutral]],division_lookup,9,FALSE)=VLOOKUP(Table2[[#This Row],[Visitor/Neutral]],division_lookup,9,FALSE),TRUE,FALSE)</f>
        <v>1</v>
      </c>
      <c r="AC915" s="19" t="str">
        <f>VLOOKUP(Table2[[#This Row],[Home/Neutral]],division_lookup,9,FALSE)</f>
        <v>SE</v>
      </c>
      <c r="AD915" s="19"/>
      <c r="AE915" s="19" t="str">
        <f>IF(Table2[[#This Row],[Total EV ®]]&lt;Table2[[#This Row],[Total (V)]],"UNDER","OVER")</f>
        <v>OVER</v>
      </c>
      <c r="AF915" s="30">
        <f>Table2[[#This Row],[(A) Spread]]-Table2[[#This Row],[Spread (V)]]</f>
        <v>0</v>
      </c>
      <c r="AG915" s="19"/>
      <c r="AH915" s="2">
        <f>Table2[[#This Row],[EV]]-Table2[[#This Row],[Spread (V)]]</f>
        <v>-4.8817236789147813</v>
      </c>
      <c r="AI915" s="22">
        <f>Table2[[#This Row],[(A)]]-Table2[[#This Row],[Spread]]</f>
        <v>5.8748815165876689</v>
      </c>
      <c r="AJ915" s="1">
        <f>Table2[[#This Row],[(A) Err]]^2</f>
        <v>34.514232833943431</v>
      </c>
      <c r="AK915" s="6">
        <f>Table2[[#This Row],[EV]]-Table2[[#This Row],[Spread]]</f>
        <v>-4.8817236789147813</v>
      </c>
      <c r="AL915" s="1">
        <f>Table2[[#This Row],[EV Err]]^2</f>
        <v>23.831226077277268</v>
      </c>
    </row>
    <row r="916" spans="1:38" x14ac:dyDescent="0.25">
      <c r="A916" t="s">
        <v>164</v>
      </c>
      <c r="B916" t="s">
        <v>39</v>
      </c>
      <c r="C916" t="s">
        <v>31</v>
      </c>
      <c r="K916" s="25">
        <f>(Table2[[#This Row],[Home Pace]]/100)*(VLOOKUP(Table2[[#This Row],[Home/Neutral]],home_lookup,8,FALSE)+VLOOKUP(Table2[[#This Row],[Home/Neutral]],OFR_lookup,2,FALSE)+VLOOKUP(Table2[[#This Row],[Visitor/Neutral]],def_diff_lookup,6,FALSE))</f>
        <v>111.93977211468578</v>
      </c>
      <c r="L916" s="25"/>
      <c r="M916" s="25">
        <f>(Table2[[#This Row],[Away Pace]]/100)*(VLOOKUP(Table2[[#This Row],[Visitor/Neutral]],OFR_lookup,2,FALSE)+VLOOKUP(Table2[[#This Row],[Home/Neutral]],def_diff_lookup,6,FALSE))</f>
        <v>107.32864000000001</v>
      </c>
      <c r="N916" s="25"/>
      <c r="O916" s="25"/>
      <c r="P916">
        <f>VLOOKUP(Table2[[#This Row],[Home/Neutral]],pace_lookup,7,FALSE)</f>
        <v>97.5</v>
      </c>
      <c r="Q916" s="5">
        <f>VLOOKUP(Table2[[#This Row],[Visitor/Neutral]],pace_lookup,7,FALSE)</f>
        <v>96</v>
      </c>
      <c r="R916" s="9"/>
      <c r="V916" s="2">
        <f>-home-VLOOKUP(Table2[[#This Row],[Home/Neutral]],rtg_vlookup,4,FALSE)+VLOOKUP(Table2[[#This Row],[Visitor/Neutral]],rtg_vlookup,4,FALSE)</f>
        <v>4.3048815165876686</v>
      </c>
      <c r="W916" s="25"/>
      <c r="X916" s="2"/>
      <c r="Y916" s="2">
        <f>Table2[[#This Row],[Away EV]]-Table2[[#This Row],[Home EV]]</f>
        <v>-4.6111321146857733</v>
      </c>
      <c r="Z916" s="33"/>
      <c r="AA916" s="34"/>
      <c r="AB916" s="5" t="b">
        <f>IF(VLOOKUP(Table2[[#This Row],[Home/Neutral]],division_lookup,9,FALSE)=VLOOKUP(Table2[[#This Row],[Visitor/Neutral]],division_lookup,9,FALSE),TRUE,FALSE)</f>
        <v>1</v>
      </c>
      <c r="AC916" s="19" t="str">
        <f>VLOOKUP(Table2[[#This Row],[Home/Neutral]],division_lookup,9,FALSE)</f>
        <v>A</v>
      </c>
      <c r="AD916" s="19"/>
      <c r="AE916" s="19" t="str">
        <f>IF(Table2[[#This Row],[Total EV ®]]&lt;Table2[[#This Row],[Total (V)]],"UNDER","OVER")</f>
        <v>OVER</v>
      </c>
      <c r="AF916" s="30">
        <f>Table2[[#This Row],[(A) Spread]]-Table2[[#This Row],[Spread (V)]]</f>
        <v>0</v>
      </c>
      <c r="AG916" s="19"/>
      <c r="AH916" s="2">
        <f>Table2[[#This Row],[EV]]-Table2[[#This Row],[Spread (V)]]</f>
        <v>-4.6111321146857733</v>
      </c>
      <c r="AI916" s="22">
        <f>Table2[[#This Row],[(A)]]-Table2[[#This Row],[Spread]]</f>
        <v>4.3048815165876686</v>
      </c>
      <c r="AJ916" s="1">
        <f>Table2[[#This Row],[(A) Err]]^2</f>
        <v>18.532004871858145</v>
      </c>
      <c r="AK916" s="6">
        <f>Table2[[#This Row],[EV]]-Table2[[#This Row],[Spread]]</f>
        <v>-4.6111321146857733</v>
      </c>
      <c r="AL916" s="1">
        <f>Table2[[#This Row],[EV Err]]^2</f>
        <v>21.26253937908649</v>
      </c>
    </row>
    <row r="917" spans="1:38" x14ac:dyDescent="0.25">
      <c r="A917" t="s">
        <v>164</v>
      </c>
      <c r="B917" t="s">
        <v>36</v>
      </c>
      <c r="C917" t="s">
        <v>18</v>
      </c>
      <c r="K917" s="25">
        <f>(Table2[[#This Row],[Home Pace]]/100)*(VLOOKUP(Table2[[#This Row],[Home/Neutral]],home_lookup,8,FALSE)+VLOOKUP(Table2[[#This Row],[Home/Neutral]],OFR_lookup,2,FALSE)+VLOOKUP(Table2[[#This Row],[Visitor/Neutral]],def_diff_lookup,6,FALSE))</f>
        <v>103.21043156604043</v>
      </c>
      <c r="L917" s="25"/>
      <c r="M917" s="25">
        <f>(Table2[[#This Row],[Away Pace]]/100)*(VLOOKUP(Table2[[#This Row],[Visitor/Neutral]],OFR_lookup,2,FALSE)+VLOOKUP(Table2[[#This Row],[Home/Neutral]],def_diff_lookup,6,FALSE))</f>
        <v>106.77411333333335</v>
      </c>
      <c r="N917" s="25"/>
      <c r="O917" s="25"/>
      <c r="P917">
        <f>VLOOKUP(Table2[[#This Row],[Home/Neutral]],pace_lookup,7,FALSE)</f>
        <v>102.2</v>
      </c>
      <c r="Q917" s="5">
        <f>VLOOKUP(Table2[[#This Row],[Visitor/Neutral]],pace_lookup,7,FALSE)</f>
        <v>99.5</v>
      </c>
      <c r="R917" s="9"/>
      <c r="V917" s="2">
        <f>-home-VLOOKUP(Table2[[#This Row],[Home/Neutral]],rtg_vlookup,4,FALSE)+VLOOKUP(Table2[[#This Row],[Visitor/Neutral]],rtg_vlookup,4,FALSE)</f>
        <v>5.8048815165876695</v>
      </c>
      <c r="W917" s="25"/>
      <c r="X917" s="2"/>
      <c r="Y917" s="2">
        <f>Table2[[#This Row],[Away EV]]-Table2[[#This Row],[Home EV]]</f>
        <v>3.5636817672929197</v>
      </c>
      <c r="Z917" s="33"/>
      <c r="AA917" s="34"/>
      <c r="AB917" s="5" t="b">
        <f>IF(VLOOKUP(Table2[[#This Row],[Home/Neutral]],division_lookup,9,FALSE)=VLOOKUP(Table2[[#This Row],[Visitor/Neutral]],division_lookup,9,FALSE),TRUE,FALSE)</f>
        <v>0</v>
      </c>
      <c r="AC917" s="19" t="str">
        <f>VLOOKUP(Table2[[#This Row],[Home/Neutral]],division_lookup,9,FALSE)</f>
        <v>P</v>
      </c>
      <c r="AD917" s="19"/>
      <c r="AE917" s="19" t="str">
        <f>IF(Table2[[#This Row],[Total EV ®]]&lt;Table2[[#This Row],[Total (V)]],"UNDER","OVER")</f>
        <v>OVER</v>
      </c>
      <c r="AF917" s="30">
        <f>Table2[[#This Row],[(A) Spread]]-Table2[[#This Row],[Spread (V)]]</f>
        <v>0</v>
      </c>
      <c r="AG917" s="19"/>
      <c r="AH917" s="2">
        <f>Table2[[#This Row],[EV]]-Table2[[#This Row],[Spread (V)]]</f>
        <v>3.5636817672929197</v>
      </c>
      <c r="AI917" s="22">
        <f>Table2[[#This Row],[(A)]]-Table2[[#This Row],[Spread]]</f>
        <v>5.8048815165876695</v>
      </c>
      <c r="AJ917" s="1">
        <f>Table2[[#This Row],[(A) Err]]^2</f>
        <v>33.69664942162116</v>
      </c>
      <c r="AK917" s="6">
        <f>Table2[[#This Row],[EV]]-Table2[[#This Row],[Spread]]</f>
        <v>3.5636817672929197</v>
      </c>
      <c r="AL917" s="1">
        <f>Table2[[#This Row],[EV Err]]^2</f>
        <v>12.699827738535987</v>
      </c>
    </row>
    <row r="918" spans="1:38" x14ac:dyDescent="0.25">
      <c r="A918" t="s">
        <v>164</v>
      </c>
      <c r="B918" t="s">
        <v>20</v>
      </c>
      <c r="C918" t="s">
        <v>35</v>
      </c>
      <c r="K918" s="25">
        <f>(Table2[[#This Row],[Home Pace]]/100)*(VLOOKUP(Table2[[#This Row],[Home/Neutral]],home_lookup,8,FALSE)+VLOOKUP(Table2[[#This Row],[Home/Neutral]],OFR_lookup,2,FALSE)+VLOOKUP(Table2[[#This Row],[Visitor/Neutral]],def_diff_lookup,6,FALSE))</f>
        <v>107.15573528915176</v>
      </c>
      <c r="L918" s="25"/>
      <c r="M918" s="25">
        <f>(Table2[[#This Row],[Away Pace]]/100)*(VLOOKUP(Table2[[#This Row],[Visitor/Neutral]],OFR_lookup,2,FALSE)+VLOOKUP(Table2[[#This Row],[Home/Neutral]],def_diff_lookup,6,FALSE))</f>
        <v>104.35710133333336</v>
      </c>
      <c r="N918" s="25"/>
      <c r="O918" s="25"/>
      <c r="P918">
        <f>VLOOKUP(Table2[[#This Row],[Home/Neutral]],pace_lookup,7,FALSE)</f>
        <v>90.9</v>
      </c>
      <c r="Q918" s="5">
        <f>VLOOKUP(Table2[[#This Row],[Visitor/Neutral]],pace_lookup,7,FALSE)</f>
        <v>102.2</v>
      </c>
      <c r="R918" s="9"/>
      <c r="V918" s="2">
        <f>-home-VLOOKUP(Table2[[#This Row],[Home/Neutral]],rtg_vlookup,4,FALSE)+VLOOKUP(Table2[[#This Row],[Visitor/Neutral]],rtg_vlookup,4,FALSE)</f>
        <v>-10.775118483412331</v>
      </c>
      <c r="W918" s="25"/>
      <c r="X918" s="2"/>
      <c r="Y918" s="2">
        <f>Table2[[#This Row],[Away EV]]-Table2[[#This Row],[Home EV]]</f>
        <v>-2.7986339558184028</v>
      </c>
      <c r="Z918" s="33"/>
      <c r="AA918" s="34"/>
      <c r="AB918" s="5" t="b">
        <f>IF(VLOOKUP(Table2[[#This Row],[Home/Neutral]],division_lookup,9,FALSE)=VLOOKUP(Table2[[#This Row],[Visitor/Neutral]],division_lookup,9,FALSE),TRUE,FALSE)</f>
        <v>0</v>
      </c>
      <c r="AC918" s="19" t="str">
        <f>VLOOKUP(Table2[[#This Row],[Home/Neutral]],division_lookup,9,FALSE)</f>
        <v>NW</v>
      </c>
      <c r="AD918" s="19"/>
      <c r="AE918" s="19" t="str">
        <f>IF(Table2[[#This Row],[Total EV ®]]&lt;Table2[[#This Row],[Total (V)]],"UNDER","OVER")</f>
        <v>OVER</v>
      </c>
      <c r="AF918" s="30">
        <f>Table2[[#This Row],[(A) Spread]]-Table2[[#This Row],[Spread (V)]]</f>
        <v>0</v>
      </c>
      <c r="AG918" s="19"/>
      <c r="AH918" s="2">
        <f>Table2[[#This Row],[EV]]-Table2[[#This Row],[Spread (V)]]</f>
        <v>-2.7986339558184028</v>
      </c>
      <c r="AI918" s="22">
        <f>Table2[[#This Row],[(A)]]-Table2[[#This Row],[Spread]]</f>
        <v>-10.775118483412331</v>
      </c>
      <c r="AJ918" s="1">
        <f>Table2[[#This Row],[(A) Err]]^2</f>
        <v>116.10317833157406</v>
      </c>
      <c r="AK918" s="6">
        <f>Table2[[#This Row],[EV]]-Table2[[#This Row],[Spread]]</f>
        <v>-2.7986339558184028</v>
      </c>
      <c r="AL918" s="1">
        <f>Table2[[#This Row],[EV Err]]^2</f>
        <v>7.8323520186597619</v>
      </c>
    </row>
    <row r="919" spans="1:38" x14ac:dyDescent="0.25">
      <c r="A919" t="s">
        <v>164</v>
      </c>
      <c r="B919" t="s">
        <v>28</v>
      </c>
      <c r="C919" t="s">
        <v>14</v>
      </c>
      <c r="K919" s="25">
        <f>(Table2[[#This Row],[Home Pace]]/100)*(VLOOKUP(Table2[[#This Row],[Home/Neutral]],home_lookup,8,FALSE)+VLOOKUP(Table2[[#This Row],[Home/Neutral]],OFR_lookup,2,FALSE)+VLOOKUP(Table2[[#This Row],[Visitor/Neutral]],def_diff_lookup,6,FALSE))</f>
        <v>110.14511553204274</v>
      </c>
      <c r="L919" s="25"/>
      <c r="M919" s="25">
        <f>(Table2[[#This Row],[Away Pace]]/100)*(VLOOKUP(Table2[[#This Row],[Visitor/Neutral]],OFR_lookup,2,FALSE)+VLOOKUP(Table2[[#This Row],[Home/Neutral]],def_diff_lookup,6,FALSE))</f>
        <v>111.39807933333336</v>
      </c>
      <c r="N919" s="25"/>
      <c r="O919" s="25"/>
      <c r="P919">
        <f>VLOOKUP(Table2[[#This Row],[Home/Neutral]],pace_lookup,7,FALSE)</f>
        <v>96.3</v>
      </c>
      <c r="Q919" s="5">
        <f>VLOOKUP(Table2[[#This Row],[Visitor/Neutral]],pace_lookup,7,FALSE)</f>
        <v>95.9</v>
      </c>
      <c r="R919" s="9"/>
      <c r="V919" s="2">
        <f>-home-VLOOKUP(Table2[[#This Row],[Home/Neutral]],rtg_vlookup,4,FALSE)+VLOOKUP(Table2[[#This Row],[Visitor/Neutral]],rtg_vlookup,4,FALSE)</f>
        <v>4.1548815165876691</v>
      </c>
      <c r="W919" s="25"/>
      <c r="X919" s="2"/>
      <c r="Y919" s="2">
        <f>Table2[[#This Row],[Away EV]]-Table2[[#This Row],[Home EV]]</f>
        <v>1.252963801290619</v>
      </c>
      <c r="Z919" s="33"/>
      <c r="AA919" s="34"/>
      <c r="AB919" s="5" t="b">
        <f>IF(VLOOKUP(Table2[[#This Row],[Home/Neutral]],division_lookup,9,FALSE)=VLOOKUP(Table2[[#This Row],[Visitor/Neutral]],division_lookup,9,FALSE),TRUE,FALSE)</f>
        <v>0</v>
      </c>
      <c r="AC919" s="19" t="str">
        <f>VLOOKUP(Table2[[#This Row],[Home/Neutral]],division_lookup,9,FALSE)</f>
        <v>SE</v>
      </c>
      <c r="AD919" s="19"/>
      <c r="AE919" s="19" t="str">
        <f>IF(Table2[[#This Row],[Total EV ®]]&lt;Table2[[#This Row],[Total (V)]],"UNDER","OVER")</f>
        <v>OVER</v>
      </c>
      <c r="AF919" s="30">
        <f>Table2[[#This Row],[(A) Spread]]-Table2[[#This Row],[Spread (V)]]</f>
        <v>0</v>
      </c>
      <c r="AG919" s="19"/>
      <c r="AH919" s="2">
        <f>Table2[[#This Row],[EV]]-Table2[[#This Row],[Spread (V)]]</f>
        <v>1.252963801290619</v>
      </c>
      <c r="AI919" s="22">
        <f>Table2[[#This Row],[(A)]]-Table2[[#This Row],[Spread]]</f>
        <v>4.1548815165876691</v>
      </c>
      <c r="AJ919" s="1">
        <f>Table2[[#This Row],[(A) Err]]^2</f>
        <v>17.26304041688185</v>
      </c>
      <c r="AK919" s="6">
        <f>Table2[[#This Row],[EV]]-Table2[[#This Row],[Spread]]</f>
        <v>1.252963801290619</v>
      </c>
      <c r="AL919" s="1">
        <f>Table2[[#This Row],[EV Err]]^2</f>
        <v>1.5699182873446378</v>
      </c>
    </row>
    <row r="920" spans="1:38" x14ac:dyDescent="0.25">
      <c r="A920" t="s">
        <v>165</v>
      </c>
      <c r="B920" t="s">
        <v>13</v>
      </c>
      <c r="C920" t="s">
        <v>4</v>
      </c>
      <c r="K920" s="25">
        <f>(Table2[[#This Row],[Home Pace]]/100)*(VLOOKUP(Table2[[#This Row],[Home/Neutral]],home_lookup,8,FALSE)+VLOOKUP(Table2[[#This Row],[Home/Neutral]],OFR_lookup,2,FALSE)+VLOOKUP(Table2[[#This Row],[Visitor/Neutral]],def_diff_lookup,6,FALSE))</f>
        <v>99.637091084504007</v>
      </c>
      <c r="L920" s="25"/>
      <c r="M920" s="25">
        <f>(Table2[[#This Row],[Away Pace]]/100)*(VLOOKUP(Table2[[#This Row],[Visitor/Neutral]],OFR_lookup,2,FALSE)+VLOOKUP(Table2[[#This Row],[Home/Neutral]],def_diff_lookup,6,FALSE))</f>
        <v>110.288864</v>
      </c>
      <c r="N920" s="25"/>
      <c r="O920" s="25"/>
      <c r="P920">
        <f>VLOOKUP(Table2[[#This Row],[Home/Neutral]],pace_lookup,7,FALSE)</f>
        <v>94.5</v>
      </c>
      <c r="Q920" s="5">
        <f>VLOOKUP(Table2[[#This Row],[Visitor/Neutral]],pace_lookup,7,FALSE)</f>
        <v>96.6</v>
      </c>
      <c r="R920" s="9"/>
      <c r="V920" s="2">
        <f>-home-VLOOKUP(Table2[[#This Row],[Home/Neutral]],rtg_vlookup,4,FALSE)+VLOOKUP(Table2[[#This Row],[Visitor/Neutral]],rtg_vlookup,4,FALSE)</f>
        <v>6.2748815165876692</v>
      </c>
      <c r="W920" s="25"/>
      <c r="X920" s="2"/>
      <c r="Y920" s="2">
        <f>Table2[[#This Row],[Away EV]]-Table2[[#This Row],[Home EV]]</f>
        <v>10.651772915495997</v>
      </c>
      <c r="Z920" s="33"/>
      <c r="AA920" s="34"/>
      <c r="AB920" s="5" t="b">
        <f>IF(VLOOKUP(Table2[[#This Row],[Home/Neutral]],division_lookup,9,FALSE)=VLOOKUP(Table2[[#This Row],[Visitor/Neutral]],division_lookup,9,FALSE),TRUE,FALSE)</f>
        <v>0</v>
      </c>
      <c r="AC920" s="19" t="str">
        <f>VLOOKUP(Table2[[#This Row],[Home/Neutral]],division_lookup,9,FALSE)</f>
        <v>C</v>
      </c>
      <c r="AD920" s="19"/>
      <c r="AE920" s="19" t="str">
        <f>IF(Table2[[#This Row],[Total EV ®]]&lt;Table2[[#This Row],[Total (V)]],"UNDER","OVER")</f>
        <v>OVER</v>
      </c>
      <c r="AF920" s="30">
        <f>Table2[[#This Row],[(A) Spread]]-Table2[[#This Row],[Spread (V)]]</f>
        <v>0</v>
      </c>
      <c r="AG920" s="19"/>
      <c r="AH920" s="2">
        <f>Table2[[#This Row],[EV]]-Table2[[#This Row],[Spread (V)]]</f>
        <v>10.651772915495997</v>
      </c>
      <c r="AI920" s="22">
        <f>Table2[[#This Row],[(A)]]-Table2[[#This Row],[Spread]]</f>
        <v>6.2748815165876692</v>
      </c>
      <c r="AJ920" s="1">
        <f>Table2[[#This Row],[(A) Err]]^2</f>
        <v>39.37413804721357</v>
      </c>
      <c r="AK920" s="6">
        <f>Table2[[#This Row],[EV]]-Table2[[#This Row],[Spread]]</f>
        <v>10.651772915495997</v>
      </c>
      <c r="AL920" s="1">
        <f>Table2[[#This Row],[EV Err]]^2</f>
        <v>113.46026624329409</v>
      </c>
    </row>
    <row r="921" spans="1:38" x14ac:dyDescent="0.25">
      <c r="A921" t="s">
        <v>165</v>
      </c>
      <c r="B921" t="s">
        <v>27</v>
      </c>
      <c r="C921" t="s">
        <v>16</v>
      </c>
      <c r="K921" s="25">
        <f>(Table2[[#This Row],[Home Pace]]/100)*(VLOOKUP(Table2[[#This Row],[Home/Neutral]],home_lookup,8,FALSE)+VLOOKUP(Table2[[#This Row],[Home/Neutral]],OFR_lookup,2,FALSE)+VLOOKUP(Table2[[#This Row],[Visitor/Neutral]],def_diff_lookup,6,FALSE))</f>
        <v>102.80295642647258</v>
      </c>
      <c r="L921" s="25"/>
      <c r="M921" s="25">
        <f>(Table2[[#This Row],[Away Pace]]/100)*(VLOOKUP(Table2[[#This Row],[Visitor/Neutral]],OFR_lookup,2,FALSE)+VLOOKUP(Table2[[#This Row],[Home/Neutral]],def_diff_lookup,6,FALSE))</f>
        <v>104.07214999999999</v>
      </c>
      <c r="N921" s="25"/>
      <c r="O921" s="25"/>
      <c r="P921">
        <f>VLOOKUP(Table2[[#This Row],[Home/Neutral]],pace_lookup,7,FALSE)</f>
        <v>99</v>
      </c>
      <c r="Q921" s="5">
        <f>VLOOKUP(Table2[[#This Row],[Visitor/Neutral]],pace_lookup,7,FALSE)</f>
        <v>97.5</v>
      </c>
      <c r="R921" s="9"/>
      <c r="V921" s="2">
        <f>-home-VLOOKUP(Table2[[#This Row],[Home/Neutral]],rtg_vlookup,4,FALSE)+VLOOKUP(Table2[[#This Row],[Visitor/Neutral]],rtg_vlookup,4,FALSE)</f>
        <v>0.4848815165876692</v>
      </c>
      <c r="W921" s="25"/>
      <c r="X921" s="2"/>
      <c r="Y921" s="2">
        <f>Table2[[#This Row],[Away EV]]-Table2[[#This Row],[Home EV]]</f>
        <v>1.2691935735274171</v>
      </c>
      <c r="Z921" s="33"/>
      <c r="AA921" s="34"/>
      <c r="AB921" s="5" t="b">
        <f>IF(VLOOKUP(Table2[[#This Row],[Home/Neutral]],division_lookup,9,FALSE)=VLOOKUP(Table2[[#This Row],[Visitor/Neutral]],division_lookup,9,FALSE),TRUE,FALSE)</f>
        <v>0</v>
      </c>
      <c r="AC921" s="19" t="str">
        <f>VLOOKUP(Table2[[#This Row],[Home/Neutral]],division_lookup,9,FALSE)</f>
        <v>NW</v>
      </c>
      <c r="AD921" s="19"/>
      <c r="AE921" s="19" t="str">
        <f>IF(Table2[[#This Row],[Total EV ®]]&lt;Table2[[#This Row],[Total (V)]],"UNDER","OVER")</f>
        <v>OVER</v>
      </c>
      <c r="AF921" s="30">
        <f>Table2[[#This Row],[(A) Spread]]-Table2[[#This Row],[Spread (V)]]</f>
        <v>0</v>
      </c>
      <c r="AG921" s="19"/>
      <c r="AH921" s="2">
        <f>Table2[[#This Row],[EV]]-Table2[[#This Row],[Spread (V)]]</f>
        <v>1.2691935735274171</v>
      </c>
      <c r="AI921" s="22">
        <f>Table2[[#This Row],[(A)]]-Table2[[#This Row],[Spread]]</f>
        <v>0.4848815165876692</v>
      </c>
      <c r="AJ921" s="1">
        <f>Table2[[#This Row],[(A) Err]]^2</f>
        <v>0.23511008512835813</v>
      </c>
      <c r="AK921" s="6">
        <f>Table2[[#This Row],[EV]]-Table2[[#This Row],[Spread]]</f>
        <v>1.2691935735274171</v>
      </c>
      <c r="AL921" s="1">
        <f>Table2[[#This Row],[EV Err]]^2</f>
        <v>1.6108523270832953</v>
      </c>
    </row>
    <row r="922" spans="1:38" x14ac:dyDescent="0.25">
      <c r="A922" t="s">
        <v>165</v>
      </c>
      <c r="B922" t="s">
        <v>17</v>
      </c>
      <c r="C922" t="s">
        <v>23</v>
      </c>
      <c r="K922" s="25">
        <f>(Table2[[#This Row],[Home Pace]]/100)*(VLOOKUP(Table2[[#This Row],[Home/Neutral]],home_lookup,8,FALSE)+VLOOKUP(Table2[[#This Row],[Home/Neutral]],OFR_lookup,2,FALSE)+VLOOKUP(Table2[[#This Row],[Visitor/Neutral]],def_diff_lookup,6,FALSE))</f>
        <v>105.06206692873545</v>
      </c>
      <c r="L922" s="25"/>
      <c r="M922" s="25">
        <f>(Table2[[#This Row],[Away Pace]]/100)*(VLOOKUP(Table2[[#This Row],[Visitor/Neutral]],OFR_lookup,2,FALSE)+VLOOKUP(Table2[[#This Row],[Home/Neutral]],def_diff_lookup,6,FALSE))</f>
        <v>99.530616666666688</v>
      </c>
      <c r="N922" s="25"/>
      <c r="O922" s="25"/>
      <c r="P922">
        <f>VLOOKUP(Table2[[#This Row],[Home/Neutral]],pace_lookup,7,FALSE)</f>
        <v>96.7</v>
      </c>
      <c r="Q922" s="5">
        <f>VLOOKUP(Table2[[#This Row],[Visitor/Neutral]],pace_lookup,7,FALSE)</f>
        <v>92.5</v>
      </c>
      <c r="R922" s="9"/>
      <c r="V922" s="2">
        <f>-home-VLOOKUP(Table2[[#This Row],[Home/Neutral]],rtg_vlookup,4,FALSE)+VLOOKUP(Table2[[#This Row],[Visitor/Neutral]],rtg_vlookup,4,FALSE)</f>
        <v>-4.5651184834123306</v>
      </c>
      <c r="W922" s="25"/>
      <c r="X922" s="2"/>
      <c r="Y922" s="2">
        <f>Table2[[#This Row],[Away EV]]-Table2[[#This Row],[Home EV]]</f>
        <v>-5.5314502620687591</v>
      </c>
      <c r="Z922" s="33"/>
      <c r="AA922" s="34"/>
      <c r="AB922" s="5" t="b">
        <f>IF(VLOOKUP(Table2[[#This Row],[Home/Neutral]],division_lookup,9,FALSE)=VLOOKUP(Table2[[#This Row],[Visitor/Neutral]],division_lookup,9,FALSE),TRUE,FALSE)</f>
        <v>1</v>
      </c>
      <c r="AC922" s="19" t="str">
        <f>VLOOKUP(Table2[[#This Row],[Home/Neutral]],division_lookup,9,FALSE)</f>
        <v>SW</v>
      </c>
      <c r="AD922" s="19"/>
      <c r="AE922" s="19" t="str">
        <f>IF(Table2[[#This Row],[Total EV ®]]&lt;Table2[[#This Row],[Total (V)]],"UNDER","OVER")</f>
        <v>OVER</v>
      </c>
      <c r="AF922" s="30">
        <f>Table2[[#This Row],[(A) Spread]]-Table2[[#This Row],[Spread (V)]]</f>
        <v>0</v>
      </c>
      <c r="AG922" s="19"/>
      <c r="AH922" s="2">
        <f>Table2[[#This Row],[EV]]-Table2[[#This Row],[Spread (V)]]</f>
        <v>-5.5314502620687591</v>
      </c>
      <c r="AI922" s="22">
        <f>Table2[[#This Row],[(A)]]-Table2[[#This Row],[Spread]]</f>
        <v>-4.5651184834123306</v>
      </c>
      <c r="AJ922" s="1">
        <f>Table2[[#This Row],[(A) Err]]^2</f>
        <v>20.840306767592896</v>
      </c>
      <c r="AK922" s="6">
        <f>Table2[[#This Row],[EV]]-Table2[[#This Row],[Spread]]</f>
        <v>-5.5314502620687591</v>
      </c>
      <c r="AL922" s="1">
        <f>Table2[[#This Row],[EV Err]]^2</f>
        <v>30.596942001740544</v>
      </c>
    </row>
    <row r="923" spans="1:38" x14ac:dyDescent="0.25">
      <c r="A923" t="s">
        <v>165</v>
      </c>
      <c r="B923" t="s">
        <v>21</v>
      </c>
      <c r="C923" t="s">
        <v>8</v>
      </c>
      <c r="K923" s="25">
        <f>(Table2[[#This Row],[Home Pace]]/100)*(VLOOKUP(Table2[[#This Row],[Home/Neutral]],home_lookup,8,FALSE)+VLOOKUP(Table2[[#This Row],[Home/Neutral]],OFR_lookup,2,FALSE)+VLOOKUP(Table2[[#This Row],[Visitor/Neutral]],def_diff_lookup,6,FALSE))</f>
        <v>99.622871175243901</v>
      </c>
      <c r="L923" s="25"/>
      <c r="M923" s="25">
        <f>(Table2[[#This Row],[Away Pace]]/100)*(VLOOKUP(Table2[[#This Row],[Visitor/Neutral]],OFR_lookup,2,FALSE)+VLOOKUP(Table2[[#This Row],[Home/Neutral]],def_diff_lookup,6,FALSE))</f>
        <v>104.41288800000001</v>
      </c>
      <c r="N923" s="25"/>
      <c r="O923" s="25"/>
      <c r="P923">
        <f>VLOOKUP(Table2[[#This Row],[Home/Neutral]],pace_lookup,7,FALSE)</f>
        <v>94.2</v>
      </c>
      <c r="Q923" s="5">
        <f>VLOOKUP(Table2[[#This Row],[Visitor/Neutral]],pace_lookup,7,FALSE)</f>
        <v>97.2</v>
      </c>
      <c r="R923" s="9"/>
      <c r="V923" s="2">
        <f>-home-VLOOKUP(Table2[[#This Row],[Home/Neutral]],rtg_vlookup,4,FALSE)+VLOOKUP(Table2[[#This Row],[Visitor/Neutral]],rtg_vlookup,4,FALSE)</f>
        <v>4.2248815165876694</v>
      </c>
      <c r="W923" s="25"/>
      <c r="X923" s="2"/>
      <c r="Y923" s="2">
        <f>Table2[[#This Row],[Away EV]]-Table2[[#This Row],[Home EV]]</f>
        <v>4.7900168247561083</v>
      </c>
      <c r="Z923" s="33"/>
      <c r="AA923" s="34"/>
      <c r="AB923" s="5" t="b">
        <f>IF(VLOOKUP(Table2[[#This Row],[Home/Neutral]],division_lookup,9,FALSE)=VLOOKUP(Table2[[#This Row],[Visitor/Neutral]],division_lookup,9,FALSE),TRUE,FALSE)</f>
        <v>0</v>
      </c>
      <c r="AC923" s="19" t="str">
        <f>VLOOKUP(Table2[[#This Row],[Home/Neutral]],division_lookup,9,FALSE)</f>
        <v>SE</v>
      </c>
      <c r="AD923" s="19"/>
      <c r="AE923" s="19" t="str">
        <f>IF(Table2[[#This Row],[Total EV ®]]&lt;Table2[[#This Row],[Total (V)]],"UNDER","OVER")</f>
        <v>OVER</v>
      </c>
      <c r="AF923" s="30">
        <f>Table2[[#This Row],[(A) Spread]]-Table2[[#This Row],[Spread (V)]]</f>
        <v>0</v>
      </c>
      <c r="AG923" s="19"/>
      <c r="AH923" s="2">
        <f>Table2[[#This Row],[EV]]-Table2[[#This Row],[Spread (V)]]</f>
        <v>4.7900168247561083</v>
      </c>
      <c r="AI923" s="22">
        <f>Table2[[#This Row],[(A)]]-Table2[[#This Row],[Spread]]</f>
        <v>4.2248815165876694</v>
      </c>
      <c r="AJ923" s="1">
        <f>Table2[[#This Row],[(A) Err]]^2</f>
        <v>17.849623829204127</v>
      </c>
      <c r="AK923" s="6">
        <f>Table2[[#This Row],[EV]]-Table2[[#This Row],[Spread]]</f>
        <v>4.7900168247561083</v>
      </c>
      <c r="AL923" s="1">
        <f>Table2[[#This Row],[EV Err]]^2</f>
        <v>22.944261181446592</v>
      </c>
    </row>
    <row r="924" spans="1:38" x14ac:dyDescent="0.25">
      <c r="A924" t="s">
        <v>165</v>
      </c>
      <c r="B924" t="s">
        <v>30</v>
      </c>
      <c r="C924" t="s">
        <v>14</v>
      </c>
      <c r="K924" s="25">
        <f>(Table2[[#This Row],[Home Pace]]/100)*(VLOOKUP(Table2[[#This Row],[Home/Neutral]],home_lookup,8,FALSE)+VLOOKUP(Table2[[#This Row],[Home/Neutral]],OFR_lookup,2,FALSE)+VLOOKUP(Table2[[#This Row],[Visitor/Neutral]],def_diff_lookup,6,FALSE))</f>
        <v>109.94184034993644</v>
      </c>
      <c r="L924" s="25"/>
      <c r="M924" s="25">
        <f>(Table2[[#This Row],[Away Pace]]/100)*(VLOOKUP(Table2[[#This Row],[Visitor/Neutral]],OFR_lookup,2,FALSE)+VLOOKUP(Table2[[#This Row],[Home/Neutral]],def_diff_lookup,6,FALSE))</f>
        <v>110.39112933333337</v>
      </c>
      <c r="N924" s="25"/>
      <c r="O924" s="25"/>
      <c r="P924">
        <f>VLOOKUP(Table2[[#This Row],[Home/Neutral]],pace_lookup,7,FALSE)</f>
        <v>96.8</v>
      </c>
      <c r="Q924" s="5">
        <f>VLOOKUP(Table2[[#This Row],[Visitor/Neutral]],pace_lookup,7,FALSE)</f>
        <v>95.9</v>
      </c>
      <c r="R924" s="9"/>
      <c r="V924" s="2">
        <f>-home-VLOOKUP(Table2[[#This Row],[Home/Neutral]],rtg_vlookup,4,FALSE)+VLOOKUP(Table2[[#This Row],[Visitor/Neutral]],rtg_vlookup,4,FALSE)</f>
        <v>4.7548815165876688</v>
      </c>
      <c r="W924" s="25"/>
      <c r="X924" s="2"/>
      <c r="Y924" s="2">
        <f>Table2[[#This Row],[Away EV]]-Table2[[#This Row],[Home EV]]</f>
        <v>0.4492889833969258</v>
      </c>
      <c r="Z924" s="33"/>
      <c r="AA924" s="34"/>
      <c r="AB924" s="5" t="b">
        <f>IF(VLOOKUP(Table2[[#This Row],[Home/Neutral]],division_lookup,9,FALSE)=VLOOKUP(Table2[[#This Row],[Visitor/Neutral]],division_lookup,9,FALSE),TRUE,FALSE)</f>
        <v>0</v>
      </c>
      <c r="AC924" s="19" t="str">
        <f>VLOOKUP(Table2[[#This Row],[Home/Neutral]],division_lookup,9,FALSE)</f>
        <v>C</v>
      </c>
      <c r="AD924" s="19"/>
      <c r="AE924" s="19" t="str">
        <f>IF(Table2[[#This Row],[Total EV ®]]&lt;Table2[[#This Row],[Total (V)]],"UNDER","OVER")</f>
        <v>OVER</v>
      </c>
      <c r="AF924" s="30">
        <f>Table2[[#This Row],[(A) Spread]]-Table2[[#This Row],[Spread (V)]]</f>
        <v>0</v>
      </c>
      <c r="AG924" s="19"/>
      <c r="AH924" s="2">
        <f>Table2[[#This Row],[EV]]-Table2[[#This Row],[Spread (V)]]</f>
        <v>0.4492889833969258</v>
      </c>
      <c r="AI924" s="22">
        <f>Table2[[#This Row],[(A)]]-Table2[[#This Row],[Spread]]</f>
        <v>4.7548815165876688</v>
      </c>
      <c r="AJ924" s="1">
        <f>Table2[[#This Row],[(A) Err]]^2</f>
        <v>22.608898236787049</v>
      </c>
      <c r="AK924" s="6">
        <f>Table2[[#This Row],[EV]]-Table2[[#This Row],[Spread]]</f>
        <v>0.4492889833969258</v>
      </c>
      <c r="AL924" s="1">
        <f>Table2[[#This Row],[EV Err]]^2</f>
        <v>0.20186059060184305</v>
      </c>
    </row>
    <row r="925" spans="1:38" x14ac:dyDescent="0.25">
      <c r="A925" t="s">
        <v>165</v>
      </c>
      <c r="B925" t="s">
        <v>39</v>
      </c>
      <c r="C925" t="s">
        <v>25</v>
      </c>
      <c r="K925" s="25">
        <f>(Table2[[#This Row],[Home Pace]]/100)*(VLOOKUP(Table2[[#This Row],[Home/Neutral]],home_lookup,8,FALSE)+VLOOKUP(Table2[[#This Row],[Home/Neutral]],OFR_lookup,2,FALSE)+VLOOKUP(Table2[[#This Row],[Visitor/Neutral]],def_diff_lookup,6,FALSE))</f>
        <v>103.74002211468579</v>
      </c>
      <c r="L925" s="25"/>
      <c r="M925" s="25">
        <f>(Table2[[#This Row],[Away Pace]]/100)*(VLOOKUP(Table2[[#This Row],[Visitor/Neutral]],OFR_lookup,2,FALSE)+VLOOKUP(Table2[[#This Row],[Home/Neutral]],def_diff_lookup,6,FALSE))</f>
        <v>99.71534933333335</v>
      </c>
      <c r="N925" s="25"/>
      <c r="O925" s="25"/>
      <c r="P925">
        <f>VLOOKUP(Table2[[#This Row],[Home/Neutral]],pace_lookup,7,FALSE)</f>
        <v>97.5</v>
      </c>
      <c r="Q925" s="5">
        <f>VLOOKUP(Table2[[#This Row],[Visitor/Neutral]],pace_lookup,7,FALSE)</f>
        <v>94.4</v>
      </c>
      <c r="R925" s="9"/>
      <c r="V925" s="2">
        <f>-home-VLOOKUP(Table2[[#This Row],[Home/Neutral]],rtg_vlookup,4,FALSE)+VLOOKUP(Table2[[#This Row],[Visitor/Neutral]],rtg_vlookup,4,FALSE)</f>
        <v>6.534881516587669</v>
      </c>
      <c r="W925" s="25"/>
      <c r="X925" s="2"/>
      <c r="Y925" s="2">
        <f>Table2[[#This Row],[Away EV]]-Table2[[#This Row],[Home EV]]</f>
        <v>-4.0246727813524359</v>
      </c>
      <c r="Z925" s="33"/>
      <c r="AA925" s="34"/>
      <c r="AB925" s="5" t="b">
        <f>IF(VLOOKUP(Table2[[#This Row],[Home/Neutral]],division_lookup,9,FALSE)=VLOOKUP(Table2[[#This Row],[Visitor/Neutral]],division_lookup,9,FALSE),TRUE,FALSE)</f>
        <v>0</v>
      </c>
      <c r="AC925" s="19" t="str">
        <f>VLOOKUP(Table2[[#This Row],[Home/Neutral]],division_lookup,9,FALSE)</f>
        <v>A</v>
      </c>
      <c r="AD925" s="19"/>
      <c r="AE925" s="19" t="str">
        <f>IF(Table2[[#This Row],[Total EV ®]]&lt;Table2[[#This Row],[Total (V)]],"UNDER","OVER")</f>
        <v>OVER</v>
      </c>
      <c r="AF925" s="30">
        <f>Table2[[#This Row],[(A) Spread]]-Table2[[#This Row],[Spread (V)]]</f>
        <v>0</v>
      </c>
      <c r="AG925" s="19"/>
      <c r="AH925" s="2">
        <f>Table2[[#This Row],[EV]]-Table2[[#This Row],[Spread (V)]]</f>
        <v>-4.0246727813524359</v>
      </c>
      <c r="AI925" s="22">
        <f>Table2[[#This Row],[(A)]]-Table2[[#This Row],[Spread]]</f>
        <v>6.534881516587669</v>
      </c>
      <c r="AJ925" s="1">
        <f>Table2[[#This Row],[(A) Err]]^2</f>
        <v>42.704676435839154</v>
      </c>
      <c r="AK925" s="6">
        <f>Table2[[#This Row],[EV]]-Table2[[#This Row],[Spread]]</f>
        <v>-4.0246727813524359</v>
      </c>
      <c r="AL925" s="1">
        <f>Table2[[#This Row],[EV Err]]^2</f>
        <v>16.197990996959152</v>
      </c>
    </row>
    <row r="926" spans="1:38" x14ac:dyDescent="0.25">
      <c r="A926" t="s">
        <v>165</v>
      </c>
      <c r="B926" t="s">
        <v>32</v>
      </c>
      <c r="C926" t="s">
        <v>35</v>
      </c>
      <c r="K926" s="25">
        <f>(Table2[[#This Row],[Home Pace]]/100)*(VLOOKUP(Table2[[#This Row],[Home/Neutral]],home_lookup,8,FALSE)+VLOOKUP(Table2[[#This Row],[Home/Neutral]],OFR_lookup,2,FALSE)+VLOOKUP(Table2[[#This Row],[Visitor/Neutral]],def_diff_lookup,6,FALSE))</f>
        <v>112.7382711200184</v>
      </c>
      <c r="L926" s="25"/>
      <c r="M926" s="25">
        <f>(Table2[[#This Row],[Away Pace]]/100)*(VLOOKUP(Table2[[#This Row],[Visitor/Neutral]],OFR_lookup,2,FALSE)+VLOOKUP(Table2[[#This Row],[Home/Neutral]],def_diff_lookup,6,FALSE))</f>
        <v>111.02054133333336</v>
      </c>
      <c r="N926" s="25"/>
      <c r="O926" s="25"/>
      <c r="P926">
        <f>VLOOKUP(Table2[[#This Row],[Home/Neutral]],pace_lookup,7,FALSE)</f>
        <v>98.6</v>
      </c>
      <c r="Q926" s="5">
        <f>VLOOKUP(Table2[[#This Row],[Visitor/Neutral]],pace_lookup,7,FALSE)</f>
        <v>102.2</v>
      </c>
      <c r="R926" s="9"/>
      <c r="V926" s="2">
        <f>-home-VLOOKUP(Table2[[#This Row],[Home/Neutral]],rtg_vlookup,4,FALSE)+VLOOKUP(Table2[[#This Row],[Visitor/Neutral]],rtg_vlookup,4,FALSE)</f>
        <v>-6.1551184834123305</v>
      </c>
      <c r="W926" s="25"/>
      <c r="X926" s="2"/>
      <c r="Y926" s="2">
        <f>Table2[[#This Row],[Away EV]]-Table2[[#This Row],[Home EV]]</f>
        <v>-1.7177297866850409</v>
      </c>
      <c r="Z926" s="33"/>
      <c r="AA926" s="34"/>
      <c r="AB926" s="5" t="b">
        <f>IF(VLOOKUP(Table2[[#This Row],[Home/Neutral]],division_lookup,9,FALSE)=VLOOKUP(Table2[[#This Row],[Visitor/Neutral]],division_lookup,9,FALSE),TRUE,FALSE)</f>
        <v>0</v>
      </c>
      <c r="AC926" s="19" t="str">
        <f>VLOOKUP(Table2[[#This Row],[Home/Neutral]],division_lookup,9,FALSE)</f>
        <v>NW</v>
      </c>
      <c r="AD926" s="19"/>
      <c r="AE926" s="19" t="str">
        <f>IF(Table2[[#This Row],[Total EV ®]]&lt;Table2[[#This Row],[Total (V)]],"UNDER","OVER")</f>
        <v>OVER</v>
      </c>
      <c r="AF926" s="30">
        <f>Table2[[#This Row],[(A) Spread]]-Table2[[#This Row],[Spread (V)]]</f>
        <v>0</v>
      </c>
      <c r="AG926" s="19"/>
      <c r="AH926" s="2">
        <f>Table2[[#This Row],[EV]]-Table2[[#This Row],[Spread (V)]]</f>
        <v>-1.7177297866850409</v>
      </c>
      <c r="AI926" s="22">
        <f>Table2[[#This Row],[(A)]]-Table2[[#This Row],[Spread]]</f>
        <v>-6.1551184834123305</v>
      </c>
      <c r="AJ926" s="1">
        <f>Table2[[#This Row],[(A) Err]]^2</f>
        <v>37.885483544844107</v>
      </c>
      <c r="AK926" s="6">
        <f>Table2[[#This Row],[EV]]-Table2[[#This Row],[Spread]]</f>
        <v>-1.7177297866850409</v>
      </c>
      <c r="AL926" s="1">
        <f>Table2[[#This Row],[EV Err]]^2</f>
        <v>2.9505956200650361</v>
      </c>
    </row>
    <row r="927" spans="1:38" x14ac:dyDescent="0.25">
      <c r="A927" t="s">
        <v>165</v>
      </c>
      <c r="B927" t="s">
        <v>6</v>
      </c>
      <c r="C927" t="s">
        <v>22</v>
      </c>
      <c r="K927" s="25">
        <f>(Table2[[#This Row],[Home Pace]]/100)*(VLOOKUP(Table2[[#This Row],[Home/Neutral]],home_lookup,8,FALSE)+VLOOKUP(Table2[[#This Row],[Home/Neutral]],OFR_lookup,2,FALSE)+VLOOKUP(Table2[[#This Row],[Visitor/Neutral]],def_diff_lookup,6,FALSE))</f>
        <v>106.78349787062244</v>
      </c>
      <c r="L927" s="25"/>
      <c r="M927" s="25">
        <f>(Table2[[#This Row],[Away Pace]]/100)*(VLOOKUP(Table2[[#This Row],[Visitor/Neutral]],OFR_lookup,2,FALSE)+VLOOKUP(Table2[[#This Row],[Home/Neutral]],def_diff_lookup,6,FALSE))</f>
        <v>103.16681133333336</v>
      </c>
      <c r="N927" s="25"/>
      <c r="O927" s="25"/>
      <c r="P927">
        <f>VLOOKUP(Table2[[#This Row],[Home/Neutral]],pace_lookup,7,FALSE)</f>
        <v>93.1</v>
      </c>
      <c r="Q927" s="5">
        <f>VLOOKUP(Table2[[#This Row],[Visitor/Neutral]],pace_lookup,7,FALSE)</f>
        <v>94.7</v>
      </c>
      <c r="R927" s="9"/>
      <c r="V927" s="2">
        <f>-home-VLOOKUP(Table2[[#This Row],[Home/Neutral]],rtg_vlookup,4,FALSE)+VLOOKUP(Table2[[#This Row],[Visitor/Neutral]],rtg_vlookup,4,FALSE)</f>
        <v>-8.8151184834123306</v>
      </c>
      <c r="W927" s="25"/>
      <c r="X927" s="2"/>
      <c r="Y927" s="2">
        <f>Table2[[#This Row],[Away EV]]-Table2[[#This Row],[Home EV]]</f>
        <v>-3.616686537289084</v>
      </c>
      <c r="Z927" s="33"/>
      <c r="AA927" s="34"/>
      <c r="AB927" s="5" t="b">
        <f>IF(VLOOKUP(Table2[[#This Row],[Home/Neutral]],division_lookup,9,FALSE)=VLOOKUP(Table2[[#This Row],[Visitor/Neutral]],division_lookup,9,FALSE),TRUE,FALSE)</f>
        <v>0</v>
      </c>
      <c r="AC927" s="19" t="str">
        <f>VLOOKUP(Table2[[#This Row],[Home/Neutral]],division_lookup,9,FALSE)</f>
        <v>SW</v>
      </c>
      <c r="AD927" s="19"/>
      <c r="AE927" s="19" t="str">
        <f>IF(Table2[[#This Row],[Total EV ®]]&lt;Table2[[#This Row],[Total (V)]],"UNDER","OVER")</f>
        <v>OVER</v>
      </c>
      <c r="AF927" s="30">
        <f>Table2[[#This Row],[(A) Spread]]-Table2[[#This Row],[Spread (V)]]</f>
        <v>0</v>
      </c>
      <c r="AG927" s="19"/>
      <c r="AH927" s="2">
        <f>Table2[[#This Row],[EV]]-Table2[[#This Row],[Spread (V)]]</f>
        <v>-3.616686537289084</v>
      </c>
      <c r="AI927" s="22">
        <f>Table2[[#This Row],[(A)]]-Table2[[#This Row],[Spread]]</f>
        <v>-8.8151184834123306</v>
      </c>
      <c r="AJ927" s="1">
        <f>Table2[[#This Row],[(A) Err]]^2</f>
        <v>77.706313876597704</v>
      </c>
      <c r="AK927" s="6">
        <f>Table2[[#This Row],[EV]]-Table2[[#This Row],[Spread]]</f>
        <v>-3.616686537289084</v>
      </c>
      <c r="AL927" s="1">
        <f>Table2[[#This Row],[EV Err]]^2</f>
        <v>13.080421509008104</v>
      </c>
    </row>
    <row r="928" spans="1:38" x14ac:dyDescent="0.25">
      <c r="A928" t="s">
        <v>166</v>
      </c>
      <c r="B928" t="s">
        <v>11</v>
      </c>
      <c r="C928" t="s">
        <v>33</v>
      </c>
      <c r="K928" s="25">
        <f>(Table2[[#This Row],[Home Pace]]/100)*(VLOOKUP(Table2[[#This Row],[Home/Neutral]],home_lookup,8,FALSE)+VLOOKUP(Table2[[#This Row],[Home/Neutral]],OFR_lookup,2,FALSE)+VLOOKUP(Table2[[#This Row],[Visitor/Neutral]],def_diff_lookup,6,FALSE))</f>
        <v>100.98293904407282</v>
      </c>
      <c r="L928" s="25"/>
      <c r="M928" s="25">
        <f>(Table2[[#This Row],[Away Pace]]/100)*(VLOOKUP(Table2[[#This Row],[Visitor/Neutral]],OFR_lookup,2,FALSE)+VLOOKUP(Table2[[#This Row],[Home/Neutral]],def_diff_lookup,6,FALSE))</f>
        <v>94.027154666666675</v>
      </c>
      <c r="N928" s="25"/>
      <c r="O928" s="25"/>
      <c r="P928">
        <f>VLOOKUP(Table2[[#This Row],[Home/Neutral]],pace_lookup,7,FALSE)</f>
        <v>99.7</v>
      </c>
      <c r="Q928" s="5">
        <f>VLOOKUP(Table2[[#This Row],[Visitor/Neutral]],pace_lookup,7,FALSE)</f>
        <v>98.2</v>
      </c>
      <c r="R928" s="9"/>
      <c r="V928" s="2">
        <f>-home-VLOOKUP(Table2[[#This Row],[Home/Neutral]],rtg_vlookup,4,FALSE)+VLOOKUP(Table2[[#This Row],[Visitor/Neutral]],rtg_vlookup,4,FALSE)</f>
        <v>-14.285118483412331</v>
      </c>
      <c r="W928" s="25"/>
      <c r="X928" s="2"/>
      <c r="Y928" s="2">
        <f>Table2[[#This Row],[Away EV]]-Table2[[#This Row],[Home EV]]</f>
        <v>-6.9557843774061467</v>
      </c>
      <c r="Z928" s="33"/>
      <c r="AA928" s="34"/>
      <c r="AB928" s="5" t="b">
        <f>IF(VLOOKUP(Table2[[#This Row],[Home/Neutral]],division_lookup,9,FALSE)=VLOOKUP(Table2[[#This Row],[Visitor/Neutral]],division_lookup,9,FALSE),TRUE,FALSE)</f>
        <v>0</v>
      </c>
      <c r="AC928" s="19" t="str">
        <f>VLOOKUP(Table2[[#This Row],[Home/Neutral]],division_lookup,9,FALSE)</f>
        <v>SE</v>
      </c>
      <c r="AD928" s="19"/>
      <c r="AE928" s="19" t="str">
        <f>IF(Table2[[#This Row],[Total EV ®]]&lt;Table2[[#This Row],[Total (V)]],"UNDER","OVER")</f>
        <v>OVER</v>
      </c>
      <c r="AF928" s="30">
        <f>Table2[[#This Row],[(A) Spread]]-Table2[[#This Row],[Spread (V)]]</f>
        <v>0</v>
      </c>
      <c r="AG928" s="19"/>
      <c r="AH928" s="2">
        <f>Table2[[#This Row],[EV]]-Table2[[#This Row],[Spread (V)]]</f>
        <v>-6.9557843774061467</v>
      </c>
      <c r="AI928" s="22">
        <f>Table2[[#This Row],[(A)]]-Table2[[#This Row],[Spread]]</f>
        <v>-14.285118483412331</v>
      </c>
      <c r="AJ928" s="1">
        <f>Table2[[#This Row],[(A) Err]]^2</f>
        <v>204.06461008512863</v>
      </c>
      <c r="AK928" s="6">
        <f>Table2[[#This Row],[EV]]-Table2[[#This Row],[Spread]]</f>
        <v>-6.9557843774061467</v>
      </c>
      <c r="AL928" s="1">
        <f>Table2[[#This Row],[EV Err]]^2</f>
        <v>48.382936304967416</v>
      </c>
    </row>
    <row r="929" spans="1:38" x14ac:dyDescent="0.25">
      <c r="A929" t="s">
        <v>166</v>
      </c>
      <c r="B929" t="s">
        <v>37</v>
      </c>
      <c r="C929" t="s">
        <v>18</v>
      </c>
      <c r="K929" s="25">
        <f>(Table2[[#This Row],[Home Pace]]/100)*(VLOOKUP(Table2[[#This Row],[Home/Neutral]],home_lookup,8,FALSE)+VLOOKUP(Table2[[#This Row],[Home/Neutral]],OFR_lookup,2,FALSE)+VLOOKUP(Table2[[#This Row],[Visitor/Neutral]],def_diff_lookup,6,FALSE))</f>
        <v>98.526838093621222</v>
      </c>
      <c r="L929" s="25"/>
      <c r="M929" s="25">
        <f>(Table2[[#This Row],[Away Pace]]/100)*(VLOOKUP(Table2[[#This Row],[Visitor/Neutral]],OFR_lookup,2,FALSE)+VLOOKUP(Table2[[#This Row],[Home/Neutral]],def_diff_lookup,6,FALSE))</f>
        <v>100.89366333333335</v>
      </c>
      <c r="N929" s="25"/>
      <c r="O929" s="25"/>
      <c r="P929">
        <f>VLOOKUP(Table2[[#This Row],[Home/Neutral]],pace_lookup,7,FALSE)</f>
        <v>92.1</v>
      </c>
      <c r="Q929" s="5">
        <f>VLOOKUP(Table2[[#This Row],[Visitor/Neutral]],pace_lookup,7,FALSE)</f>
        <v>99.5</v>
      </c>
      <c r="R929" s="9"/>
      <c r="V929" s="2">
        <f>-home-VLOOKUP(Table2[[#This Row],[Home/Neutral]],rtg_vlookup,4,FALSE)+VLOOKUP(Table2[[#This Row],[Visitor/Neutral]],rtg_vlookup,4,FALSE)</f>
        <v>7.0848815165876697</v>
      </c>
      <c r="W929" s="25"/>
      <c r="X929" s="2"/>
      <c r="Y929" s="2">
        <f>Table2[[#This Row],[Away EV]]-Table2[[#This Row],[Home EV]]</f>
        <v>2.3668252397121279</v>
      </c>
      <c r="Z929" s="33"/>
      <c r="AA929" s="34"/>
      <c r="AB929" s="5" t="b">
        <f>IF(VLOOKUP(Table2[[#This Row],[Home/Neutral]],division_lookup,9,FALSE)=VLOOKUP(Table2[[#This Row],[Visitor/Neutral]],division_lookup,9,FALSE),TRUE,FALSE)</f>
        <v>0</v>
      </c>
      <c r="AC929" s="19" t="str">
        <f>VLOOKUP(Table2[[#This Row],[Home/Neutral]],division_lookup,9,FALSE)</f>
        <v>SW</v>
      </c>
      <c r="AD929" s="19"/>
      <c r="AE929" s="19" t="str">
        <f>IF(Table2[[#This Row],[Total EV ®]]&lt;Table2[[#This Row],[Total (V)]],"UNDER","OVER")</f>
        <v>OVER</v>
      </c>
      <c r="AF929" s="30">
        <f>Table2[[#This Row],[(A) Spread]]-Table2[[#This Row],[Spread (V)]]</f>
        <v>0</v>
      </c>
      <c r="AG929" s="19"/>
      <c r="AH929" s="2">
        <f>Table2[[#This Row],[EV]]-Table2[[#This Row],[Spread (V)]]</f>
        <v>2.3668252397121279</v>
      </c>
      <c r="AI929" s="22">
        <f>Table2[[#This Row],[(A)]]-Table2[[#This Row],[Spread]]</f>
        <v>7.0848815165876697</v>
      </c>
      <c r="AJ929" s="1">
        <f>Table2[[#This Row],[(A) Err]]^2</f>
        <v>50.195546104085601</v>
      </c>
      <c r="AK929" s="6">
        <f>Table2[[#This Row],[EV]]-Table2[[#This Row],[Spread]]</f>
        <v>2.3668252397121279</v>
      </c>
      <c r="AL929" s="1">
        <f>Table2[[#This Row],[EV Err]]^2</f>
        <v>5.6018617153383712</v>
      </c>
    </row>
    <row r="930" spans="1:38" x14ac:dyDescent="0.25">
      <c r="A930" t="s">
        <v>166</v>
      </c>
      <c r="B930" t="s">
        <v>24</v>
      </c>
      <c r="C930" t="s">
        <v>34</v>
      </c>
      <c r="K930" s="25">
        <f>(Table2[[#This Row],[Home Pace]]/100)*(VLOOKUP(Table2[[#This Row],[Home/Neutral]],home_lookup,8,FALSE)+VLOOKUP(Table2[[#This Row],[Home/Neutral]],OFR_lookup,2,FALSE)+VLOOKUP(Table2[[#This Row],[Visitor/Neutral]],def_diff_lookup,6,FALSE))</f>
        <v>108.9267643283094</v>
      </c>
      <c r="L930" s="25"/>
      <c r="M930" s="25">
        <f>(Table2[[#This Row],[Away Pace]]/100)*(VLOOKUP(Table2[[#This Row],[Visitor/Neutral]],OFR_lookup,2,FALSE)+VLOOKUP(Table2[[#This Row],[Home/Neutral]],def_diff_lookup,6,FALSE))</f>
        <v>103.72089866666667</v>
      </c>
      <c r="N930" s="25"/>
      <c r="O930" s="25"/>
      <c r="P930">
        <f>VLOOKUP(Table2[[#This Row],[Home/Neutral]],pace_lookup,7,FALSE)</f>
        <v>99.9</v>
      </c>
      <c r="Q930" s="5">
        <f>VLOOKUP(Table2[[#This Row],[Visitor/Neutral]],pace_lookup,7,FALSE)</f>
        <v>98.8</v>
      </c>
      <c r="R930" s="9"/>
      <c r="V930" s="2">
        <f>-home-VLOOKUP(Table2[[#This Row],[Home/Neutral]],rtg_vlookup,4,FALSE)+VLOOKUP(Table2[[#This Row],[Visitor/Neutral]],rtg_vlookup,4,FALSE)</f>
        <v>-8.0151184834123299</v>
      </c>
      <c r="W930" s="25"/>
      <c r="X930" s="2"/>
      <c r="Y930" s="2">
        <f>Table2[[#This Row],[Away EV]]-Table2[[#This Row],[Home EV]]</f>
        <v>-5.2058656616427328</v>
      </c>
      <c r="Z930" s="33"/>
      <c r="AA930" s="34"/>
      <c r="AB930" s="5" t="b">
        <f>IF(VLOOKUP(Table2[[#This Row],[Home/Neutral]],division_lookup,9,FALSE)=VLOOKUP(Table2[[#This Row],[Visitor/Neutral]],division_lookup,9,FALSE),TRUE,FALSE)</f>
        <v>0</v>
      </c>
      <c r="AC930" s="19" t="str">
        <f>VLOOKUP(Table2[[#This Row],[Home/Neutral]],division_lookup,9,FALSE)</f>
        <v>P</v>
      </c>
      <c r="AD930" s="19"/>
      <c r="AE930" s="19" t="str">
        <f>IF(Table2[[#This Row],[Total EV ®]]&lt;Table2[[#This Row],[Total (V)]],"UNDER","OVER")</f>
        <v>OVER</v>
      </c>
      <c r="AF930" s="30">
        <f>Table2[[#This Row],[(A) Spread]]-Table2[[#This Row],[Spread (V)]]</f>
        <v>0</v>
      </c>
      <c r="AG930" s="19"/>
      <c r="AH930" s="2">
        <f>Table2[[#This Row],[EV]]-Table2[[#This Row],[Spread (V)]]</f>
        <v>-5.2058656616427328</v>
      </c>
      <c r="AI930" s="22">
        <f>Table2[[#This Row],[(A)]]-Table2[[#This Row],[Spread]]</f>
        <v>-8.0151184834123299</v>
      </c>
      <c r="AJ930" s="1">
        <f>Table2[[#This Row],[(A) Err]]^2</f>
        <v>64.24212430313797</v>
      </c>
      <c r="AK930" s="6">
        <f>Table2[[#This Row],[EV]]-Table2[[#This Row],[Spread]]</f>
        <v>-5.2058656616427328</v>
      </c>
      <c r="AL930" s="1">
        <f>Table2[[#This Row],[EV Err]]^2</f>
        <v>27.101037287070927</v>
      </c>
    </row>
    <row r="931" spans="1:38" x14ac:dyDescent="0.25">
      <c r="A931" t="s">
        <v>166</v>
      </c>
      <c r="B931" t="s">
        <v>31</v>
      </c>
      <c r="C931" t="s">
        <v>10</v>
      </c>
      <c r="K931" s="25">
        <f>(Table2[[#This Row],[Home Pace]]/100)*(VLOOKUP(Table2[[#This Row],[Home/Neutral]],home_lookup,8,FALSE)+VLOOKUP(Table2[[#This Row],[Home/Neutral]],OFR_lookup,2,FALSE)+VLOOKUP(Table2[[#This Row],[Visitor/Neutral]],def_diff_lookup,6,FALSE))</f>
        <v>111.85897430217889</v>
      </c>
      <c r="L931" s="25"/>
      <c r="M931" s="25">
        <f>(Table2[[#This Row],[Away Pace]]/100)*(VLOOKUP(Table2[[#This Row],[Visitor/Neutral]],OFR_lookup,2,FALSE)+VLOOKUP(Table2[[#This Row],[Home/Neutral]],def_diff_lookup,6,FALSE))</f>
        <v>121.44390866666666</v>
      </c>
      <c r="N931" s="25"/>
      <c r="O931" s="25"/>
      <c r="P931">
        <f>VLOOKUP(Table2[[#This Row],[Home/Neutral]],pace_lookup,7,FALSE)</f>
        <v>96</v>
      </c>
      <c r="Q931" s="5">
        <f>VLOOKUP(Table2[[#This Row],[Visitor/Neutral]],pace_lookup,7,FALSE)</f>
        <v>100.3</v>
      </c>
      <c r="R931" s="9"/>
      <c r="V931" s="2">
        <f>-home-VLOOKUP(Table2[[#This Row],[Home/Neutral]],rtg_vlookup,4,FALSE)+VLOOKUP(Table2[[#This Row],[Visitor/Neutral]],rtg_vlookup,4,FALSE)</f>
        <v>7.9948815165876699</v>
      </c>
      <c r="W931" s="25"/>
      <c r="X931" s="2"/>
      <c r="Y931" s="2">
        <f>Table2[[#This Row],[Away EV]]-Table2[[#This Row],[Home EV]]</f>
        <v>9.5849343644877649</v>
      </c>
      <c r="Z931" s="33"/>
      <c r="AA931" s="34"/>
      <c r="AB931" s="5" t="b">
        <f>IF(VLOOKUP(Table2[[#This Row],[Home/Neutral]],division_lookup,9,FALSE)=VLOOKUP(Table2[[#This Row],[Visitor/Neutral]],division_lookup,9,FALSE),TRUE,FALSE)</f>
        <v>0</v>
      </c>
      <c r="AC931" s="19" t="str">
        <f>VLOOKUP(Table2[[#This Row],[Home/Neutral]],division_lookup,9,FALSE)</f>
        <v>A</v>
      </c>
      <c r="AD931" s="19"/>
      <c r="AE931" s="19" t="str">
        <f>IF(Table2[[#This Row],[Total EV ®]]&lt;Table2[[#This Row],[Total (V)]],"UNDER","OVER")</f>
        <v>OVER</v>
      </c>
      <c r="AF931" s="30">
        <f>Table2[[#This Row],[(A) Spread]]-Table2[[#This Row],[Spread (V)]]</f>
        <v>0</v>
      </c>
      <c r="AG931" s="19"/>
      <c r="AH931" s="2">
        <f>Table2[[#This Row],[EV]]-Table2[[#This Row],[Spread (V)]]</f>
        <v>9.5849343644877649</v>
      </c>
      <c r="AI931" s="22">
        <f>Table2[[#This Row],[(A)]]-Table2[[#This Row],[Spread]]</f>
        <v>7.9948815165876699</v>
      </c>
      <c r="AJ931" s="1">
        <f>Table2[[#This Row],[(A) Err]]^2</f>
        <v>63.918130464275158</v>
      </c>
      <c r="AK931" s="6">
        <f>Table2[[#This Row],[EV]]-Table2[[#This Row],[Spread]]</f>
        <v>9.5849343644877649</v>
      </c>
      <c r="AL931" s="1">
        <f>Table2[[#This Row],[EV Err]]^2</f>
        <v>91.870966771538477</v>
      </c>
    </row>
    <row r="932" spans="1:38" x14ac:dyDescent="0.25">
      <c r="A932" t="s">
        <v>166</v>
      </c>
      <c r="B932" t="s">
        <v>36</v>
      </c>
      <c r="C932" t="s">
        <v>26</v>
      </c>
      <c r="K932" s="25">
        <f>(Table2[[#This Row],[Home Pace]]/100)*(VLOOKUP(Table2[[#This Row],[Home/Neutral]],home_lookup,8,FALSE)+VLOOKUP(Table2[[#This Row],[Home/Neutral]],OFR_lookup,2,FALSE)+VLOOKUP(Table2[[#This Row],[Visitor/Neutral]],def_diff_lookup,6,FALSE))</f>
        <v>109.27089156604043</v>
      </c>
      <c r="L932" s="25"/>
      <c r="M932" s="25">
        <f>(Table2[[#This Row],[Away Pace]]/100)*(VLOOKUP(Table2[[#This Row],[Visitor/Neutral]],OFR_lookup,2,FALSE)+VLOOKUP(Table2[[#This Row],[Home/Neutral]],def_diff_lookup,6,FALSE))</f>
        <v>106.26304</v>
      </c>
      <c r="N932" s="25"/>
      <c r="O932" s="25"/>
      <c r="P932">
        <f>VLOOKUP(Table2[[#This Row],[Home/Neutral]],pace_lookup,7,FALSE)</f>
        <v>102.2</v>
      </c>
      <c r="Q932" s="5">
        <f>VLOOKUP(Table2[[#This Row],[Visitor/Neutral]],pace_lookup,7,FALSE)</f>
        <v>96</v>
      </c>
      <c r="R932" s="9"/>
      <c r="V932" s="2">
        <f>-home-VLOOKUP(Table2[[#This Row],[Home/Neutral]],rtg_vlookup,4,FALSE)+VLOOKUP(Table2[[#This Row],[Visitor/Neutral]],rtg_vlookup,4,FALSE)</f>
        <v>3.2548815165876697</v>
      </c>
      <c r="W932" s="25"/>
      <c r="X932" s="2"/>
      <c r="Y932" s="2">
        <f>Table2[[#This Row],[Away EV]]-Table2[[#This Row],[Home EV]]</f>
        <v>-3.0078515660404292</v>
      </c>
      <c r="Z932" s="33"/>
      <c r="AA932" s="34"/>
      <c r="AB932" s="5" t="b">
        <f>IF(VLOOKUP(Table2[[#This Row],[Home/Neutral]],division_lookup,9,FALSE)=VLOOKUP(Table2[[#This Row],[Visitor/Neutral]],division_lookup,9,FALSE),TRUE,FALSE)</f>
        <v>0</v>
      </c>
      <c r="AC932" s="19" t="str">
        <f>VLOOKUP(Table2[[#This Row],[Home/Neutral]],division_lookup,9,FALSE)</f>
        <v>P</v>
      </c>
      <c r="AD932" s="19"/>
      <c r="AE932" s="19" t="str">
        <f>IF(Table2[[#This Row],[Total EV ®]]&lt;Table2[[#This Row],[Total (V)]],"UNDER","OVER")</f>
        <v>OVER</v>
      </c>
      <c r="AF932" s="30">
        <f>Table2[[#This Row],[(A) Spread]]-Table2[[#This Row],[Spread (V)]]</f>
        <v>0</v>
      </c>
      <c r="AG932" s="19"/>
      <c r="AH932" s="2">
        <f>Table2[[#This Row],[EV]]-Table2[[#This Row],[Spread (V)]]</f>
        <v>-3.0078515660404292</v>
      </c>
      <c r="AI932" s="22">
        <f>Table2[[#This Row],[(A)]]-Table2[[#This Row],[Spread]]</f>
        <v>3.2548815165876697</v>
      </c>
      <c r="AJ932" s="1">
        <f>Table2[[#This Row],[(A) Err]]^2</f>
        <v>10.594253687024048</v>
      </c>
      <c r="AK932" s="6">
        <f>Table2[[#This Row],[EV]]-Table2[[#This Row],[Spread]]</f>
        <v>-3.0078515660404292</v>
      </c>
      <c r="AL932" s="1">
        <f>Table2[[#This Row],[EV Err]]^2</f>
        <v>9.0471710433318631</v>
      </c>
    </row>
    <row r="933" spans="1:38" x14ac:dyDescent="0.25">
      <c r="A933" t="s">
        <v>166</v>
      </c>
      <c r="B933" t="s">
        <v>29</v>
      </c>
      <c r="C933" t="s">
        <v>20</v>
      </c>
      <c r="K933" s="25">
        <f>(Table2[[#This Row],[Home Pace]]/100)*(VLOOKUP(Table2[[#This Row],[Home/Neutral]],home_lookup,8,FALSE)+VLOOKUP(Table2[[#This Row],[Home/Neutral]],OFR_lookup,2,FALSE)+VLOOKUP(Table2[[#This Row],[Visitor/Neutral]],def_diff_lookup,6,FALSE))</f>
        <v>107.59160926898524</v>
      </c>
      <c r="L933" s="25"/>
      <c r="M933" s="25">
        <f>(Table2[[#This Row],[Away Pace]]/100)*(VLOOKUP(Table2[[#This Row],[Visitor/Neutral]],OFR_lookup,2,FALSE)+VLOOKUP(Table2[[#This Row],[Home/Neutral]],def_diff_lookup,6,FALSE))</f>
        <v>99.91788600000001</v>
      </c>
      <c r="N933" s="25"/>
      <c r="O933" s="25"/>
      <c r="P933">
        <f>VLOOKUP(Table2[[#This Row],[Home/Neutral]],pace_lookup,7,FALSE)</f>
        <v>93.8</v>
      </c>
      <c r="Q933" s="5">
        <f>VLOOKUP(Table2[[#This Row],[Visitor/Neutral]],pace_lookup,7,FALSE)</f>
        <v>90.9</v>
      </c>
      <c r="R933" s="9"/>
      <c r="V933" s="2">
        <f>-home-VLOOKUP(Table2[[#This Row],[Home/Neutral]],rtg_vlookup,4,FALSE)+VLOOKUP(Table2[[#This Row],[Visitor/Neutral]],rtg_vlookup,4,FALSE)</f>
        <v>1.3048815165876693</v>
      </c>
      <c r="W933" s="25"/>
      <c r="X933" s="2"/>
      <c r="Y933" s="2">
        <f>Table2[[#This Row],[Away EV]]-Table2[[#This Row],[Home EV]]</f>
        <v>-7.6737232689852277</v>
      </c>
      <c r="Z933" s="33"/>
      <c r="AA933" s="34"/>
      <c r="AB933" s="5" t="b">
        <f>IF(VLOOKUP(Table2[[#This Row],[Home/Neutral]],division_lookup,9,FALSE)=VLOOKUP(Table2[[#This Row],[Visitor/Neutral]],division_lookup,9,FALSE),TRUE,FALSE)</f>
        <v>0</v>
      </c>
      <c r="AC933" s="19" t="str">
        <f>VLOOKUP(Table2[[#This Row],[Home/Neutral]],division_lookup,9,FALSE)</f>
        <v>P</v>
      </c>
      <c r="AD933" s="19"/>
      <c r="AE933" s="19" t="str">
        <f>IF(Table2[[#This Row],[Total EV ®]]&lt;Table2[[#This Row],[Total (V)]],"UNDER","OVER")</f>
        <v>OVER</v>
      </c>
      <c r="AF933" s="30">
        <f>Table2[[#This Row],[(A) Spread]]-Table2[[#This Row],[Spread (V)]]</f>
        <v>0</v>
      </c>
      <c r="AG933" s="19"/>
      <c r="AH933" s="2">
        <f>Table2[[#This Row],[EV]]-Table2[[#This Row],[Spread (V)]]</f>
        <v>-7.6737232689852277</v>
      </c>
      <c r="AI933" s="22">
        <f>Table2[[#This Row],[(A)]]-Table2[[#This Row],[Spread]]</f>
        <v>1.3048815165876693</v>
      </c>
      <c r="AJ933" s="1">
        <f>Table2[[#This Row],[(A) Err]]^2</f>
        <v>1.7027157723321358</v>
      </c>
      <c r="AK933" s="6">
        <f>Table2[[#This Row],[EV]]-Table2[[#This Row],[Spread]]</f>
        <v>-7.6737232689852277</v>
      </c>
      <c r="AL933" s="1">
        <f>Table2[[#This Row],[EV Err]]^2</f>
        <v>58.886028808965328</v>
      </c>
    </row>
    <row r="934" spans="1:38" x14ac:dyDescent="0.25">
      <c r="A934" t="s">
        <v>166</v>
      </c>
      <c r="B934" t="s">
        <v>28</v>
      </c>
      <c r="C934" t="s">
        <v>38</v>
      </c>
      <c r="K934" s="25">
        <f>(Table2[[#This Row],[Home Pace]]/100)*(VLOOKUP(Table2[[#This Row],[Home/Neutral]],home_lookup,8,FALSE)+VLOOKUP(Table2[[#This Row],[Home/Neutral]],OFR_lookup,2,FALSE)+VLOOKUP(Table2[[#This Row],[Visitor/Neutral]],def_diff_lookup,6,FALSE))</f>
        <v>109.39397553204273</v>
      </c>
      <c r="L934" s="25"/>
      <c r="M934" s="25">
        <f>(Table2[[#This Row],[Away Pace]]/100)*(VLOOKUP(Table2[[#This Row],[Visitor/Neutral]],OFR_lookup,2,FALSE)+VLOOKUP(Table2[[#This Row],[Home/Neutral]],def_diff_lookup,6,FALSE))</f>
        <v>95.820868000000033</v>
      </c>
      <c r="N934" s="25"/>
      <c r="O934" s="25"/>
      <c r="P934">
        <f>VLOOKUP(Table2[[#This Row],[Home/Neutral]],pace_lookup,7,FALSE)</f>
        <v>96.3</v>
      </c>
      <c r="Q934" s="5">
        <f>VLOOKUP(Table2[[#This Row],[Visitor/Neutral]],pace_lookup,7,FALSE)</f>
        <v>94.2</v>
      </c>
      <c r="R934" s="9"/>
      <c r="V934" s="2">
        <f>-home-VLOOKUP(Table2[[#This Row],[Home/Neutral]],rtg_vlookup,4,FALSE)+VLOOKUP(Table2[[#This Row],[Visitor/Neutral]],rtg_vlookup,4,FALSE)</f>
        <v>-9.5051184834123301</v>
      </c>
      <c r="W934" s="25"/>
      <c r="X934" s="2"/>
      <c r="Y934" s="2">
        <f>Table2[[#This Row],[Away EV]]-Table2[[#This Row],[Home EV]]</f>
        <v>-13.573107532042698</v>
      </c>
      <c r="Z934" s="33"/>
      <c r="AA934" s="34"/>
      <c r="AB934" s="5" t="b">
        <f>IF(VLOOKUP(Table2[[#This Row],[Home/Neutral]],division_lookup,9,FALSE)=VLOOKUP(Table2[[#This Row],[Visitor/Neutral]],division_lookup,9,FALSE),TRUE,FALSE)</f>
        <v>1</v>
      </c>
      <c r="AC934" s="19" t="str">
        <f>VLOOKUP(Table2[[#This Row],[Home/Neutral]],division_lookup,9,FALSE)</f>
        <v>SE</v>
      </c>
      <c r="AD934" s="19"/>
      <c r="AE934" s="19" t="str">
        <f>IF(Table2[[#This Row],[Total EV ®]]&lt;Table2[[#This Row],[Total (V)]],"UNDER","OVER")</f>
        <v>OVER</v>
      </c>
      <c r="AF934" s="30">
        <f>Table2[[#This Row],[(A) Spread]]-Table2[[#This Row],[Spread (V)]]</f>
        <v>0</v>
      </c>
      <c r="AG934" s="19"/>
      <c r="AH934" s="2">
        <f>Table2[[#This Row],[EV]]-Table2[[#This Row],[Spread (V)]]</f>
        <v>-13.573107532042698</v>
      </c>
      <c r="AI934" s="22">
        <f>Table2[[#This Row],[(A)]]-Table2[[#This Row],[Spread]]</f>
        <v>-9.5051184834123301</v>
      </c>
      <c r="AJ934" s="1">
        <f>Table2[[#This Row],[(A) Err]]^2</f>
        <v>90.347277383706711</v>
      </c>
      <c r="AK934" s="6">
        <f>Table2[[#This Row],[EV]]-Table2[[#This Row],[Spread]]</f>
        <v>-13.573107532042698</v>
      </c>
      <c r="AL934" s="1">
        <f>Table2[[#This Row],[EV Err]]^2</f>
        <v>184.22924807639421</v>
      </c>
    </row>
    <row r="935" spans="1:38" x14ac:dyDescent="0.25">
      <c r="A935" t="s">
        <v>167</v>
      </c>
      <c r="B935" t="s">
        <v>11</v>
      </c>
      <c r="C935" t="s">
        <v>10</v>
      </c>
      <c r="K935" s="25">
        <f>(Table2[[#This Row],[Home Pace]]/100)*(VLOOKUP(Table2[[#This Row],[Home/Neutral]],home_lookup,8,FALSE)+VLOOKUP(Table2[[#This Row],[Home/Neutral]],OFR_lookup,2,FALSE)+VLOOKUP(Table2[[#This Row],[Visitor/Neutral]],def_diff_lookup,6,FALSE))</f>
        <v>100.07566904407281</v>
      </c>
      <c r="L935" s="25"/>
      <c r="M935" s="25">
        <f>(Table2[[#This Row],[Away Pace]]/100)*(VLOOKUP(Table2[[#This Row],[Visitor/Neutral]],OFR_lookup,2,FALSE)+VLOOKUP(Table2[[#This Row],[Home/Neutral]],def_diff_lookup,6,FALSE))</f>
        <v>108.88634866666666</v>
      </c>
      <c r="N935" s="25"/>
      <c r="O935" s="25"/>
      <c r="P935">
        <f>VLOOKUP(Table2[[#This Row],[Home/Neutral]],pace_lookup,7,FALSE)</f>
        <v>99.7</v>
      </c>
      <c r="Q935" s="5">
        <f>VLOOKUP(Table2[[#This Row],[Visitor/Neutral]],pace_lookup,7,FALSE)</f>
        <v>100.3</v>
      </c>
      <c r="R935" s="9"/>
      <c r="V935" s="2">
        <f>-home-VLOOKUP(Table2[[#This Row],[Home/Neutral]],rtg_vlookup,4,FALSE)+VLOOKUP(Table2[[#This Row],[Visitor/Neutral]],rtg_vlookup,4,FALSE)</f>
        <v>-0.56511848341233062</v>
      </c>
      <c r="W935" s="25"/>
      <c r="X935" s="2"/>
      <c r="Y935" s="2">
        <f>Table2[[#This Row],[Away EV]]-Table2[[#This Row],[Home EV]]</f>
        <v>8.8106796225938524</v>
      </c>
      <c r="Z935" s="33"/>
      <c r="AA935" s="34"/>
      <c r="AB935" s="5" t="b">
        <f>IF(VLOOKUP(Table2[[#This Row],[Home/Neutral]],division_lookup,9,FALSE)=VLOOKUP(Table2[[#This Row],[Visitor/Neutral]],division_lookup,9,FALSE),TRUE,FALSE)</f>
        <v>0</v>
      </c>
      <c r="AC935" s="19" t="str">
        <f>VLOOKUP(Table2[[#This Row],[Home/Neutral]],division_lookup,9,FALSE)</f>
        <v>SE</v>
      </c>
      <c r="AD935" s="19"/>
      <c r="AE935" s="19" t="str">
        <f>IF(Table2[[#This Row],[Total EV ®]]&lt;Table2[[#This Row],[Total (V)]],"UNDER","OVER")</f>
        <v>OVER</v>
      </c>
      <c r="AF935" s="30">
        <f>Table2[[#This Row],[(A) Spread]]-Table2[[#This Row],[Spread (V)]]</f>
        <v>0</v>
      </c>
      <c r="AG935" s="19"/>
      <c r="AH935" s="2">
        <f>Table2[[#This Row],[EV]]-Table2[[#This Row],[Spread (V)]]</f>
        <v>8.8106796225938524</v>
      </c>
      <c r="AI935" s="22">
        <f>Table2[[#This Row],[(A)]]-Table2[[#This Row],[Spread]]</f>
        <v>-0.56511848341233062</v>
      </c>
      <c r="AJ935" s="1">
        <f>Table2[[#This Row],[(A) Err]]^2</f>
        <v>0.31935890029425262</v>
      </c>
      <c r="AK935" s="6">
        <f>Table2[[#This Row],[EV]]-Table2[[#This Row],[Spread]]</f>
        <v>8.8106796225938524</v>
      </c>
      <c r="AL935" s="1">
        <f>Table2[[#This Row],[EV Err]]^2</f>
        <v>77.628075411990551</v>
      </c>
    </row>
    <row r="936" spans="1:38" x14ac:dyDescent="0.25">
      <c r="A936" t="s">
        <v>167</v>
      </c>
      <c r="B936" t="s">
        <v>16</v>
      </c>
      <c r="C936" t="s">
        <v>33</v>
      </c>
      <c r="K936" s="25">
        <f>(Table2[[#This Row],[Home Pace]]/100)*(VLOOKUP(Table2[[#This Row],[Home/Neutral]],home_lookup,8,FALSE)+VLOOKUP(Table2[[#This Row],[Home/Neutral]],OFR_lookup,2,FALSE)+VLOOKUP(Table2[[#This Row],[Visitor/Neutral]],def_diff_lookup,6,FALSE))</f>
        <v>106.13210601115951</v>
      </c>
      <c r="L936" s="25"/>
      <c r="M936" s="25">
        <f>(Table2[[#This Row],[Away Pace]]/100)*(VLOOKUP(Table2[[#This Row],[Visitor/Neutral]],OFR_lookup,2,FALSE)+VLOOKUP(Table2[[#This Row],[Home/Neutral]],def_diff_lookup,6,FALSE))</f>
        <v>99.948614666666671</v>
      </c>
      <c r="N936" s="25"/>
      <c r="O936" s="25"/>
      <c r="P936">
        <f>VLOOKUP(Table2[[#This Row],[Home/Neutral]],pace_lookup,7,FALSE)</f>
        <v>97.5</v>
      </c>
      <c r="Q936" s="5">
        <f>VLOOKUP(Table2[[#This Row],[Visitor/Neutral]],pace_lookup,7,FALSE)</f>
        <v>98.2</v>
      </c>
      <c r="R936" s="9"/>
      <c r="V936" s="2">
        <f>-home-VLOOKUP(Table2[[#This Row],[Home/Neutral]],rtg_vlookup,4,FALSE)+VLOOKUP(Table2[[#This Row],[Visitor/Neutral]],rtg_vlookup,4,FALSE)</f>
        <v>-10.58511848341233</v>
      </c>
      <c r="W936" s="25"/>
      <c r="X936" s="2"/>
      <c r="Y936" s="2">
        <f>Table2[[#This Row],[Away EV]]-Table2[[#This Row],[Home EV]]</f>
        <v>-6.1834913444928361</v>
      </c>
      <c r="Z936" s="33"/>
      <c r="AA936" s="34"/>
      <c r="AB936" s="5" t="b">
        <f>IF(VLOOKUP(Table2[[#This Row],[Home/Neutral]],division_lookup,9,FALSE)=VLOOKUP(Table2[[#This Row],[Visitor/Neutral]],division_lookup,9,FALSE),TRUE,FALSE)</f>
        <v>0</v>
      </c>
      <c r="AC936" s="19" t="str">
        <f>VLOOKUP(Table2[[#This Row],[Home/Neutral]],division_lookup,9,FALSE)</f>
        <v>SE</v>
      </c>
      <c r="AD936" s="19"/>
      <c r="AE936" s="19" t="str">
        <f>IF(Table2[[#This Row],[Total EV ®]]&lt;Table2[[#This Row],[Total (V)]],"UNDER","OVER")</f>
        <v>OVER</v>
      </c>
      <c r="AF936" s="30">
        <f>Table2[[#This Row],[(A) Spread]]-Table2[[#This Row],[Spread (V)]]</f>
        <v>0</v>
      </c>
      <c r="AG936" s="19"/>
      <c r="AH936" s="2">
        <f>Table2[[#This Row],[EV]]-Table2[[#This Row],[Spread (V)]]</f>
        <v>-6.1834913444928361</v>
      </c>
      <c r="AI936" s="22">
        <f>Table2[[#This Row],[(A)]]-Table2[[#This Row],[Spread]]</f>
        <v>-10.58511848341233</v>
      </c>
      <c r="AJ936" s="1">
        <f>Table2[[#This Row],[(A) Err]]^2</f>
        <v>112.04473330787735</v>
      </c>
      <c r="AK936" s="6">
        <f>Table2[[#This Row],[EV]]-Table2[[#This Row],[Spread]]</f>
        <v>-6.1834913444928361</v>
      </c>
      <c r="AL936" s="1">
        <f>Table2[[#This Row],[EV Err]]^2</f>
        <v>38.235565207417821</v>
      </c>
    </row>
    <row r="937" spans="1:38" x14ac:dyDescent="0.25">
      <c r="A937" t="s">
        <v>167</v>
      </c>
      <c r="B937" t="s">
        <v>8</v>
      </c>
      <c r="C937" t="s">
        <v>21</v>
      </c>
      <c r="K937" s="25">
        <f>(Table2[[#This Row],[Home Pace]]/100)*(VLOOKUP(Table2[[#This Row],[Home/Neutral]],home_lookup,8,FALSE)+VLOOKUP(Table2[[#This Row],[Home/Neutral]],OFR_lookup,2,FALSE)+VLOOKUP(Table2[[#This Row],[Visitor/Neutral]],def_diff_lookup,6,FALSE))</f>
        <v>101.12226036898181</v>
      </c>
      <c r="L937" s="25"/>
      <c r="M937" s="25">
        <f>(Table2[[#This Row],[Away Pace]]/100)*(VLOOKUP(Table2[[#This Row],[Visitor/Neutral]],OFR_lookup,2,FALSE)+VLOOKUP(Table2[[#This Row],[Home/Neutral]],def_diff_lookup,6,FALSE))</f>
        <v>94.662208000000021</v>
      </c>
      <c r="N937" s="25"/>
      <c r="O937" s="25"/>
      <c r="P937">
        <f>VLOOKUP(Table2[[#This Row],[Home/Neutral]],pace_lookup,7,FALSE)</f>
        <v>97.2</v>
      </c>
      <c r="Q937" s="5">
        <f>VLOOKUP(Table2[[#This Row],[Visitor/Neutral]],pace_lookup,7,FALSE)</f>
        <v>94.2</v>
      </c>
      <c r="R937" s="9"/>
      <c r="V937" s="2">
        <f>-home-VLOOKUP(Table2[[#This Row],[Home/Neutral]],rtg_vlookup,4,FALSE)+VLOOKUP(Table2[[#This Row],[Visitor/Neutral]],rtg_vlookup,4,FALSE)</f>
        <v>-9.6751184834123301</v>
      </c>
      <c r="W937" s="25"/>
      <c r="X937" s="2"/>
      <c r="Y937" s="2">
        <f>Table2[[#This Row],[Away EV]]-Table2[[#This Row],[Home EV]]</f>
        <v>-6.4600523689817919</v>
      </c>
      <c r="Z937" s="33"/>
      <c r="AA937" s="34"/>
      <c r="AB937" s="5" t="b">
        <f>IF(VLOOKUP(Table2[[#This Row],[Home/Neutral]],division_lookup,9,FALSE)=VLOOKUP(Table2[[#This Row],[Visitor/Neutral]],division_lookup,9,FALSE),TRUE,FALSE)</f>
        <v>0</v>
      </c>
      <c r="AC937" s="19" t="str">
        <f>VLOOKUP(Table2[[#This Row],[Home/Neutral]],division_lookup,9,FALSE)</f>
        <v>C</v>
      </c>
      <c r="AD937" s="19"/>
      <c r="AE937" s="19" t="str">
        <f>IF(Table2[[#This Row],[Total EV ®]]&lt;Table2[[#This Row],[Total (V)]],"UNDER","OVER")</f>
        <v>OVER</v>
      </c>
      <c r="AF937" s="30">
        <f>Table2[[#This Row],[(A) Spread]]-Table2[[#This Row],[Spread (V)]]</f>
        <v>0</v>
      </c>
      <c r="AG937" s="19"/>
      <c r="AH937" s="2">
        <f>Table2[[#This Row],[EV]]-Table2[[#This Row],[Spread (V)]]</f>
        <v>-6.4600523689817919</v>
      </c>
      <c r="AI937" s="22">
        <f>Table2[[#This Row],[(A)]]-Table2[[#This Row],[Spread]]</f>
        <v>-9.6751184834123301</v>
      </c>
      <c r="AJ937" s="1">
        <f>Table2[[#This Row],[(A) Err]]^2</f>
        <v>93.607917668066904</v>
      </c>
      <c r="AK937" s="6">
        <f>Table2[[#This Row],[EV]]-Table2[[#This Row],[Spread]]</f>
        <v>-6.4600523689817919</v>
      </c>
      <c r="AL937" s="1">
        <f>Table2[[#This Row],[EV Err]]^2</f>
        <v>41.73227660998726</v>
      </c>
    </row>
    <row r="938" spans="1:38" x14ac:dyDescent="0.25">
      <c r="A938" t="s">
        <v>167</v>
      </c>
      <c r="B938" t="s">
        <v>27</v>
      </c>
      <c r="C938" t="s">
        <v>29</v>
      </c>
      <c r="K938" s="25">
        <f>(Table2[[#This Row],[Home Pace]]/100)*(VLOOKUP(Table2[[#This Row],[Home/Neutral]],home_lookup,8,FALSE)+VLOOKUP(Table2[[#This Row],[Home/Neutral]],OFR_lookup,2,FALSE)+VLOOKUP(Table2[[#This Row],[Visitor/Neutral]],def_diff_lookup,6,FALSE))</f>
        <v>107.84205642647257</v>
      </c>
      <c r="L938" s="25"/>
      <c r="M938" s="25">
        <f>(Table2[[#This Row],[Away Pace]]/100)*(VLOOKUP(Table2[[#This Row],[Visitor/Neutral]],OFR_lookup,2,FALSE)+VLOOKUP(Table2[[#This Row],[Home/Neutral]],def_diff_lookup,6,FALSE))</f>
        <v>100.30096533333334</v>
      </c>
      <c r="N938" s="25"/>
      <c r="O938" s="25"/>
      <c r="P938">
        <f>VLOOKUP(Table2[[#This Row],[Home/Neutral]],pace_lookup,7,FALSE)</f>
        <v>99</v>
      </c>
      <c r="Q938" s="5">
        <f>VLOOKUP(Table2[[#This Row],[Visitor/Neutral]],pace_lookup,7,FALSE)</f>
        <v>93.8</v>
      </c>
      <c r="R938" s="9"/>
      <c r="V938" s="2">
        <f>-home-VLOOKUP(Table2[[#This Row],[Home/Neutral]],rtg_vlookup,4,FALSE)+VLOOKUP(Table2[[#This Row],[Visitor/Neutral]],rtg_vlookup,4,FALSE)</f>
        <v>-4.4251184834123309</v>
      </c>
      <c r="W938" s="25"/>
      <c r="X938" s="2"/>
      <c r="Y938" s="2">
        <f>Table2[[#This Row],[Away EV]]-Table2[[#This Row],[Home EV]]</f>
        <v>-7.5410910931392294</v>
      </c>
      <c r="Z938" s="33"/>
      <c r="AA938" s="34"/>
      <c r="AB938" s="5" t="b">
        <f>IF(VLOOKUP(Table2[[#This Row],[Home/Neutral]],division_lookup,9,FALSE)=VLOOKUP(Table2[[#This Row],[Visitor/Neutral]],division_lookup,9,FALSE),TRUE,FALSE)</f>
        <v>0</v>
      </c>
      <c r="AC938" s="19" t="str">
        <f>VLOOKUP(Table2[[#This Row],[Home/Neutral]],division_lookup,9,FALSE)</f>
        <v>NW</v>
      </c>
      <c r="AD938" s="19"/>
      <c r="AE938" s="19" t="str">
        <f>IF(Table2[[#This Row],[Total EV ®]]&lt;Table2[[#This Row],[Total (V)]],"UNDER","OVER")</f>
        <v>OVER</v>
      </c>
      <c r="AF938" s="30">
        <f>Table2[[#This Row],[(A) Spread]]-Table2[[#This Row],[Spread (V)]]</f>
        <v>0</v>
      </c>
      <c r="AG938" s="19"/>
      <c r="AH938" s="2">
        <f>Table2[[#This Row],[EV]]-Table2[[#This Row],[Spread (V)]]</f>
        <v>-7.5410910931392294</v>
      </c>
      <c r="AI938" s="22">
        <f>Table2[[#This Row],[(A)]]-Table2[[#This Row],[Spread]]</f>
        <v>-4.4251184834123309</v>
      </c>
      <c r="AJ938" s="1">
        <f>Table2[[#This Row],[(A) Err]]^2</f>
        <v>19.581673592237447</v>
      </c>
      <c r="AK938" s="6">
        <f>Table2[[#This Row],[EV]]-Table2[[#This Row],[Spread]]</f>
        <v>-7.5410910931392294</v>
      </c>
      <c r="AL938" s="1">
        <f>Table2[[#This Row],[EV Err]]^2</f>
        <v>56.868054875023816</v>
      </c>
    </row>
    <row r="939" spans="1:38" x14ac:dyDescent="0.25">
      <c r="A939" t="s">
        <v>167</v>
      </c>
      <c r="B939" t="s">
        <v>25</v>
      </c>
      <c r="C939" t="s">
        <v>13</v>
      </c>
      <c r="K939" s="25">
        <f>(Table2[[#This Row],[Home Pace]]/100)*(VLOOKUP(Table2[[#This Row],[Home/Neutral]],home_lookup,8,FALSE)+VLOOKUP(Table2[[#This Row],[Home/Neutral]],OFR_lookup,2,FALSE)+VLOOKUP(Table2[[#This Row],[Visitor/Neutral]],def_diff_lookup,6,FALSE))</f>
        <v>102.62078444427257</v>
      </c>
      <c r="L939" s="25"/>
      <c r="M939" s="25">
        <f>(Table2[[#This Row],[Away Pace]]/100)*(VLOOKUP(Table2[[#This Row],[Visitor/Neutral]],OFR_lookup,2,FALSE)+VLOOKUP(Table2[[#This Row],[Home/Neutral]],def_diff_lookup,6,FALSE))</f>
        <v>101.65428000000001</v>
      </c>
      <c r="N939" s="25"/>
      <c r="O939" s="25"/>
      <c r="P939">
        <f>VLOOKUP(Table2[[#This Row],[Home/Neutral]],pace_lookup,7,FALSE)</f>
        <v>94.4</v>
      </c>
      <c r="Q939" s="5">
        <f>VLOOKUP(Table2[[#This Row],[Visitor/Neutral]],pace_lookup,7,FALSE)</f>
        <v>94.5</v>
      </c>
      <c r="R939" s="9"/>
      <c r="V939" s="2">
        <f>-home-VLOOKUP(Table2[[#This Row],[Home/Neutral]],rtg_vlookup,4,FALSE)+VLOOKUP(Table2[[#This Row],[Visitor/Neutral]],rtg_vlookup,4,FALSE)</f>
        <v>2.9248815165876687</v>
      </c>
      <c r="W939" s="25"/>
      <c r="X939" s="2"/>
      <c r="Y939" s="2">
        <f>Table2[[#This Row],[Away EV]]-Table2[[#This Row],[Home EV]]</f>
        <v>-0.96650444427255877</v>
      </c>
      <c r="Z939" s="33"/>
      <c r="AA939" s="34"/>
      <c r="AB939" s="5" t="b">
        <f>IF(VLOOKUP(Table2[[#This Row],[Home/Neutral]],division_lookup,9,FALSE)=VLOOKUP(Table2[[#This Row],[Visitor/Neutral]],division_lookup,9,FALSE),TRUE,FALSE)</f>
        <v>1</v>
      </c>
      <c r="AC939" s="19" t="str">
        <f>VLOOKUP(Table2[[#This Row],[Home/Neutral]],division_lookup,9,FALSE)</f>
        <v>C</v>
      </c>
      <c r="AD939" s="19"/>
      <c r="AE939" s="19" t="str">
        <f>IF(Table2[[#This Row],[Total EV ®]]&lt;Table2[[#This Row],[Total (V)]],"UNDER","OVER")</f>
        <v>OVER</v>
      </c>
      <c r="AF939" s="30">
        <f>Table2[[#This Row],[(A) Spread]]-Table2[[#This Row],[Spread (V)]]</f>
        <v>0</v>
      </c>
      <c r="AG939" s="19"/>
      <c r="AH939" s="2">
        <f>Table2[[#This Row],[EV]]-Table2[[#This Row],[Spread (V)]]</f>
        <v>-0.96650444427255877</v>
      </c>
      <c r="AI939" s="22">
        <f>Table2[[#This Row],[(A)]]-Table2[[#This Row],[Spread]]</f>
        <v>2.9248815165876687</v>
      </c>
      <c r="AJ939" s="1">
        <f>Table2[[#This Row],[(A) Err]]^2</f>
        <v>8.5549318860761812</v>
      </c>
      <c r="AK939" s="6">
        <f>Table2[[#This Row],[EV]]-Table2[[#This Row],[Spread]]</f>
        <v>-0.96650444427255877</v>
      </c>
      <c r="AL939" s="1">
        <f>Table2[[#This Row],[EV Err]]^2</f>
        <v>0.93413084079860764</v>
      </c>
    </row>
    <row r="940" spans="1:38" x14ac:dyDescent="0.25">
      <c r="A940" t="s">
        <v>167</v>
      </c>
      <c r="B940" t="s">
        <v>4</v>
      </c>
      <c r="C940" t="s">
        <v>26</v>
      </c>
      <c r="K940" s="25">
        <f>(Table2[[#This Row],[Home Pace]]/100)*(VLOOKUP(Table2[[#This Row],[Home/Neutral]],home_lookup,8,FALSE)+VLOOKUP(Table2[[#This Row],[Home/Neutral]],OFR_lookup,2,FALSE)+VLOOKUP(Table2[[#This Row],[Visitor/Neutral]],def_diff_lookup,6,FALSE))</f>
        <v>104.00124781393446</v>
      </c>
      <c r="L940" s="25"/>
      <c r="M940" s="25">
        <f>(Table2[[#This Row],[Away Pace]]/100)*(VLOOKUP(Table2[[#This Row],[Visitor/Neutral]],OFR_lookup,2,FALSE)+VLOOKUP(Table2[[#This Row],[Home/Neutral]],def_diff_lookup,6,FALSE))</f>
        <v>97.680640000000011</v>
      </c>
      <c r="N940" s="25"/>
      <c r="O940" s="25"/>
      <c r="P940">
        <f>VLOOKUP(Table2[[#This Row],[Home/Neutral]],pace_lookup,7,FALSE)</f>
        <v>96.6</v>
      </c>
      <c r="Q940" s="5">
        <f>VLOOKUP(Table2[[#This Row],[Visitor/Neutral]],pace_lookup,7,FALSE)</f>
        <v>96</v>
      </c>
      <c r="R940" s="9"/>
      <c r="V940" s="2">
        <f>-home-VLOOKUP(Table2[[#This Row],[Home/Neutral]],rtg_vlookup,4,FALSE)+VLOOKUP(Table2[[#This Row],[Visitor/Neutral]],rtg_vlookup,4,FALSE)</f>
        <v>-17.58511848341233</v>
      </c>
      <c r="W940" s="25"/>
      <c r="X940" s="2"/>
      <c r="Y940" s="2">
        <f>Table2[[#This Row],[Away EV]]-Table2[[#This Row],[Home EV]]</f>
        <v>-6.3206078139344442</v>
      </c>
      <c r="Z940" s="33"/>
      <c r="AA940" s="34"/>
      <c r="AB940" s="5" t="b">
        <f>IF(VLOOKUP(Table2[[#This Row],[Home/Neutral]],division_lookup,9,FALSE)=VLOOKUP(Table2[[#This Row],[Visitor/Neutral]],division_lookup,9,FALSE),TRUE,FALSE)</f>
        <v>0</v>
      </c>
      <c r="AC940" s="19" t="str">
        <f>VLOOKUP(Table2[[#This Row],[Home/Neutral]],division_lookup,9,FALSE)</f>
        <v>P</v>
      </c>
      <c r="AD940" s="19"/>
      <c r="AE940" s="19" t="str">
        <f>IF(Table2[[#This Row],[Total EV ®]]&lt;Table2[[#This Row],[Total (V)]],"UNDER","OVER")</f>
        <v>OVER</v>
      </c>
      <c r="AF940" s="30">
        <f>Table2[[#This Row],[(A) Spread]]-Table2[[#This Row],[Spread (V)]]</f>
        <v>0</v>
      </c>
      <c r="AG940" s="19"/>
      <c r="AH940" s="2">
        <f>Table2[[#This Row],[EV]]-Table2[[#This Row],[Spread (V)]]</f>
        <v>-6.3206078139344442</v>
      </c>
      <c r="AI940" s="22">
        <f>Table2[[#This Row],[(A)]]-Table2[[#This Row],[Spread]]</f>
        <v>-17.58511848341233</v>
      </c>
      <c r="AJ940" s="1">
        <f>Table2[[#This Row],[(A) Err]]^2</f>
        <v>309.23639207564997</v>
      </c>
      <c r="AK940" s="6">
        <f>Table2[[#This Row],[EV]]-Table2[[#This Row],[Spread]]</f>
        <v>-6.3206078139344442</v>
      </c>
      <c r="AL940" s="1">
        <f>Table2[[#This Row],[EV Err]]^2</f>
        <v>39.950083137569152</v>
      </c>
    </row>
    <row r="941" spans="1:38" x14ac:dyDescent="0.25">
      <c r="A941" t="s">
        <v>167</v>
      </c>
      <c r="B941" t="s">
        <v>23</v>
      </c>
      <c r="C941" t="s">
        <v>35</v>
      </c>
      <c r="K941" s="25">
        <f>(Table2[[#This Row],[Home Pace]]/100)*(VLOOKUP(Table2[[#This Row],[Home/Neutral]],home_lookup,8,FALSE)+VLOOKUP(Table2[[#This Row],[Home/Neutral]],OFR_lookup,2,FALSE)+VLOOKUP(Table2[[#This Row],[Visitor/Neutral]],def_diff_lookup,6,FALSE))</f>
        <v>105.23663735871358</v>
      </c>
      <c r="L941" s="25"/>
      <c r="M941" s="25">
        <f>(Table2[[#This Row],[Away Pace]]/100)*(VLOOKUP(Table2[[#This Row],[Visitor/Neutral]],OFR_lookup,2,FALSE)+VLOOKUP(Table2[[#This Row],[Home/Neutral]],def_diff_lookup,6,FALSE))</f>
        <v>101.37286133333336</v>
      </c>
      <c r="N941" s="25"/>
      <c r="O941" s="25"/>
      <c r="P941">
        <f>VLOOKUP(Table2[[#This Row],[Home/Neutral]],pace_lookup,7,FALSE)</f>
        <v>92.5</v>
      </c>
      <c r="Q941" s="5">
        <f>VLOOKUP(Table2[[#This Row],[Visitor/Neutral]],pace_lookup,7,FALSE)</f>
        <v>102.2</v>
      </c>
      <c r="R941" s="9"/>
      <c r="V941" s="2">
        <f>-home-VLOOKUP(Table2[[#This Row],[Home/Neutral]],rtg_vlookup,4,FALSE)+VLOOKUP(Table2[[#This Row],[Visitor/Neutral]],rtg_vlookup,4,FALSE)</f>
        <v>-11.435118483412332</v>
      </c>
      <c r="W941" s="25"/>
      <c r="X941" s="2"/>
      <c r="Y941" s="2">
        <f>Table2[[#This Row],[Away EV]]-Table2[[#This Row],[Home EV]]</f>
        <v>-3.8637760253802185</v>
      </c>
      <c r="Z941" s="33"/>
      <c r="AA941" s="34"/>
      <c r="AB941" s="5" t="b">
        <f>IF(VLOOKUP(Table2[[#This Row],[Home/Neutral]],division_lookup,9,FALSE)=VLOOKUP(Table2[[#This Row],[Visitor/Neutral]],division_lookup,9,FALSE),TRUE,FALSE)</f>
        <v>0</v>
      </c>
      <c r="AC941" s="19" t="str">
        <f>VLOOKUP(Table2[[#This Row],[Home/Neutral]],division_lookup,9,FALSE)</f>
        <v>SW</v>
      </c>
      <c r="AD941" s="19"/>
      <c r="AE941" s="19" t="str">
        <f>IF(Table2[[#This Row],[Total EV ®]]&lt;Table2[[#This Row],[Total (V)]],"UNDER","OVER")</f>
        <v>OVER</v>
      </c>
      <c r="AF941" s="30">
        <f>Table2[[#This Row],[(A) Spread]]-Table2[[#This Row],[Spread (V)]]</f>
        <v>0</v>
      </c>
      <c r="AG941" s="19"/>
      <c r="AH941" s="2">
        <f>Table2[[#This Row],[EV]]-Table2[[#This Row],[Spread (V)]]</f>
        <v>-3.8637760253802185</v>
      </c>
      <c r="AI941" s="22">
        <f>Table2[[#This Row],[(A)]]-Table2[[#This Row],[Spread]]</f>
        <v>-11.435118483412332</v>
      </c>
      <c r="AJ941" s="1">
        <f>Table2[[#This Row],[(A) Err]]^2</f>
        <v>130.76193472967833</v>
      </c>
      <c r="AK941" s="6">
        <f>Table2[[#This Row],[EV]]-Table2[[#This Row],[Spread]]</f>
        <v>-3.8637760253802185</v>
      </c>
      <c r="AL941" s="1">
        <f>Table2[[#This Row],[EV Err]]^2</f>
        <v>14.928765174302958</v>
      </c>
    </row>
    <row r="942" spans="1:38" x14ac:dyDescent="0.25">
      <c r="A942" t="s">
        <v>167</v>
      </c>
      <c r="B942" t="s">
        <v>22</v>
      </c>
      <c r="C942" t="s">
        <v>32</v>
      </c>
      <c r="K942" s="25">
        <f>(Table2[[#This Row],[Home Pace]]/100)*(VLOOKUP(Table2[[#This Row],[Home/Neutral]],home_lookup,8,FALSE)+VLOOKUP(Table2[[#This Row],[Home/Neutral]],OFR_lookup,2,FALSE)+VLOOKUP(Table2[[#This Row],[Visitor/Neutral]],def_diff_lookup,6,FALSE))</f>
        <v>115.71722922968976</v>
      </c>
      <c r="L942" s="25"/>
      <c r="M942" s="25">
        <f>(Table2[[#This Row],[Away Pace]]/100)*(VLOOKUP(Table2[[#This Row],[Visitor/Neutral]],OFR_lookup,2,FALSE)+VLOOKUP(Table2[[#This Row],[Home/Neutral]],def_diff_lookup,6,FALSE))</f>
        <v>110.93551733333335</v>
      </c>
      <c r="N942" s="25"/>
      <c r="O942" s="25"/>
      <c r="P942">
        <f>VLOOKUP(Table2[[#This Row],[Home/Neutral]],pace_lookup,7,FALSE)</f>
        <v>94.7</v>
      </c>
      <c r="Q942" s="5">
        <f>VLOOKUP(Table2[[#This Row],[Visitor/Neutral]],pace_lookup,7,FALSE)</f>
        <v>98.6</v>
      </c>
      <c r="R942" s="9"/>
      <c r="V942" s="2">
        <f>-home-VLOOKUP(Table2[[#This Row],[Home/Neutral]],rtg_vlookup,4,FALSE)+VLOOKUP(Table2[[#This Row],[Visitor/Neutral]],rtg_vlookup,4,FALSE)</f>
        <v>-6.5151184834123308</v>
      </c>
      <c r="W942" s="25"/>
      <c r="X942" s="2"/>
      <c r="Y942" s="2">
        <f>Table2[[#This Row],[Away EV]]-Table2[[#This Row],[Home EV]]</f>
        <v>-4.7817118963564127</v>
      </c>
      <c r="Z942" s="33"/>
      <c r="AA942" s="34"/>
      <c r="AB942" s="5" t="b">
        <f>IF(VLOOKUP(Table2[[#This Row],[Home/Neutral]],division_lookup,9,FALSE)=VLOOKUP(Table2[[#This Row],[Visitor/Neutral]],division_lookup,9,FALSE),TRUE,FALSE)</f>
        <v>1</v>
      </c>
      <c r="AC942" s="19" t="str">
        <f>VLOOKUP(Table2[[#This Row],[Home/Neutral]],division_lookup,9,FALSE)</f>
        <v>NW</v>
      </c>
      <c r="AD942" s="19"/>
      <c r="AE942" s="19" t="str">
        <f>IF(Table2[[#This Row],[Total EV ®]]&lt;Table2[[#This Row],[Total (V)]],"UNDER","OVER")</f>
        <v>OVER</v>
      </c>
      <c r="AF942" s="30">
        <f>Table2[[#This Row],[(A) Spread]]-Table2[[#This Row],[Spread (V)]]</f>
        <v>0</v>
      </c>
      <c r="AG942" s="19"/>
      <c r="AH942" s="2">
        <f>Table2[[#This Row],[EV]]-Table2[[#This Row],[Spread (V)]]</f>
        <v>-4.7817118963564127</v>
      </c>
      <c r="AI942" s="22">
        <f>Table2[[#This Row],[(A)]]-Table2[[#This Row],[Spread]]</f>
        <v>-6.5151184834123308</v>
      </c>
      <c r="AJ942" s="1">
        <f>Table2[[#This Row],[(A) Err]]^2</f>
        <v>42.446768852900988</v>
      </c>
      <c r="AK942" s="6">
        <f>Table2[[#This Row],[EV]]-Table2[[#This Row],[Spread]]</f>
        <v>-4.7817118963564127</v>
      </c>
      <c r="AL942" s="1">
        <f>Table2[[#This Row],[EV Err]]^2</f>
        <v>22.864768659756439</v>
      </c>
    </row>
    <row r="943" spans="1:38" x14ac:dyDescent="0.25">
      <c r="A943" t="s">
        <v>167</v>
      </c>
      <c r="B943" t="s">
        <v>38</v>
      </c>
      <c r="C943" t="s">
        <v>31</v>
      </c>
      <c r="K943" s="25">
        <f>(Table2[[#This Row],[Home Pace]]/100)*(VLOOKUP(Table2[[#This Row],[Home/Neutral]],home_lookup,8,FALSE)+VLOOKUP(Table2[[#This Row],[Home/Neutral]],OFR_lookup,2,FALSE)+VLOOKUP(Table2[[#This Row],[Visitor/Neutral]],def_diff_lookup,6,FALSE))</f>
        <v>110.4428716789148</v>
      </c>
      <c r="L943" s="25"/>
      <c r="M943" s="25">
        <f>(Table2[[#This Row],[Away Pace]]/100)*(VLOOKUP(Table2[[#This Row],[Visitor/Neutral]],OFR_lookup,2,FALSE)+VLOOKUP(Table2[[#This Row],[Home/Neutral]],def_diff_lookup,6,FALSE))</f>
        <v>105.49504</v>
      </c>
      <c r="N943" s="25"/>
      <c r="O943" s="25"/>
      <c r="P943">
        <f>VLOOKUP(Table2[[#This Row],[Home/Neutral]],pace_lookup,7,FALSE)</f>
        <v>94.2</v>
      </c>
      <c r="Q943" s="5">
        <f>VLOOKUP(Table2[[#This Row],[Visitor/Neutral]],pace_lookup,7,FALSE)</f>
        <v>96</v>
      </c>
      <c r="R943" s="9"/>
      <c r="V943" s="2">
        <f>-home-VLOOKUP(Table2[[#This Row],[Home/Neutral]],rtg_vlookup,4,FALSE)+VLOOKUP(Table2[[#This Row],[Visitor/Neutral]],rtg_vlookup,4,FALSE)</f>
        <v>3.7248815165876685</v>
      </c>
      <c r="W943" s="25"/>
      <c r="X943" s="2"/>
      <c r="Y943" s="2">
        <f>Table2[[#This Row],[Away EV]]-Table2[[#This Row],[Home EV]]</f>
        <v>-4.9478316789147954</v>
      </c>
      <c r="Z943" s="33"/>
      <c r="AA943" s="34"/>
      <c r="AB943" s="5" t="b">
        <f>IF(VLOOKUP(Table2[[#This Row],[Home/Neutral]],division_lookup,9,FALSE)=VLOOKUP(Table2[[#This Row],[Visitor/Neutral]],division_lookup,9,FALSE),TRUE,FALSE)</f>
        <v>0</v>
      </c>
      <c r="AC943" s="19" t="str">
        <f>VLOOKUP(Table2[[#This Row],[Home/Neutral]],division_lookup,9,FALSE)</f>
        <v>SE</v>
      </c>
      <c r="AD943" s="19"/>
      <c r="AE943" s="19" t="str">
        <f>IF(Table2[[#This Row],[Total EV ®]]&lt;Table2[[#This Row],[Total (V)]],"UNDER","OVER")</f>
        <v>OVER</v>
      </c>
      <c r="AF943" s="30">
        <f>Table2[[#This Row],[(A) Spread]]-Table2[[#This Row],[Spread (V)]]</f>
        <v>0</v>
      </c>
      <c r="AG943" s="19"/>
      <c r="AH943" s="2">
        <f>Table2[[#This Row],[EV]]-Table2[[#This Row],[Spread (V)]]</f>
        <v>-4.9478316789147954</v>
      </c>
      <c r="AI943" s="22">
        <f>Table2[[#This Row],[(A)]]-Table2[[#This Row],[Spread]]</f>
        <v>3.7248815165876685</v>
      </c>
      <c r="AJ943" s="1">
        <f>Table2[[#This Row],[(A) Err]]^2</f>
        <v>13.87474231261645</v>
      </c>
      <c r="AK943" s="6">
        <f>Table2[[#This Row],[EV]]-Table2[[#This Row],[Spread]]</f>
        <v>-4.9478316789147954</v>
      </c>
      <c r="AL943" s="1">
        <f>Table2[[#This Row],[EV Err]]^2</f>
        <v>24.481038322872802</v>
      </c>
    </row>
    <row r="944" spans="1:38" x14ac:dyDescent="0.25">
      <c r="A944" t="s">
        <v>167</v>
      </c>
      <c r="B944" t="s">
        <v>39</v>
      </c>
      <c r="C944" t="s">
        <v>30</v>
      </c>
      <c r="K944" s="25">
        <f>(Table2[[#This Row],[Home Pace]]/100)*(VLOOKUP(Table2[[#This Row],[Home/Neutral]],home_lookup,8,FALSE)+VLOOKUP(Table2[[#This Row],[Home/Neutral]],OFR_lookup,2,FALSE)+VLOOKUP(Table2[[#This Row],[Visitor/Neutral]],def_diff_lookup,6,FALSE))</f>
        <v>109.21952211468579</v>
      </c>
      <c r="L944" s="25"/>
      <c r="M944" s="25">
        <f>(Table2[[#This Row],[Away Pace]]/100)*(VLOOKUP(Table2[[#This Row],[Visitor/Neutral]],OFR_lookup,2,FALSE)+VLOOKUP(Table2[[#This Row],[Home/Neutral]],def_diff_lookup,6,FALSE))</f>
        <v>105.27064533333333</v>
      </c>
      <c r="N944" s="25"/>
      <c r="O944" s="25"/>
      <c r="P944">
        <f>VLOOKUP(Table2[[#This Row],[Home/Neutral]],pace_lookup,7,FALSE)</f>
        <v>97.5</v>
      </c>
      <c r="Q944" s="5">
        <f>VLOOKUP(Table2[[#This Row],[Visitor/Neutral]],pace_lookup,7,FALSE)</f>
        <v>96.8</v>
      </c>
      <c r="R944" s="9"/>
      <c r="V944" s="2">
        <f>-home-VLOOKUP(Table2[[#This Row],[Home/Neutral]],rtg_vlookup,4,FALSE)+VLOOKUP(Table2[[#This Row],[Visitor/Neutral]],rtg_vlookup,4,FALSE)</f>
        <v>4.034881516587669</v>
      </c>
      <c r="W944" s="25"/>
      <c r="X944" s="2"/>
      <c r="Y944" s="2">
        <f>Table2[[#This Row],[Away EV]]-Table2[[#This Row],[Home EV]]</f>
        <v>-3.9488767813524532</v>
      </c>
      <c r="Z944" s="33"/>
      <c r="AA944" s="34"/>
      <c r="AB944" s="5" t="b">
        <f>IF(VLOOKUP(Table2[[#This Row],[Home/Neutral]],division_lookup,9,FALSE)=VLOOKUP(Table2[[#This Row],[Visitor/Neutral]],division_lookup,9,FALSE),TRUE,FALSE)</f>
        <v>0</v>
      </c>
      <c r="AC944" s="19" t="str">
        <f>VLOOKUP(Table2[[#This Row],[Home/Neutral]],division_lookup,9,FALSE)</f>
        <v>A</v>
      </c>
      <c r="AD944" s="19"/>
      <c r="AE944" s="19" t="str">
        <f>IF(Table2[[#This Row],[Total EV ®]]&lt;Table2[[#This Row],[Total (V)]],"UNDER","OVER")</f>
        <v>OVER</v>
      </c>
      <c r="AF944" s="30">
        <f>Table2[[#This Row],[(A) Spread]]-Table2[[#This Row],[Spread (V)]]</f>
        <v>0</v>
      </c>
      <c r="AG944" s="19"/>
      <c r="AH944" s="2">
        <f>Table2[[#This Row],[EV]]-Table2[[#This Row],[Spread (V)]]</f>
        <v>-3.9488767813524532</v>
      </c>
      <c r="AI944" s="22">
        <f>Table2[[#This Row],[(A)]]-Table2[[#This Row],[Spread]]</f>
        <v>4.034881516587669</v>
      </c>
      <c r="AJ944" s="1">
        <f>Table2[[#This Row],[(A) Err]]^2</f>
        <v>16.280268852900807</v>
      </c>
      <c r="AK944" s="6">
        <f>Table2[[#This Row],[EV]]-Table2[[#This Row],[Spread]]</f>
        <v>-3.9488767813524532</v>
      </c>
      <c r="AL944" s="1">
        <f>Table2[[#This Row],[EV Err]]^2</f>
        <v>15.593627834304511</v>
      </c>
    </row>
    <row r="945" spans="1:38" x14ac:dyDescent="0.25">
      <c r="A945" t="s">
        <v>167</v>
      </c>
      <c r="B945" t="s">
        <v>6</v>
      </c>
      <c r="C945" t="s">
        <v>17</v>
      </c>
      <c r="K945" s="25">
        <f>(Table2[[#This Row],[Home Pace]]/100)*(VLOOKUP(Table2[[#This Row],[Home/Neutral]],home_lookup,8,FALSE)+VLOOKUP(Table2[[#This Row],[Home/Neutral]],OFR_lookup,2,FALSE)+VLOOKUP(Table2[[#This Row],[Visitor/Neutral]],def_diff_lookup,6,FALSE))</f>
        <v>106.08524787062244</v>
      </c>
      <c r="L945" s="25"/>
      <c r="M945" s="25">
        <f>(Table2[[#This Row],[Away Pace]]/100)*(VLOOKUP(Table2[[#This Row],[Visitor/Neutral]],OFR_lookup,2,FALSE)+VLOOKUP(Table2[[#This Row],[Home/Neutral]],def_diff_lookup,6,FALSE))</f>
        <v>107.85015466666668</v>
      </c>
      <c r="N945" s="25"/>
      <c r="O945" s="25"/>
      <c r="P945">
        <f>VLOOKUP(Table2[[#This Row],[Home/Neutral]],pace_lookup,7,FALSE)</f>
        <v>93.1</v>
      </c>
      <c r="Q945" s="5">
        <f>VLOOKUP(Table2[[#This Row],[Visitor/Neutral]],pace_lookup,7,FALSE)</f>
        <v>96.7</v>
      </c>
      <c r="R945" s="9"/>
      <c r="V945" s="2">
        <f>-home-VLOOKUP(Table2[[#This Row],[Home/Neutral]],rtg_vlookup,4,FALSE)+VLOOKUP(Table2[[#This Row],[Visitor/Neutral]],rtg_vlookup,4,FALSE)</f>
        <v>-5.4851184834123305</v>
      </c>
      <c r="W945" s="25"/>
      <c r="X945" s="2"/>
      <c r="Y945" s="2">
        <f>Table2[[#This Row],[Away EV]]-Table2[[#This Row],[Home EV]]</f>
        <v>1.7649067960442437</v>
      </c>
      <c r="Z945" s="33"/>
      <c r="AA945" s="34"/>
      <c r="AB945" s="5" t="b">
        <f>IF(VLOOKUP(Table2[[#This Row],[Home/Neutral]],division_lookup,9,FALSE)=VLOOKUP(Table2[[#This Row],[Visitor/Neutral]],division_lookup,9,FALSE),TRUE,FALSE)</f>
        <v>1</v>
      </c>
      <c r="AC945" s="19" t="str">
        <f>VLOOKUP(Table2[[#This Row],[Home/Neutral]],division_lookup,9,FALSE)</f>
        <v>SW</v>
      </c>
      <c r="AD945" s="19"/>
      <c r="AE945" s="19" t="str">
        <f>IF(Table2[[#This Row],[Total EV ®]]&lt;Table2[[#This Row],[Total (V)]],"UNDER","OVER")</f>
        <v>OVER</v>
      </c>
      <c r="AF945" s="30">
        <f>Table2[[#This Row],[(A) Spread]]-Table2[[#This Row],[Spread (V)]]</f>
        <v>0</v>
      </c>
      <c r="AG945" s="19"/>
      <c r="AH945" s="2">
        <f>Table2[[#This Row],[EV]]-Table2[[#This Row],[Spread (V)]]</f>
        <v>1.7649067960442437</v>
      </c>
      <c r="AI945" s="22">
        <f>Table2[[#This Row],[(A)]]-Table2[[#This Row],[Spread]]</f>
        <v>-5.4851184834123305</v>
      </c>
      <c r="AJ945" s="1">
        <f>Table2[[#This Row],[(A) Err]]^2</f>
        <v>30.086524777071585</v>
      </c>
      <c r="AK945" s="6">
        <f>Table2[[#This Row],[EV]]-Table2[[#This Row],[Spread]]</f>
        <v>1.7649067960442437</v>
      </c>
      <c r="AL945" s="1">
        <f>Table2[[#This Row],[EV Err]]^2</f>
        <v>3.1148959987231577</v>
      </c>
    </row>
    <row r="946" spans="1:38" x14ac:dyDescent="0.25">
      <c r="A946" t="s">
        <v>167</v>
      </c>
      <c r="B946" t="s">
        <v>20</v>
      </c>
      <c r="C946" t="s">
        <v>34</v>
      </c>
      <c r="K946" s="25">
        <f>(Table2[[#This Row],[Home Pace]]/100)*(VLOOKUP(Table2[[#This Row],[Home/Neutral]],home_lookup,8,FALSE)+VLOOKUP(Table2[[#This Row],[Home/Neutral]],OFR_lookup,2,FALSE)+VLOOKUP(Table2[[#This Row],[Visitor/Neutral]],def_diff_lookup,6,FALSE))</f>
        <v>103.67426528915178</v>
      </c>
      <c r="L946" s="25"/>
      <c r="M946" s="25">
        <f>(Table2[[#This Row],[Away Pace]]/100)*(VLOOKUP(Table2[[#This Row],[Visitor/Neutral]],OFR_lookup,2,FALSE)+VLOOKUP(Table2[[#This Row],[Home/Neutral]],def_diff_lookup,6,FALSE))</f>
        <v>98.365938666666679</v>
      </c>
      <c r="N946" s="25"/>
      <c r="O946" s="25"/>
      <c r="P946">
        <f>VLOOKUP(Table2[[#This Row],[Home/Neutral]],pace_lookup,7,FALSE)</f>
        <v>90.9</v>
      </c>
      <c r="Q946" s="5">
        <f>VLOOKUP(Table2[[#This Row],[Visitor/Neutral]],pace_lookup,7,FALSE)</f>
        <v>98.8</v>
      </c>
      <c r="R946" s="9"/>
      <c r="V946" s="2">
        <f>-home-VLOOKUP(Table2[[#This Row],[Home/Neutral]],rtg_vlookup,4,FALSE)+VLOOKUP(Table2[[#This Row],[Visitor/Neutral]],rtg_vlookup,4,FALSE)</f>
        <v>-9.4951184834123303</v>
      </c>
      <c r="W946" s="25"/>
      <c r="X946" s="2"/>
      <c r="Y946" s="2">
        <f>Table2[[#This Row],[Away EV]]-Table2[[#This Row],[Home EV]]</f>
        <v>-5.3083266224850973</v>
      </c>
      <c r="Z946" s="33"/>
      <c r="AA946" s="34"/>
      <c r="AB946" s="5" t="b">
        <f>IF(VLOOKUP(Table2[[#This Row],[Home/Neutral]],division_lookup,9,FALSE)=VLOOKUP(Table2[[#This Row],[Visitor/Neutral]],division_lookup,9,FALSE),TRUE,FALSE)</f>
        <v>0</v>
      </c>
      <c r="AC946" s="19" t="str">
        <f>VLOOKUP(Table2[[#This Row],[Home/Neutral]],division_lookup,9,FALSE)</f>
        <v>NW</v>
      </c>
      <c r="AD946" s="19"/>
      <c r="AE946" s="19" t="str">
        <f>IF(Table2[[#This Row],[Total EV ®]]&lt;Table2[[#This Row],[Total (V)]],"UNDER","OVER")</f>
        <v>OVER</v>
      </c>
      <c r="AF946" s="30">
        <f>Table2[[#This Row],[(A) Spread]]-Table2[[#This Row],[Spread (V)]]</f>
        <v>0</v>
      </c>
      <c r="AG946" s="19"/>
      <c r="AH946" s="2">
        <f>Table2[[#This Row],[EV]]-Table2[[#This Row],[Spread (V)]]</f>
        <v>-5.3083266224850973</v>
      </c>
      <c r="AI946" s="22">
        <f>Table2[[#This Row],[(A)]]-Table2[[#This Row],[Spread]]</f>
        <v>-9.4951184834123303</v>
      </c>
      <c r="AJ946" s="1">
        <f>Table2[[#This Row],[(A) Err]]^2</f>
        <v>90.157275014038476</v>
      </c>
      <c r="AK946" s="6">
        <f>Table2[[#This Row],[EV]]-Table2[[#This Row],[Spread]]</f>
        <v>-5.3083266224850973</v>
      </c>
      <c r="AL946" s="1">
        <f>Table2[[#This Row],[EV Err]]^2</f>
        <v>28.178331530984043</v>
      </c>
    </row>
    <row r="947" spans="1:38" x14ac:dyDescent="0.25">
      <c r="A947" t="s">
        <v>168</v>
      </c>
      <c r="B947" t="s">
        <v>37</v>
      </c>
      <c r="C947" t="s">
        <v>24</v>
      </c>
      <c r="K947" s="25">
        <f>(Table2[[#This Row],[Home Pace]]/100)*(VLOOKUP(Table2[[#This Row],[Home/Neutral]],home_lookup,8,FALSE)+VLOOKUP(Table2[[#This Row],[Home/Neutral]],OFR_lookup,2,FALSE)+VLOOKUP(Table2[[#This Row],[Visitor/Neutral]],def_diff_lookup,6,FALSE))</f>
        <v>106.02377809362122</v>
      </c>
      <c r="L947" s="25"/>
      <c r="M947" s="25">
        <f>(Table2[[#This Row],[Away Pace]]/100)*(VLOOKUP(Table2[[#This Row],[Visitor/Neutral]],OFR_lookup,2,FALSE)+VLOOKUP(Table2[[#This Row],[Home/Neutral]],def_diff_lookup,6,FALSE))</f>
        <v>107.36319600000002</v>
      </c>
      <c r="N947" s="25"/>
      <c r="O947" s="25"/>
      <c r="P947">
        <f>VLOOKUP(Table2[[#This Row],[Home/Neutral]],pace_lookup,7,FALSE)</f>
        <v>92.1</v>
      </c>
      <c r="Q947" s="5">
        <f>VLOOKUP(Table2[[#This Row],[Visitor/Neutral]],pace_lookup,7,FALSE)</f>
        <v>99.9</v>
      </c>
      <c r="R947" s="9"/>
      <c r="V947" s="2">
        <f>-home-VLOOKUP(Table2[[#This Row],[Home/Neutral]],rtg_vlookup,4,FALSE)+VLOOKUP(Table2[[#This Row],[Visitor/Neutral]],rtg_vlookup,4,FALSE)</f>
        <v>5.0148815165876695</v>
      </c>
      <c r="W947" s="25"/>
      <c r="X947" s="2"/>
      <c r="Y947" s="2">
        <f>Table2[[#This Row],[Away EV]]-Table2[[#This Row],[Home EV]]</f>
        <v>1.3394179063787988</v>
      </c>
      <c r="Z947" s="33"/>
      <c r="AA947" s="34"/>
      <c r="AB947" s="5" t="b">
        <f>IF(VLOOKUP(Table2[[#This Row],[Home/Neutral]],division_lookup,9,FALSE)=VLOOKUP(Table2[[#This Row],[Visitor/Neutral]],division_lookup,9,FALSE),TRUE,FALSE)</f>
        <v>0</v>
      </c>
      <c r="AC947" s="19" t="str">
        <f>VLOOKUP(Table2[[#This Row],[Home/Neutral]],division_lookup,9,FALSE)</f>
        <v>SW</v>
      </c>
      <c r="AD947" s="19"/>
      <c r="AE947" s="19" t="str">
        <f>IF(Table2[[#This Row],[Total EV ®]]&lt;Table2[[#This Row],[Total (V)]],"UNDER","OVER")</f>
        <v>OVER</v>
      </c>
      <c r="AF947" s="30">
        <f>Table2[[#This Row],[(A) Spread]]-Table2[[#This Row],[Spread (V)]]</f>
        <v>0</v>
      </c>
      <c r="AG947" s="19"/>
      <c r="AH947" s="2">
        <f>Table2[[#This Row],[EV]]-Table2[[#This Row],[Spread (V)]]</f>
        <v>1.3394179063787988</v>
      </c>
      <c r="AI947" s="22">
        <f>Table2[[#This Row],[(A)]]-Table2[[#This Row],[Spread]]</f>
        <v>5.0148815165876695</v>
      </c>
      <c r="AJ947" s="1">
        <f>Table2[[#This Row],[(A) Err]]^2</f>
        <v>25.149036625412645</v>
      </c>
      <c r="AK947" s="6">
        <f>Table2[[#This Row],[EV]]-Table2[[#This Row],[Spread]]</f>
        <v>1.3394179063787988</v>
      </c>
      <c r="AL947" s="1">
        <f>Table2[[#This Row],[EV Err]]^2</f>
        <v>1.7940403279281645</v>
      </c>
    </row>
    <row r="948" spans="1:38" x14ac:dyDescent="0.25">
      <c r="A948" t="s">
        <v>168</v>
      </c>
      <c r="B948" t="s">
        <v>18</v>
      </c>
      <c r="C948" t="s">
        <v>32</v>
      </c>
      <c r="K948" s="25">
        <f>(Table2[[#This Row],[Home Pace]]/100)*(VLOOKUP(Table2[[#This Row],[Home/Neutral]],home_lookup,8,FALSE)+VLOOKUP(Table2[[#This Row],[Home/Neutral]],OFR_lookup,2,FALSE)+VLOOKUP(Table2[[#This Row],[Visitor/Neutral]],def_diff_lookup,6,FALSE))</f>
        <v>107.90995616021132</v>
      </c>
      <c r="L948" s="25"/>
      <c r="M948" s="25">
        <f>(Table2[[#This Row],[Away Pace]]/100)*(VLOOKUP(Table2[[#This Row],[Visitor/Neutral]],OFR_lookup,2,FALSE)+VLOOKUP(Table2[[#This Row],[Home/Neutral]],def_diff_lookup,6,FALSE))</f>
        <v>102.84045733333333</v>
      </c>
      <c r="N948" s="25"/>
      <c r="O948" s="25"/>
      <c r="P948">
        <f>VLOOKUP(Table2[[#This Row],[Home/Neutral]],pace_lookup,7,FALSE)</f>
        <v>99.5</v>
      </c>
      <c r="Q948" s="5">
        <f>VLOOKUP(Table2[[#This Row],[Visitor/Neutral]],pace_lookup,7,FALSE)</f>
        <v>98.6</v>
      </c>
      <c r="R948" s="9"/>
      <c r="V948" s="2">
        <f>-home-VLOOKUP(Table2[[#This Row],[Home/Neutral]],rtg_vlookup,4,FALSE)+VLOOKUP(Table2[[#This Row],[Visitor/Neutral]],rtg_vlookup,4,FALSE)</f>
        <v>-7.9351184834123307</v>
      </c>
      <c r="W948" s="25"/>
      <c r="X948" s="2"/>
      <c r="Y948" s="2">
        <f>Table2[[#This Row],[Away EV]]-Table2[[#This Row],[Home EV]]</f>
        <v>-5.0694988268779895</v>
      </c>
      <c r="Z948" s="33"/>
      <c r="AA948" s="34"/>
      <c r="AB948" s="5" t="b">
        <f>IF(VLOOKUP(Table2[[#This Row],[Home/Neutral]],division_lookup,9,FALSE)=VLOOKUP(Table2[[#This Row],[Visitor/Neutral]],division_lookup,9,FALSE),TRUE,FALSE)</f>
        <v>1</v>
      </c>
      <c r="AC948" s="19" t="str">
        <f>VLOOKUP(Table2[[#This Row],[Home/Neutral]],division_lookup,9,FALSE)</f>
        <v>NW</v>
      </c>
      <c r="AD948" s="19"/>
      <c r="AE948" s="19" t="str">
        <f>IF(Table2[[#This Row],[Total EV ®]]&lt;Table2[[#This Row],[Total (V)]],"UNDER","OVER")</f>
        <v>OVER</v>
      </c>
      <c r="AF948" s="30">
        <f>Table2[[#This Row],[(A) Spread]]-Table2[[#This Row],[Spread (V)]]</f>
        <v>0</v>
      </c>
      <c r="AG948" s="19"/>
      <c r="AH948" s="2">
        <f>Table2[[#This Row],[EV]]-Table2[[#This Row],[Spread (V)]]</f>
        <v>-5.0694988268779895</v>
      </c>
      <c r="AI948" s="22">
        <f>Table2[[#This Row],[(A)]]-Table2[[#This Row],[Spread]]</f>
        <v>-7.9351184834123307</v>
      </c>
      <c r="AJ948" s="1">
        <f>Table2[[#This Row],[(A) Err]]^2</f>
        <v>62.966105345792009</v>
      </c>
      <c r="AK948" s="6">
        <f>Table2[[#This Row],[EV]]-Table2[[#This Row],[Spread]]</f>
        <v>-5.0694988268779895</v>
      </c>
      <c r="AL948" s="1">
        <f>Table2[[#This Row],[EV Err]]^2</f>
        <v>25.699818355717312</v>
      </c>
    </row>
    <row r="949" spans="1:38" x14ac:dyDescent="0.25">
      <c r="A949" t="s">
        <v>168</v>
      </c>
      <c r="B949" t="s">
        <v>36</v>
      </c>
      <c r="C949" t="s">
        <v>28</v>
      </c>
      <c r="K949" s="25">
        <f>(Table2[[#This Row],[Home Pace]]/100)*(VLOOKUP(Table2[[#This Row],[Home/Neutral]],home_lookup,8,FALSE)+VLOOKUP(Table2[[#This Row],[Home/Neutral]],OFR_lookup,2,FALSE)+VLOOKUP(Table2[[#This Row],[Visitor/Neutral]],def_diff_lookup,6,FALSE))</f>
        <v>110.52795156604043</v>
      </c>
      <c r="L949" s="25"/>
      <c r="M949" s="25">
        <f>(Table2[[#This Row],[Away Pace]]/100)*(VLOOKUP(Table2[[#This Row],[Visitor/Neutral]],OFR_lookup,2,FALSE)+VLOOKUP(Table2[[#This Row],[Home/Neutral]],def_diff_lookup,6,FALSE))</f>
        <v>106.15213199999999</v>
      </c>
      <c r="N949" s="25"/>
      <c r="O949" s="25"/>
      <c r="P949">
        <f>VLOOKUP(Table2[[#This Row],[Home/Neutral]],pace_lookup,7,FALSE)</f>
        <v>102.2</v>
      </c>
      <c r="Q949" s="5">
        <f>VLOOKUP(Table2[[#This Row],[Visitor/Neutral]],pace_lookup,7,FALSE)</f>
        <v>96.3</v>
      </c>
      <c r="R949" s="9"/>
      <c r="V949" s="2">
        <f>-home-VLOOKUP(Table2[[#This Row],[Home/Neutral]],rtg_vlookup,4,FALSE)+VLOOKUP(Table2[[#This Row],[Visitor/Neutral]],rtg_vlookup,4,FALSE)</f>
        <v>1.5648815165876693</v>
      </c>
      <c r="W949" s="25"/>
      <c r="X949" s="2"/>
      <c r="Y949" s="2">
        <f>Table2[[#This Row],[Away EV]]-Table2[[#This Row],[Home EV]]</f>
        <v>-4.375819566040434</v>
      </c>
      <c r="Z949" s="33"/>
      <c r="AA949" s="34"/>
      <c r="AB949" s="5" t="b">
        <f>IF(VLOOKUP(Table2[[#This Row],[Home/Neutral]],division_lookup,9,FALSE)=VLOOKUP(Table2[[#This Row],[Visitor/Neutral]],division_lookup,9,FALSE),TRUE,FALSE)</f>
        <v>0</v>
      </c>
      <c r="AC949" s="19" t="str">
        <f>VLOOKUP(Table2[[#This Row],[Home/Neutral]],division_lookup,9,FALSE)</f>
        <v>P</v>
      </c>
      <c r="AD949" s="19"/>
      <c r="AE949" s="19" t="str">
        <f>IF(Table2[[#This Row],[Total EV ®]]&lt;Table2[[#This Row],[Total (V)]],"UNDER","OVER")</f>
        <v>OVER</v>
      </c>
      <c r="AF949" s="30">
        <f>Table2[[#This Row],[(A) Spread]]-Table2[[#This Row],[Spread (V)]]</f>
        <v>0</v>
      </c>
      <c r="AG949" s="19"/>
      <c r="AH949" s="2">
        <f>Table2[[#This Row],[EV]]-Table2[[#This Row],[Spread (V)]]</f>
        <v>-4.375819566040434</v>
      </c>
      <c r="AI949" s="22">
        <f>Table2[[#This Row],[(A)]]-Table2[[#This Row],[Spread]]</f>
        <v>1.5648815165876693</v>
      </c>
      <c r="AJ949" s="1">
        <f>Table2[[#This Row],[(A) Err]]^2</f>
        <v>2.4488541609577239</v>
      </c>
      <c r="AK949" s="6">
        <f>Table2[[#This Row],[EV]]-Table2[[#This Row],[Spread]]</f>
        <v>-4.375819566040434</v>
      </c>
      <c r="AL949" s="1">
        <f>Table2[[#This Row],[EV Err]]^2</f>
        <v>19.147796874542291</v>
      </c>
    </row>
    <row r="950" spans="1:38" x14ac:dyDescent="0.25">
      <c r="A950" t="s">
        <v>169</v>
      </c>
      <c r="B950" t="s">
        <v>11</v>
      </c>
      <c r="C950" t="s">
        <v>35</v>
      </c>
      <c r="K950" s="25">
        <f>(Table2[[#This Row],[Home Pace]]/100)*(VLOOKUP(Table2[[#This Row],[Home/Neutral]],home_lookup,8,FALSE)+VLOOKUP(Table2[[#This Row],[Home/Neutral]],OFR_lookup,2,FALSE)+VLOOKUP(Table2[[#This Row],[Visitor/Neutral]],def_diff_lookup,6,FALSE))</f>
        <v>102.06966904407281</v>
      </c>
      <c r="L950" s="25"/>
      <c r="M950" s="25">
        <f>(Table2[[#This Row],[Away Pace]]/100)*(VLOOKUP(Table2[[#This Row],[Visitor/Neutral]],OFR_lookup,2,FALSE)+VLOOKUP(Table2[[#This Row],[Home/Neutral]],def_diff_lookup,6,FALSE))</f>
        <v>97.877621333333352</v>
      </c>
      <c r="N950" s="25"/>
      <c r="O950" s="25"/>
      <c r="P950">
        <f>VLOOKUP(Table2[[#This Row],[Home/Neutral]],pace_lookup,7,FALSE)</f>
        <v>99.7</v>
      </c>
      <c r="Q950" s="5">
        <f>VLOOKUP(Table2[[#This Row],[Visitor/Neutral]],pace_lookup,7,FALSE)</f>
        <v>102.2</v>
      </c>
      <c r="R950" s="9"/>
      <c r="V950" s="2">
        <f>-home-VLOOKUP(Table2[[#This Row],[Home/Neutral]],rtg_vlookup,4,FALSE)+VLOOKUP(Table2[[#This Row],[Visitor/Neutral]],rtg_vlookup,4,FALSE)</f>
        <v>-15.35511848341233</v>
      </c>
      <c r="W950" s="25"/>
      <c r="X950" s="2"/>
      <c r="Y950" s="2">
        <f>Table2[[#This Row],[Away EV]]-Table2[[#This Row],[Home EV]]</f>
        <v>-4.1920477107394589</v>
      </c>
      <c r="Z950" s="33"/>
      <c r="AA950" s="34"/>
      <c r="AB950" s="5" t="b">
        <f>IF(VLOOKUP(Table2[[#This Row],[Home/Neutral]],division_lookup,9,FALSE)=VLOOKUP(Table2[[#This Row],[Visitor/Neutral]],division_lookup,9,FALSE),TRUE,FALSE)</f>
        <v>0</v>
      </c>
      <c r="AC950" s="19" t="str">
        <f>VLOOKUP(Table2[[#This Row],[Home/Neutral]],division_lookup,9,FALSE)</f>
        <v>SE</v>
      </c>
      <c r="AD950" s="19"/>
      <c r="AE950" s="19" t="str">
        <f>IF(Table2[[#This Row],[Total EV ®]]&lt;Table2[[#This Row],[Total (V)]],"UNDER","OVER")</f>
        <v>OVER</v>
      </c>
      <c r="AF950" s="30">
        <f>Table2[[#This Row],[(A) Spread]]-Table2[[#This Row],[Spread (V)]]</f>
        <v>0</v>
      </c>
      <c r="AG950" s="19"/>
      <c r="AH950" s="2">
        <f>Table2[[#This Row],[EV]]-Table2[[#This Row],[Spread (V)]]</f>
        <v>-4.1920477107394589</v>
      </c>
      <c r="AI950" s="22">
        <f>Table2[[#This Row],[(A)]]-Table2[[#This Row],[Spread]]</f>
        <v>-15.35511848341233</v>
      </c>
      <c r="AJ950" s="1">
        <f>Table2[[#This Row],[(A) Err]]^2</f>
        <v>235.77966363963097</v>
      </c>
      <c r="AK950" s="6">
        <f>Table2[[#This Row],[EV]]-Table2[[#This Row],[Spread]]</f>
        <v>-4.1920477107394589</v>
      </c>
      <c r="AL950" s="1">
        <f>Table2[[#This Row],[EV Err]]^2</f>
        <v>17.573264009115938</v>
      </c>
    </row>
    <row r="951" spans="1:38" x14ac:dyDescent="0.25">
      <c r="A951" t="s">
        <v>169</v>
      </c>
      <c r="B951" t="s">
        <v>27</v>
      </c>
      <c r="C951" t="s">
        <v>28</v>
      </c>
      <c r="K951" s="25">
        <f>(Table2[[#This Row],[Home Pace]]/100)*(VLOOKUP(Table2[[#This Row],[Home/Neutral]],home_lookup,8,FALSE)+VLOOKUP(Table2[[#This Row],[Home/Neutral]],OFR_lookup,2,FALSE)+VLOOKUP(Table2[[#This Row],[Visitor/Neutral]],def_diff_lookup,6,FALSE))</f>
        <v>107.50545642647258</v>
      </c>
      <c r="L951" s="25"/>
      <c r="M951" s="25">
        <f>(Table2[[#This Row],[Away Pace]]/100)*(VLOOKUP(Table2[[#This Row],[Visitor/Neutral]],OFR_lookup,2,FALSE)+VLOOKUP(Table2[[#This Row],[Home/Neutral]],def_diff_lookup,6,FALSE))</f>
        <v>103.003122</v>
      </c>
      <c r="N951" s="25"/>
      <c r="O951" s="25"/>
      <c r="P951">
        <f>VLOOKUP(Table2[[#This Row],[Home/Neutral]],pace_lookup,7,FALSE)</f>
        <v>99</v>
      </c>
      <c r="Q951" s="5">
        <f>VLOOKUP(Table2[[#This Row],[Visitor/Neutral]],pace_lookup,7,FALSE)</f>
        <v>96.3</v>
      </c>
      <c r="R951" s="9"/>
      <c r="V951" s="2">
        <f>-home-VLOOKUP(Table2[[#This Row],[Home/Neutral]],rtg_vlookup,4,FALSE)+VLOOKUP(Table2[[#This Row],[Visitor/Neutral]],rtg_vlookup,4,FALSE)</f>
        <v>-4.045118483412331</v>
      </c>
      <c r="W951" s="25"/>
      <c r="X951" s="2"/>
      <c r="Y951" s="2">
        <f>Table2[[#This Row],[Away EV]]-Table2[[#This Row],[Home EV]]</f>
        <v>-4.5023344264725722</v>
      </c>
      <c r="Z951" s="33"/>
      <c r="AA951" s="34"/>
      <c r="AB951" s="5" t="b">
        <f>IF(VLOOKUP(Table2[[#This Row],[Home/Neutral]],division_lookup,9,FALSE)=VLOOKUP(Table2[[#This Row],[Visitor/Neutral]],division_lookup,9,FALSE),TRUE,FALSE)</f>
        <v>0</v>
      </c>
      <c r="AC951" s="19" t="str">
        <f>VLOOKUP(Table2[[#This Row],[Home/Neutral]],division_lookup,9,FALSE)</f>
        <v>NW</v>
      </c>
      <c r="AD951" s="19"/>
      <c r="AE951" s="19" t="str">
        <f>IF(Table2[[#This Row],[Total EV ®]]&lt;Table2[[#This Row],[Total (V)]],"UNDER","OVER")</f>
        <v>OVER</v>
      </c>
      <c r="AF951" s="30">
        <f>Table2[[#This Row],[(A) Spread]]-Table2[[#This Row],[Spread (V)]]</f>
        <v>0</v>
      </c>
      <c r="AG951" s="19"/>
      <c r="AH951" s="2">
        <f>Table2[[#This Row],[EV]]-Table2[[#This Row],[Spread (V)]]</f>
        <v>-4.5023344264725722</v>
      </c>
      <c r="AI951" s="22">
        <f>Table2[[#This Row],[(A)]]-Table2[[#This Row],[Spread]]</f>
        <v>-4.045118483412331</v>
      </c>
      <c r="AJ951" s="1">
        <f>Table2[[#This Row],[(A) Err]]^2</f>
        <v>16.362983544844077</v>
      </c>
      <c r="AK951" s="6">
        <f>Table2[[#This Row],[EV]]-Table2[[#This Row],[Spread]]</f>
        <v>-4.5023344264725722</v>
      </c>
      <c r="AL951" s="1">
        <f>Table2[[#This Row],[EV Err]]^2</f>
        <v>20.271015287800104</v>
      </c>
    </row>
    <row r="952" spans="1:38" x14ac:dyDescent="0.25">
      <c r="A952" t="s">
        <v>169</v>
      </c>
      <c r="B952" t="s">
        <v>10</v>
      </c>
      <c r="C952" t="s">
        <v>26</v>
      </c>
      <c r="K952" s="25">
        <f>(Table2[[#This Row],[Home Pace]]/100)*(VLOOKUP(Table2[[#This Row],[Home/Neutral]],home_lookup,8,FALSE)+VLOOKUP(Table2[[#This Row],[Home/Neutral]],OFR_lookup,2,FALSE)+VLOOKUP(Table2[[#This Row],[Visitor/Neutral]],def_diff_lookup,6,FALSE))</f>
        <v>108.95158853790561</v>
      </c>
      <c r="L952" s="25"/>
      <c r="M952" s="25">
        <f>(Table2[[#This Row],[Away Pace]]/100)*(VLOOKUP(Table2[[#This Row],[Visitor/Neutral]],OFR_lookup,2,FALSE)+VLOOKUP(Table2[[#This Row],[Home/Neutral]],def_diff_lookup,6,FALSE))</f>
        <v>105.03424</v>
      </c>
      <c r="N952" s="25"/>
      <c r="O952" s="25"/>
      <c r="P952">
        <f>VLOOKUP(Table2[[#This Row],[Home/Neutral]],pace_lookup,7,FALSE)</f>
        <v>100.3</v>
      </c>
      <c r="Q952" s="5">
        <f>VLOOKUP(Table2[[#This Row],[Visitor/Neutral]],pace_lookup,7,FALSE)</f>
        <v>96</v>
      </c>
      <c r="R952" s="9"/>
      <c r="V952" s="2">
        <f>-home-VLOOKUP(Table2[[#This Row],[Home/Neutral]],rtg_vlookup,4,FALSE)+VLOOKUP(Table2[[#This Row],[Visitor/Neutral]],rtg_vlookup,4,FALSE)</f>
        <v>-11.425118483412332</v>
      </c>
      <c r="W952" s="25"/>
      <c r="X952" s="2"/>
      <c r="Y952" s="2">
        <f>Table2[[#This Row],[Away EV]]-Table2[[#This Row],[Home EV]]</f>
        <v>-3.9173485379056103</v>
      </c>
      <c r="Z952" s="33"/>
      <c r="AA952" s="34"/>
      <c r="AB952" s="5" t="b">
        <f>IF(VLOOKUP(Table2[[#This Row],[Home/Neutral]],division_lookup,9,FALSE)=VLOOKUP(Table2[[#This Row],[Visitor/Neutral]],division_lookup,9,FALSE),TRUE,FALSE)</f>
        <v>0</v>
      </c>
      <c r="AC952" s="19" t="str">
        <f>VLOOKUP(Table2[[#This Row],[Home/Neutral]],division_lookup,9,FALSE)</f>
        <v>P</v>
      </c>
      <c r="AD952" s="19"/>
      <c r="AE952" s="19" t="str">
        <f>IF(Table2[[#This Row],[Total EV ®]]&lt;Table2[[#This Row],[Total (V)]],"UNDER","OVER")</f>
        <v>OVER</v>
      </c>
      <c r="AF952" s="30">
        <f>Table2[[#This Row],[(A) Spread]]-Table2[[#This Row],[Spread (V)]]</f>
        <v>0</v>
      </c>
      <c r="AG952" s="19"/>
      <c r="AH952" s="2">
        <f>Table2[[#This Row],[EV]]-Table2[[#This Row],[Spread (V)]]</f>
        <v>-3.9173485379056103</v>
      </c>
      <c r="AI952" s="22">
        <f>Table2[[#This Row],[(A)]]-Table2[[#This Row],[Spread]]</f>
        <v>-11.425118483412332</v>
      </c>
      <c r="AJ952" s="1">
        <f>Table2[[#This Row],[(A) Err]]^2</f>
        <v>130.53333236001009</v>
      </c>
      <c r="AK952" s="6">
        <f>Table2[[#This Row],[EV]]-Table2[[#This Row],[Spread]]</f>
        <v>-3.9173485379056103</v>
      </c>
      <c r="AL952" s="1">
        <f>Table2[[#This Row],[EV Err]]^2</f>
        <v>15.345619567431223</v>
      </c>
    </row>
    <row r="953" spans="1:38" x14ac:dyDescent="0.25">
      <c r="A953" t="s">
        <v>169</v>
      </c>
      <c r="B953" t="s">
        <v>17</v>
      </c>
      <c r="C953" t="s">
        <v>20</v>
      </c>
      <c r="K953" s="25">
        <f>(Table2[[#This Row],[Home Pace]]/100)*(VLOOKUP(Table2[[#This Row],[Home/Neutral]],home_lookup,8,FALSE)+VLOOKUP(Table2[[#This Row],[Home/Neutral]],OFR_lookup,2,FALSE)+VLOOKUP(Table2[[#This Row],[Visitor/Neutral]],def_diff_lookup,6,FALSE))</f>
        <v>107.88570692873546</v>
      </c>
      <c r="L953" s="25"/>
      <c r="M953" s="25">
        <f>(Table2[[#This Row],[Away Pace]]/100)*(VLOOKUP(Table2[[#This Row],[Visitor/Neutral]],OFR_lookup,2,FALSE)+VLOOKUP(Table2[[#This Row],[Home/Neutral]],def_diff_lookup,6,FALSE))</f>
        <v>99.881526000000022</v>
      </c>
      <c r="N953" s="25"/>
      <c r="O953" s="25"/>
      <c r="P953">
        <f>VLOOKUP(Table2[[#This Row],[Home/Neutral]],pace_lookup,7,FALSE)</f>
        <v>96.7</v>
      </c>
      <c r="Q953" s="5">
        <f>VLOOKUP(Table2[[#This Row],[Visitor/Neutral]],pace_lookup,7,FALSE)</f>
        <v>90.9</v>
      </c>
      <c r="R953" s="9"/>
      <c r="V953" s="2">
        <f>-home-VLOOKUP(Table2[[#This Row],[Home/Neutral]],rtg_vlookup,4,FALSE)+VLOOKUP(Table2[[#This Row],[Visitor/Neutral]],rtg_vlookup,4,FALSE)</f>
        <v>-5.2251184834123308</v>
      </c>
      <c r="W953" s="25"/>
      <c r="X953" s="2"/>
      <c r="Y953" s="2">
        <f>Table2[[#This Row],[Away EV]]-Table2[[#This Row],[Home EV]]</f>
        <v>-8.0041809287354369</v>
      </c>
      <c r="Z953" s="33"/>
      <c r="AA953" s="34"/>
      <c r="AB953" s="5" t="b">
        <f>IF(VLOOKUP(Table2[[#This Row],[Home/Neutral]],division_lookup,9,FALSE)=VLOOKUP(Table2[[#This Row],[Visitor/Neutral]],division_lookup,9,FALSE),TRUE,FALSE)</f>
        <v>0</v>
      </c>
      <c r="AC953" s="19" t="str">
        <f>VLOOKUP(Table2[[#This Row],[Home/Neutral]],division_lookup,9,FALSE)</f>
        <v>SW</v>
      </c>
      <c r="AD953" s="19"/>
      <c r="AE953" s="19" t="str">
        <f>IF(Table2[[#This Row],[Total EV ®]]&lt;Table2[[#This Row],[Total (V)]],"UNDER","OVER")</f>
        <v>OVER</v>
      </c>
      <c r="AF953" s="30">
        <f>Table2[[#This Row],[(A) Spread]]-Table2[[#This Row],[Spread (V)]]</f>
        <v>0</v>
      </c>
      <c r="AG953" s="19"/>
      <c r="AH953" s="2">
        <f>Table2[[#This Row],[EV]]-Table2[[#This Row],[Spread (V)]]</f>
        <v>-8.0041809287354369</v>
      </c>
      <c r="AI953" s="22">
        <f>Table2[[#This Row],[(A)]]-Table2[[#This Row],[Spread]]</f>
        <v>-5.2251184834123308</v>
      </c>
      <c r="AJ953" s="1">
        <f>Table2[[#This Row],[(A) Err]]^2</f>
        <v>27.301863165697174</v>
      </c>
      <c r="AK953" s="6">
        <f>Table2[[#This Row],[EV]]-Table2[[#This Row],[Spread]]</f>
        <v>-8.0041809287354369</v>
      </c>
      <c r="AL953" s="1">
        <f>Table2[[#This Row],[EV Err]]^2</f>
        <v>64.066912339932074</v>
      </c>
    </row>
    <row r="954" spans="1:38" x14ac:dyDescent="0.25">
      <c r="A954" t="s">
        <v>169</v>
      </c>
      <c r="B954" t="s">
        <v>33</v>
      </c>
      <c r="C954" t="s">
        <v>25</v>
      </c>
      <c r="K954" s="25">
        <f>(Table2[[#This Row],[Home Pace]]/100)*(VLOOKUP(Table2[[#This Row],[Home/Neutral]],home_lookup,8,FALSE)+VLOOKUP(Table2[[#This Row],[Home/Neutral]],OFR_lookup,2,FALSE)+VLOOKUP(Table2[[#This Row],[Visitor/Neutral]],def_diff_lookup,6,FALSE))</f>
        <v>103.89541852057508</v>
      </c>
      <c r="L954" s="25"/>
      <c r="M954" s="25">
        <f>(Table2[[#This Row],[Away Pace]]/100)*(VLOOKUP(Table2[[#This Row],[Visitor/Neutral]],OFR_lookup,2,FALSE)+VLOOKUP(Table2[[#This Row],[Home/Neutral]],def_diff_lookup,6,FALSE))</f>
        <v>99.20558933333335</v>
      </c>
      <c r="N954" s="25"/>
      <c r="O954" s="25"/>
      <c r="P954">
        <f>VLOOKUP(Table2[[#This Row],[Home/Neutral]],pace_lookup,7,FALSE)</f>
        <v>98.2</v>
      </c>
      <c r="Q954" s="5">
        <f>VLOOKUP(Table2[[#This Row],[Visitor/Neutral]],pace_lookup,7,FALSE)</f>
        <v>94.4</v>
      </c>
      <c r="R954" s="9"/>
      <c r="V954" s="2">
        <f>-home-VLOOKUP(Table2[[#This Row],[Home/Neutral]],rtg_vlookup,4,FALSE)+VLOOKUP(Table2[[#This Row],[Visitor/Neutral]],rtg_vlookup,4,FALSE)</f>
        <v>2.5048815165876697</v>
      </c>
      <c r="W954" s="25"/>
      <c r="X954" s="2"/>
      <c r="Y954" s="2">
        <f>Table2[[#This Row],[Away EV]]-Table2[[#This Row],[Home EV]]</f>
        <v>-4.6898291872417275</v>
      </c>
      <c r="Z954" s="33"/>
      <c r="AA954" s="34"/>
      <c r="AB954" s="5" t="b">
        <f>IF(VLOOKUP(Table2[[#This Row],[Home/Neutral]],division_lookup,9,FALSE)=VLOOKUP(Table2[[#This Row],[Visitor/Neutral]],division_lookup,9,FALSE),TRUE,FALSE)</f>
        <v>1</v>
      </c>
      <c r="AC954" s="19" t="str">
        <f>VLOOKUP(Table2[[#This Row],[Home/Neutral]],division_lookup,9,FALSE)</f>
        <v>C</v>
      </c>
      <c r="AD954" s="19"/>
      <c r="AE954" s="19" t="str">
        <f>IF(Table2[[#This Row],[Total EV ®]]&lt;Table2[[#This Row],[Total (V)]],"UNDER","OVER")</f>
        <v>OVER</v>
      </c>
      <c r="AF954" s="30">
        <f>Table2[[#This Row],[(A) Spread]]-Table2[[#This Row],[Spread (V)]]</f>
        <v>0</v>
      </c>
      <c r="AG954" s="19"/>
      <c r="AH954" s="2">
        <f>Table2[[#This Row],[EV]]-Table2[[#This Row],[Spread (V)]]</f>
        <v>-4.6898291872417275</v>
      </c>
      <c r="AI954" s="22">
        <f>Table2[[#This Row],[(A)]]-Table2[[#This Row],[Spread]]</f>
        <v>2.5048815165876697</v>
      </c>
      <c r="AJ954" s="1">
        <f>Table2[[#This Row],[(A) Err]]^2</f>
        <v>6.274431412142544</v>
      </c>
      <c r="AK954" s="6">
        <f>Table2[[#This Row],[EV]]-Table2[[#This Row],[Spread]]</f>
        <v>-4.6898291872417275</v>
      </c>
      <c r="AL954" s="1">
        <f>Table2[[#This Row],[EV Err]]^2</f>
        <v>21.994497805504402</v>
      </c>
    </row>
    <row r="955" spans="1:38" x14ac:dyDescent="0.25">
      <c r="A955" t="s">
        <v>169</v>
      </c>
      <c r="B955" t="s">
        <v>21</v>
      </c>
      <c r="C955" t="s">
        <v>16</v>
      </c>
      <c r="K955" s="25">
        <f>(Table2[[#This Row],[Home Pace]]/100)*(VLOOKUP(Table2[[#This Row],[Home/Neutral]],home_lookup,8,FALSE)+VLOOKUP(Table2[[#This Row],[Home/Neutral]],OFR_lookup,2,FALSE)+VLOOKUP(Table2[[#This Row],[Visitor/Neutral]],def_diff_lookup,6,FALSE))</f>
        <v>99.811271175243903</v>
      </c>
      <c r="L955" s="25"/>
      <c r="M955" s="25">
        <f>(Table2[[#This Row],[Away Pace]]/100)*(VLOOKUP(Table2[[#This Row],[Visitor/Neutral]],OFR_lookup,2,FALSE)+VLOOKUP(Table2[[#This Row],[Home/Neutral]],def_diff_lookup,6,FALSE))</f>
        <v>100.80590000000001</v>
      </c>
      <c r="N955" s="25"/>
      <c r="O955" s="25"/>
      <c r="P955">
        <f>VLOOKUP(Table2[[#This Row],[Home/Neutral]],pace_lookup,7,FALSE)</f>
        <v>94.2</v>
      </c>
      <c r="Q955" s="5">
        <f>VLOOKUP(Table2[[#This Row],[Visitor/Neutral]],pace_lookup,7,FALSE)</f>
        <v>97.5</v>
      </c>
      <c r="R955" s="9"/>
      <c r="V955" s="2">
        <f>-home-VLOOKUP(Table2[[#This Row],[Home/Neutral]],rtg_vlookup,4,FALSE)+VLOOKUP(Table2[[#This Row],[Visitor/Neutral]],rtg_vlookup,4,FALSE)</f>
        <v>-1.5118483412330797E-2</v>
      </c>
      <c r="W955" s="25"/>
      <c r="X955" s="2"/>
      <c r="Y955" s="2">
        <f>Table2[[#This Row],[Away EV]]-Table2[[#This Row],[Home EV]]</f>
        <v>0.9946288247561057</v>
      </c>
      <c r="Z955" s="33"/>
      <c r="AA955" s="34"/>
      <c r="AB955" s="5" t="b">
        <f>IF(VLOOKUP(Table2[[#This Row],[Home/Neutral]],division_lookup,9,FALSE)=VLOOKUP(Table2[[#This Row],[Visitor/Neutral]],division_lookup,9,FALSE),TRUE,FALSE)</f>
        <v>1</v>
      </c>
      <c r="AC955" s="19" t="str">
        <f>VLOOKUP(Table2[[#This Row],[Home/Neutral]],division_lookup,9,FALSE)</f>
        <v>SE</v>
      </c>
      <c r="AD955" s="19"/>
      <c r="AE955" s="19" t="str">
        <f>IF(Table2[[#This Row],[Total EV ®]]&lt;Table2[[#This Row],[Total (V)]],"UNDER","OVER")</f>
        <v>OVER</v>
      </c>
      <c r="AF955" s="30">
        <f>Table2[[#This Row],[(A) Spread]]-Table2[[#This Row],[Spread (V)]]</f>
        <v>0</v>
      </c>
      <c r="AG955" s="19"/>
      <c r="AH955" s="2">
        <f>Table2[[#This Row],[EV]]-Table2[[#This Row],[Spread (V)]]</f>
        <v>0.9946288247561057</v>
      </c>
      <c r="AI955" s="22">
        <f>Table2[[#This Row],[(A)]]-Table2[[#This Row],[Spread]]</f>
        <v>-1.5118483412330797E-2</v>
      </c>
      <c r="AJ955" s="1">
        <f>Table2[[#This Row],[(A) Err]]^2</f>
        <v>2.2856854068892144E-4</v>
      </c>
      <c r="AK955" s="6">
        <f>Table2[[#This Row],[EV]]-Table2[[#This Row],[Spread]]</f>
        <v>0.9946288247561057</v>
      </c>
      <c r="AL955" s="1">
        <f>Table2[[#This Row],[EV Err]]^2</f>
        <v>0.98928649903571197</v>
      </c>
    </row>
    <row r="956" spans="1:38" x14ac:dyDescent="0.25">
      <c r="A956" t="s">
        <v>169</v>
      </c>
      <c r="B956" t="s">
        <v>30</v>
      </c>
      <c r="C956" t="s">
        <v>31</v>
      </c>
      <c r="K956" s="25">
        <f>(Table2[[#This Row],[Home Pace]]/100)*(VLOOKUP(Table2[[#This Row],[Home/Neutral]],home_lookup,8,FALSE)+VLOOKUP(Table2[[#This Row],[Home/Neutral]],OFR_lookup,2,FALSE)+VLOOKUP(Table2[[#This Row],[Visitor/Neutral]],def_diff_lookup,6,FALSE))</f>
        <v>112.68128034993644</v>
      </c>
      <c r="L956" s="25"/>
      <c r="M956" s="25">
        <f>(Table2[[#This Row],[Away Pace]]/100)*(VLOOKUP(Table2[[#This Row],[Visitor/Neutral]],OFR_lookup,2,FALSE)+VLOOKUP(Table2[[#This Row],[Home/Neutral]],def_diff_lookup,6,FALSE))</f>
        <v>106.28224000000002</v>
      </c>
      <c r="N956" s="25"/>
      <c r="O956" s="25"/>
      <c r="P956">
        <f>VLOOKUP(Table2[[#This Row],[Home/Neutral]],pace_lookup,7,FALSE)</f>
        <v>96.8</v>
      </c>
      <c r="Q956" s="5">
        <f>VLOOKUP(Table2[[#This Row],[Visitor/Neutral]],pace_lookup,7,FALSE)</f>
        <v>96</v>
      </c>
      <c r="R956" s="9"/>
      <c r="V956" s="2">
        <f>-home-VLOOKUP(Table2[[#This Row],[Home/Neutral]],rtg_vlookup,4,FALSE)+VLOOKUP(Table2[[#This Row],[Visitor/Neutral]],rtg_vlookup,4,FALSE)</f>
        <v>-2.4551184834123312</v>
      </c>
      <c r="W956" s="25"/>
      <c r="X956" s="2"/>
      <c r="Y956" s="2">
        <f>Table2[[#This Row],[Away EV]]-Table2[[#This Row],[Home EV]]</f>
        <v>-6.3990403499364277</v>
      </c>
      <c r="Z956" s="33"/>
      <c r="AA956" s="34"/>
      <c r="AB956" s="5" t="b">
        <f>IF(VLOOKUP(Table2[[#This Row],[Home/Neutral]],division_lookup,9,FALSE)=VLOOKUP(Table2[[#This Row],[Visitor/Neutral]],division_lookup,9,FALSE),TRUE,FALSE)</f>
        <v>0</v>
      </c>
      <c r="AC956" s="19" t="str">
        <f>VLOOKUP(Table2[[#This Row],[Home/Neutral]],division_lookup,9,FALSE)</f>
        <v>C</v>
      </c>
      <c r="AD956" s="19"/>
      <c r="AE956" s="19" t="str">
        <f>IF(Table2[[#This Row],[Total EV ®]]&lt;Table2[[#This Row],[Total (V)]],"UNDER","OVER")</f>
        <v>OVER</v>
      </c>
      <c r="AF956" s="30">
        <f>Table2[[#This Row],[(A) Spread]]-Table2[[#This Row],[Spread (V)]]</f>
        <v>0</v>
      </c>
      <c r="AG956" s="19"/>
      <c r="AH956" s="2">
        <f>Table2[[#This Row],[EV]]-Table2[[#This Row],[Spread (V)]]</f>
        <v>-6.3990403499364277</v>
      </c>
      <c r="AI956" s="22">
        <f>Table2[[#This Row],[(A)]]-Table2[[#This Row],[Spread]]</f>
        <v>-2.4551184834123312</v>
      </c>
      <c r="AJ956" s="1">
        <f>Table2[[#This Row],[(A) Err]]^2</f>
        <v>6.0276067675928653</v>
      </c>
      <c r="AK956" s="6">
        <f>Table2[[#This Row],[EV]]-Table2[[#This Row],[Spread]]</f>
        <v>-6.3990403499364277</v>
      </c>
      <c r="AL956" s="1">
        <f>Table2[[#This Row],[EV Err]]^2</f>
        <v>40.94771740011452</v>
      </c>
    </row>
    <row r="957" spans="1:38" x14ac:dyDescent="0.25">
      <c r="A957" t="s">
        <v>169</v>
      </c>
      <c r="B957" t="s">
        <v>22</v>
      </c>
      <c r="C957" t="s">
        <v>4</v>
      </c>
      <c r="K957" s="25">
        <f>(Table2[[#This Row],[Home Pace]]/100)*(VLOOKUP(Table2[[#This Row],[Home/Neutral]],home_lookup,8,FALSE)+VLOOKUP(Table2[[#This Row],[Home/Neutral]],OFR_lookup,2,FALSE)+VLOOKUP(Table2[[#This Row],[Visitor/Neutral]],def_diff_lookup,6,FALSE))</f>
        <v>105.15817922968976</v>
      </c>
      <c r="L957" s="25"/>
      <c r="M957" s="25">
        <f>(Table2[[#This Row],[Away Pace]]/100)*(VLOOKUP(Table2[[#This Row],[Visitor/Neutral]],OFR_lookup,2,FALSE)+VLOOKUP(Table2[[#This Row],[Home/Neutral]],def_diff_lookup,6,FALSE))</f>
        <v>114.84838400000001</v>
      </c>
      <c r="N957" s="25"/>
      <c r="O957" s="25"/>
      <c r="P957">
        <f>VLOOKUP(Table2[[#This Row],[Home/Neutral]],pace_lookup,7,FALSE)</f>
        <v>94.7</v>
      </c>
      <c r="Q957" s="5">
        <f>VLOOKUP(Table2[[#This Row],[Visitor/Neutral]],pace_lookup,7,FALSE)</f>
        <v>96.6</v>
      </c>
      <c r="R957" s="9"/>
      <c r="V957" s="2">
        <f>-home-VLOOKUP(Table2[[#This Row],[Home/Neutral]],rtg_vlookup,4,FALSE)+VLOOKUP(Table2[[#This Row],[Visitor/Neutral]],rtg_vlookup,4,FALSE)</f>
        <v>11.00488151658767</v>
      </c>
      <c r="W957" s="25"/>
      <c r="X957" s="2"/>
      <c r="Y957" s="2">
        <f>Table2[[#This Row],[Away EV]]-Table2[[#This Row],[Home EV]]</f>
        <v>9.6902047703102454</v>
      </c>
      <c r="Z957" s="33"/>
      <c r="AA957" s="34"/>
      <c r="AB957" s="5" t="b">
        <f>IF(VLOOKUP(Table2[[#This Row],[Home/Neutral]],division_lookup,9,FALSE)=VLOOKUP(Table2[[#This Row],[Visitor/Neutral]],division_lookup,9,FALSE),TRUE,FALSE)</f>
        <v>0</v>
      </c>
      <c r="AC957" s="19" t="str">
        <f>VLOOKUP(Table2[[#This Row],[Home/Neutral]],division_lookup,9,FALSE)</f>
        <v>NW</v>
      </c>
      <c r="AD957" s="19"/>
      <c r="AE957" s="19" t="str">
        <f>IF(Table2[[#This Row],[Total EV ®]]&lt;Table2[[#This Row],[Total (V)]],"UNDER","OVER")</f>
        <v>OVER</v>
      </c>
      <c r="AF957" s="30">
        <f>Table2[[#This Row],[(A) Spread]]-Table2[[#This Row],[Spread (V)]]</f>
        <v>0</v>
      </c>
      <c r="AG957" s="19"/>
      <c r="AH957" s="2">
        <f>Table2[[#This Row],[EV]]-Table2[[#This Row],[Spread (V)]]</f>
        <v>9.6902047703102454</v>
      </c>
      <c r="AI957" s="22">
        <f>Table2[[#This Row],[(A)]]-Table2[[#This Row],[Spread]]</f>
        <v>11.00488151658767</v>
      </c>
      <c r="AJ957" s="1">
        <f>Table2[[#This Row],[(A) Err]]^2</f>
        <v>121.10741719413294</v>
      </c>
      <c r="AK957" s="6">
        <f>Table2[[#This Row],[EV]]-Table2[[#This Row],[Spread]]</f>
        <v>9.6902047703102454</v>
      </c>
      <c r="AL957" s="1">
        <f>Table2[[#This Row],[EV Err]]^2</f>
        <v>93.900068490543433</v>
      </c>
    </row>
    <row r="958" spans="1:38" x14ac:dyDescent="0.25">
      <c r="A958" t="s">
        <v>169</v>
      </c>
      <c r="B958" t="s">
        <v>34</v>
      </c>
      <c r="C958" t="s">
        <v>14</v>
      </c>
      <c r="K958" s="25">
        <f>(Table2[[#This Row],[Home Pace]]/100)*(VLOOKUP(Table2[[#This Row],[Home/Neutral]],home_lookup,8,FALSE)+VLOOKUP(Table2[[#This Row],[Home/Neutral]],OFR_lookup,2,FALSE)+VLOOKUP(Table2[[#This Row],[Visitor/Neutral]],def_diff_lookup,6,FALSE))</f>
        <v>106.76499864565555</v>
      </c>
      <c r="L958" s="25"/>
      <c r="M958" s="25">
        <f>(Table2[[#This Row],[Away Pace]]/100)*(VLOOKUP(Table2[[#This Row],[Visitor/Neutral]],OFR_lookup,2,FALSE)+VLOOKUP(Table2[[#This Row],[Home/Neutral]],def_diff_lookup,6,FALSE))</f>
        <v>108.29091933333335</v>
      </c>
      <c r="N958" s="25"/>
      <c r="O958" s="25"/>
      <c r="P958">
        <f>VLOOKUP(Table2[[#This Row],[Home/Neutral]],pace_lookup,7,FALSE)</f>
        <v>98.8</v>
      </c>
      <c r="Q958" s="5">
        <f>VLOOKUP(Table2[[#This Row],[Visitor/Neutral]],pace_lookup,7,FALSE)</f>
        <v>95.9</v>
      </c>
      <c r="R958" s="9"/>
      <c r="V958" s="2">
        <f>-home-VLOOKUP(Table2[[#This Row],[Home/Neutral]],rtg_vlookup,4,FALSE)+VLOOKUP(Table2[[#This Row],[Visitor/Neutral]],rtg_vlookup,4,FALSE)</f>
        <v>7.2748815165876692</v>
      </c>
      <c r="W958" s="25"/>
      <c r="X958" s="2"/>
      <c r="Y958" s="2">
        <f>Table2[[#This Row],[Away EV]]-Table2[[#This Row],[Home EV]]</f>
        <v>1.5259206876777966</v>
      </c>
      <c r="Z958" s="33"/>
      <c r="AA958" s="34"/>
      <c r="AB958" s="5" t="b">
        <f>IF(VLOOKUP(Table2[[#This Row],[Home/Neutral]],division_lookup,9,FALSE)=VLOOKUP(Table2[[#This Row],[Visitor/Neutral]],division_lookup,9,FALSE),TRUE,FALSE)</f>
        <v>0</v>
      </c>
      <c r="AC958" s="19" t="str">
        <f>VLOOKUP(Table2[[#This Row],[Home/Neutral]],division_lookup,9,FALSE)</f>
        <v>SW</v>
      </c>
      <c r="AD958" s="19"/>
      <c r="AE958" s="19" t="str">
        <f>IF(Table2[[#This Row],[Total EV ®]]&lt;Table2[[#This Row],[Total (V)]],"UNDER","OVER")</f>
        <v>OVER</v>
      </c>
      <c r="AF958" s="30">
        <f>Table2[[#This Row],[(A) Spread]]-Table2[[#This Row],[Spread (V)]]</f>
        <v>0</v>
      </c>
      <c r="AG958" s="19"/>
      <c r="AH958" s="2">
        <f>Table2[[#This Row],[EV]]-Table2[[#This Row],[Spread (V)]]</f>
        <v>1.5259206876777966</v>
      </c>
      <c r="AI958" s="22">
        <f>Table2[[#This Row],[(A)]]-Table2[[#This Row],[Spread]]</f>
        <v>7.2748815165876692</v>
      </c>
      <c r="AJ958" s="1">
        <f>Table2[[#This Row],[(A) Err]]^2</f>
        <v>52.923901080388909</v>
      </c>
      <c r="AK958" s="6">
        <f>Table2[[#This Row],[EV]]-Table2[[#This Row],[Spread]]</f>
        <v>1.5259206876777966</v>
      </c>
      <c r="AL958" s="1">
        <f>Table2[[#This Row],[EV Err]]^2</f>
        <v>2.3284339450830798</v>
      </c>
    </row>
    <row r="959" spans="1:38" x14ac:dyDescent="0.25">
      <c r="A959" t="s">
        <v>169</v>
      </c>
      <c r="B959" t="s">
        <v>38</v>
      </c>
      <c r="C959" t="s">
        <v>13</v>
      </c>
      <c r="K959" s="25">
        <f>(Table2[[#This Row],[Home Pace]]/100)*(VLOOKUP(Table2[[#This Row],[Home/Neutral]],home_lookup,8,FALSE)+VLOOKUP(Table2[[#This Row],[Home/Neutral]],OFR_lookup,2,FALSE)+VLOOKUP(Table2[[#This Row],[Visitor/Neutral]],def_diff_lookup,6,FALSE))</f>
        <v>105.3466516789148</v>
      </c>
      <c r="L959" s="25"/>
      <c r="M959" s="25">
        <f>(Table2[[#This Row],[Away Pace]]/100)*(VLOOKUP(Table2[[#This Row],[Visitor/Neutral]],OFR_lookup,2,FALSE)+VLOOKUP(Table2[[#This Row],[Home/Neutral]],def_diff_lookup,6,FALSE))</f>
        <v>106.19028</v>
      </c>
      <c r="N959" s="25"/>
      <c r="O959" s="25"/>
      <c r="P959">
        <f>VLOOKUP(Table2[[#This Row],[Home/Neutral]],pace_lookup,7,FALSE)</f>
        <v>94.2</v>
      </c>
      <c r="Q959" s="5">
        <f>VLOOKUP(Table2[[#This Row],[Visitor/Neutral]],pace_lookup,7,FALSE)</f>
        <v>94.5</v>
      </c>
      <c r="R959" s="9"/>
      <c r="V959" s="2">
        <f>-home-VLOOKUP(Table2[[#This Row],[Home/Neutral]],rtg_vlookup,4,FALSE)+VLOOKUP(Table2[[#This Row],[Visitor/Neutral]],rtg_vlookup,4,FALSE)</f>
        <v>11.604881516587668</v>
      </c>
      <c r="W959" s="25"/>
      <c r="X959" s="2"/>
      <c r="Y959" s="2">
        <f>Table2[[#This Row],[Away EV]]-Table2[[#This Row],[Home EV]]</f>
        <v>0.84362832108520536</v>
      </c>
      <c r="Z959" s="33"/>
      <c r="AA959" s="34"/>
      <c r="AB959" s="5" t="b">
        <f>IF(VLOOKUP(Table2[[#This Row],[Home/Neutral]],division_lookup,9,FALSE)=VLOOKUP(Table2[[#This Row],[Visitor/Neutral]],division_lookup,9,FALSE),TRUE,FALSE)</f>
        <v>0</v>
      </c>
      <c r="AC959" s="19" t="str">
        <f>VLOOKUP(Table2[[#This Row],[Home/Neutral]],division_lookup,9,FALSE)</f>
        <v>SE</v>
      </c>
      <c r="AD959" s="19"/>
      <c r="AE959" s="19" t="str">
        <f>IF(Table2[[#This Row],[Total EV ®]]&lt;Table2[[#This Row],[Total (V)]],"UNDER","OVER")</f>
        <v>OVER</v>
      </c>
      <c r="AF959" s="30">
        <f>Table2[[#This Row],[(A) Spread]]-Table2[[#This Row],[Spread (V)]]</f>
        <v>0</v>
      </c>
      <c r="AG959" s="19"/>
      <c r="AH959" s="2">
        <f>Table2[[#This Row],[EV]]-Table2[[#This Row],[Spread (V)]]</f>
        <v>0.84362832108520536</v>
      </c>
      <c r="AI959" s="22">
        <f>Table2[[#This Row],[(A)]]-Table2[[#This Row],[Spread]]</f>
        <v>11.604881516587668</v>
      </c>
      <c r="AJ959" s="1">
        <f>Table2[[#This Row],[(A) Err]]^2</f>
        <v>134.67327501403807</v>
      </c>
      <c r="AK959" s="6">
        <f>Table2[[#This Row],[EV]]-Table2[[#This Row],[Spread]]</f>
        <v>0.84362832108520536</v>
      </c>
      <c r="AL959" s="1">
        <f>Table2[[#This Row],[EV Err]]^2</f>
        <v>0.71170874413704233</v>
      </c>
    </row>
    <row r="960" spans="1:38" x14ac:dyDescent="0.25">
      <c r="A960" t="s">
        <v>169</v>
      </c>
      <c r="B960" t="s">
        <v>6</v>
      </c>
      <c r="C960" t="s">
        <v>29</v>
      </c>
      <c r="K960" s="25">
        <f>(Table2[[#This Row],[Home Pace]]/100)*(VLOOKUP(Table2[[#This Row],[Home/Neutral]],home_lookup,8,FALSE)+VLOOKUP(Table2[[#This Row],[Home/Neutral]],OFR_lookup,2,FALSE)+VLOOKUP(Table2[[#This Row],[Visitor/Neutral]],def_diff_lookup,6,FALSE))</f>
        <v>106.12248787062244</v>
      </c>
      <c r="L960" s="25"/>
      <c r="M960" s="25">
        <f>(Table2[[#This Row],[Away Pace]]/100)*(VLOOKUP(Table2[[#This Row],[Visitor/Neutral]],OFR_lookup,2,FALSE)+VLOOKUP(Table2[[#This Row],[Home/Neutral]],def_diff_lookup,6,FALSE))</f>
        <v>98.537525333333349</v>
      </c>
      <c r="N960" s="25"/>
      <c r="O960" s="25"/>
      <c r="P960">
        <f>VLOOKUP(Table2[[#This Row],[Home/Neutral]],pace_lookup,7,FALSE)</f>
        <v>93.1</v>
      </c>
      <c r="Q960" s="5">
        <f>VLOOKUP(Table2[[#This Row],[Visitor/Neutral]],pace_lookup,7,FALSE)</f>
        <v>93.8</v>
      </c>
      <c r="R960" s="9"/>
      <c r="V960" s="2">
        <f>-home-VLOOKUP(Table2[[#This Row],[Home/Neutral]],rtg_vlookup,4,FALSE)+VLOOKUP(Table2[[#This Row],[Visitor/Neutral]],rtg_vlookup,4,FALSE)</f>
        <v>-12.01511848341233</v>
      </c>
      <c r="W960" s="25"/>
      <c r="X960" s="2"/>
      <c r="Y960" s="2">
        <f>Table2[[#This Row],[Away EV]]-Table2[[#This Row],[Home EV]]</f>
        <v>-7.584962537289087</v>
      </c>
      <c r="Z960" s="33"/>
      <c r="AA960" s="34"/>
      <c r="AB960" s="5" t="b">
        <f>IF(VLOOKUP(Table2[[#This Row],[Home/Neutral]],division_lookup,9,FALSE)=VLOOKUP(Table2[[#This Row],[Visitor/Neutral]],division_lookup,9,FALSE),TRUE,FALSE)</f>
        <v>0</v>
      </c>
      <c r="AC960" s="19" t="str">
        <f>VLOOKUP(Table2[[#This Row],[Home/Neutral]],division_lookup,9,FALSE)</f>
        <v>SW</v>
      </c>
      <c r="AD960" s="19"/>
      <c r="AE960" s="19" t="str">
        <f>IF(Table2[[#This Row],[Total EV ®]]&lt;Table2[[#This Row],[Total (V)]],"UNDER","OVER")</f>
        <v>OVER</v>
      </c>
      <c r="AF960" s="30">
        <f>Table2[[#This Row],[(A) Spread]]-Table2[[#This Row],[Spread (V)]]</f>
        <v>0</v>
      </c>
      <c r="AG960" s="19"/>
      <c r="AH960" s="2">
        <f>Table2[[#This Row],[EV]]-Table2[[#This Row],[Spread (V)]]</f>
        <v>-7.584962537289087</v>
      </c>
      <c r="AI960" s="22">
        <f>Table2[[#This Row],[(A)]]-Table2[[#This Row],[Spread]]</f>
        <v>-12.01511848341233</v>
      </c>
      <c r="AJ960" s="1">
        <f>Table2[[#This Row],[(A) Err]]^2</f>
        <v>144.3630721704366</v>
      </c>
      <c r="AK960" s="6">
        <f>Table2[[#This Row],[EV]]-Table2[[#This Row],[Spread]]</f>
        <v>-7.584962537289087</v>
      </c>
      <c r="AL960" s="1">
        <f>Table2[[#This Row],[EV Err]]^2</f>
        <v>57.531656692078904</v>
      </c>
    </row>
    <row r="961" spans="1:38" x14ac:dyDescent="0.25">
      <c r="A961" t="s">
        <v>170</v>
      </c>
      <c r="B961" t="s">
        <v>25</v>
      </c>
      <c r="C961" t="s">
        <v>8</v>
      </c>
      <c r="K961" s="25">
        <f>(Table2[[#This Row],[Home Pace]]/100)*(VLOOKUP(Table2[[#This Row],[Home/Neutral]],home_lookup,8,FALSE)+VLOOKUP(Table2[[#This Row],[Home/Neutral]],OFR_lookup,2,FALSE)+VLOOKUP(Table2[[#This Row],[Visitor/Neutral]],def_diff_lookup,6,FALSE))</f>
        <v>101.41246444427257</v>
      </c>
      <c r="L961" s="25"/>
      <c r="M961" s="25">
        <f>(Table2[[#This Row],[Away Pace]]/100)*(VLOOKUP(Table2[[#This Row],[Visitor/Neutral]],OFR_lookup,2,FALSE)+VLOOKUP(Table2[[#This Row],[Home/Neutral]],def_diff_lookup,6,FALSE))</f>
        <v>104.49064800000001</v>
      </c>
      <c r="N961" s="25"/>
      <c r="O961" s="25"/>
      <c r="P961">
        <f>VLOOKUP(Table2[[#This Row],[Home/Neutral]],pace_lookup,7,FALSE)</f>
        <v>94.4</v>
      </c>
      <c r="Q961" s="5">
        <f>VLOOKUP(Table2[[#This Row],[Visitor/Neutral]],pace_lookup,7,FALSE)</f>
        <v>97.2</v>
      </c>
      <c r="R961" s="9"/>
      <c r="V961" s="2">
        <f>-home-VLOOKUP(Table2[[#This Row],[Home/Neutral]],rtg_vlookup,4,FALSE)+VLOOKUP(Table2[[#This Row],[Visitor/Neutral]],rtg_vlookup,4,FALSE)</f>
        <v>4.1448815165876693</v>
      </c>
      <c r="W961" s="25"/>
      <c r="X961" s="2"/>
      <c r="Y961" s="2">
        <f>Table2[[#This Row],[Away EV]]-Table2[[#This Row],[Home EV]]</f>
        <v>3.0781835557274349</v>
      </c>
      <c r="Z961" s="33"/>
      <c r="AA961" s="34"/>
      <c r="AB961" s="5" t="b">
        <f>IF(VLOOKUP(Table2[[#This Row],[Home/Neutral]],division_lookup,9,FALSE)=VLOOKUP(Table2[[#This Row],[Visitor/Neutral]],division_lookup,9,FALSE),TRUE,FALSE)</f>
        <v>1</v>
      </c>
      <c r="AC961" s="19" t="str">
        <f>VLOOKUP(Table2[[#This Row],[Home/Neutral]],division_lookup,9,FALSE)</f>
        <v>C</v>
      </c>
      <c r="AD961" s="19"/>
      <c r="AE961" s="19" t="str">
        <f>IF(Table2[[#This Row],[Total EV ®]]&lt;Table2[[#This Row],[Total (V)]],"UNDER","OVER")</f>
        <v>OVER</v>
      </c>
      <c r="AF961" s="30">
        <f>Table2[[#This Row],[(A) Spread]]-Table2[[#This Row],[Spread (V)]]</f>
        <v>0</v>
      </c>
      <c r="AG961" s="19"/>
      <c r="AH961" s="2">
        <f>Table2[[#This Row],[EV]]-Table2[[#This Row],[Spread (V)]]</f>
        <v>3.0781835557274349</v>
      </c>
      <c r="AI961" s="22">
        <f>Table2[[#This Row],[(A)]]-Table2[[#This Row],[Spread]]</f>
        <v>4.1448815165876693</v>
      </c>
      <c r="AJ961" s="1">
        <f>Table2[[#This Row],[(A) Err]]^2</f>
        <v>17.180042786550096</v>
      </c>
      <c r="AK961" s="6">
        <f>Table2[[#This Row],[EV]]-Table2[[#This Row],[Spread]]</f>
        <v>3.0781835557274349</v>
      </c>
      <c r="AL961" s="1">
        <f>Table2[[#This Row],[EV Err]]^2</f>
        <v>9.4752140027507945</v>
      </c>
    </row>
    <row r="962" spans="1:38" x14ac:dyDescent="0.25">
      <c r="A962" t="s">
        <v>170</v>
      </c>
      <c r="B962" t="s">
        <v>23</v>
      </c>
      <c r="C962" t="s">
        <v>4</v>
      </c>
      <c r="K962" s="25">
        <f>(Table2[[#This Row],[Home Pace]]/100)*(VLOOKUP(Table2[[#This Row],[Home/Neutral]],home_lookup,8,FALSE)+VLOOKUP(Table2[[#This Row],[Home/Neutral]],OFR_lookup,2,FALSE)+VLOOKUP(Table2[[#This Row],[Visitor/Neutral]],def_diff_lookup,6,FALSE))</f>
        <v>96.301137358713589</v>
      </c>
      <c r="L962" s="25"/>
      <c r="M962" s="25">
        <f>(Table2[[#This Row],[Away Pace]]/100)*(VLOOKUP(Table2[[#This Row],[Visitor/Neutral]],OFR_lookup,2,FALSE)+VLOOKUP(Table2[[#This Row],[Home/Neutral]],def_diff_lookup,6,FALSE))</f>
        <v>106.72432400000001</v>
      </c>
      <c r="N962" s="25"/>
      <c r="O962" s="25"/>
      <c r="P962">
        <f>VLOOKUP(Table2[[#This Row],[Home/Neutral]],pace_lookup,7,FALSE)</f>
        <v>92.5</v>
      </c>
      <c r="Q962" s="5">
        <f>VLOOKUP(Table2[[#This Row],[Visitor/Neutral]],pace_lookup,7,FALSE)</f>
        <v>96.6</v>
      </c>
      <c r="R962" s="9"/>
      <c r="V962" s="2">
        <f>-home-VLOOKUP(Table2[[#This Row],[Home/Neutral]],rtg_vlookup,4,FALSE)+VLOOKUP(Table2[[#This Row],[Visitor/Neutral]],rtg_vlookup,4,FALSE)</f>
        <v>9.5148815165876695</v>
      </c>
      <c r="W962" s="25"/>
      <c r="X962" s="2"/>
      <c r="Y962" s="2">
        <f>Table2[[#This Row],[Away EV]]-Table2[[#This Row],[Home EV]]</f>
        <v>10.423186641286421</v>
      </c>
      <c r="Z962" s="33"/>
      <c r="AA962" s="34"/>
      <c r="AB962" s="5" t="b">
        <f>IF(VLOOKUP(Table2[[#This Row],[Home/Neutral]],division_lookup,9,FALSE)=VLOOKUP(Table2[[#This Row],[Visitor/Neutral]],division_lookup,9,FALSE),TRUE,FALSE)</f>
        <v>0</v>
      </c>
      <c r="AC962" s="19" t="str">
        <f>VLOOKUP(Table2[[#This Row],[Home/Neutral]],division_lookup,9,FALSE)</f>
        <v>SW</v>
      </c>
      <c r="AD962" s="19"/>
      <c r="AE962" s="19" t="str">
        <f>IF(Table2[[#This Row],[Total EV ®]]&lt;Table2[[#This Row],[Total (V)]],"UNDER","OVER")</f>
        <v>OVER</v>
      </c>
      <c r="AF962" s="30">
        <f>Table2[[#This Row],[(A) Spread]]-Table2[[#This Row],[Spread (V)]]</f>
        <v>0</v>
      </c>
      <c r="AG962" s="19"/>
      <c r="AH962" s="2">
        <f>Table2[[#This Row],[EV]]-Table2[[#This Row],[Spread (V)]]</f>
        <v>10.423186641286421</v>
      </c>
      <c r="AI962" s="22">
        <f>Table2[[#This Row],[(A)]]-Table2[[#This Row],[Spread]]</f>
        <v>9.5148815165876695</v>
      </c>
      <c r="AJ962" s="1">
        <f>Table2[[#This Row],[(A) Err]]^2</f>
        <v>90.532970274701668</v>
      </c>
      <c r="AK962" s="6">
        <f>Table2[[#This Row],[EV]]-Table2[[#This Row],[Spread]]</f>
        <v>10.423186641286421</v>
      </c>
      <c r="AL962" s="1">
        <f>Table2[[#This Row],[EV Err]]^2</f>
        <v>108.64281975909169</v>
      </c>
    </row>
    <row r="963" spans="1:38" x14ac:dyDescent="0.25">
      <c r="A963" t="s">
        <v>170</v>
      </c>
      <c r="B963" t="s">
        <v>18</v>
      </c>
      <c r="C963" t="s">
        <v>6</v>
      </c>
      <c r="K963" s="25">
        <f>(Table2[[#This Row],[Home Pace]]/100)*(VLOOKUP(Table2[[#This Row],[Home/Neutral]],home_lookup,8,FALSE)+VLOOKUP(Table2[[#This Row],[Home/Neutral]],OFR_lookup,2,FALSE)+VLOOKUP(Table2[[#This Row],[Visitor/Neutral]],def_diff_lookup,6,FALSE))</f>
        <v>100.58675616021132</v>
      </c>
      <c r="L963" s="25"/>
      <c r="M963" s="25">
        <f>(Table2[[#This Row],[Away Pace]]/100)*(VLOOKUP(Table2[[#This Row],[Visitor/Neutral]],OFR_lookup,2,FALSE)+VLOOKUP(Table2[[#This Row],[Home/Neutral]],def_diff_lookup,6,FALSE))</f>
        <v>99.459350666666666</v>
      </c>
      <c r="N963" s="25"/>
      <c r="O963" s="25"/>
      <c r="P963">
        <f>VLOOKUP(Table2[[#This Row],[Home/Neutral]],pace_lookup,7,FALSE)</f>
        <v>99.5</v>
      </c>
      <c r="Q963" s="5">
        <f>VLOOKUP(Table2[[#This Row],[Visitor/Neutral]],pace_lookup,7,FALSE)</f>
        <v>93.1</v>
      </c>
      <c r="R963" s="9"/>
      <c r="V963" s="2">
        <f>-home-VLOOKUP(Table2[[#This Row],[Home/Neutral]],rtg_vlookup,4,FALSE)+VLOOKUP(Table2[[#This Row],[Visitor/Neutral]],rtg_vlookup,4,FALSE)</f>
        <v>1.9448815165876692</v>
      </c>
      <c r="W963" s="25"/>
      <c r="X963" s="2"/>
      <c r="Y963" s="2">
        <f>Table2[[#This Row],[Away EV]]-Table2[[#This Row],[Home EV]]</f>
        <v>-1.1274054935446571</v>
      </c>
      <c r="Z963" s="33"/>
      <c r="AA963" s="34"/>
      <c r="AB963" s="5" t="b">
        <f>IF(VLOOKUP(Table2[[#This Row],[Home/Neutral]],division_lookup,9,FALSE)=VLOOKUP(Table2[[#This Row],[Visitor/Neutral]],division_lookup,9,FALSE),TRUE,FALSE)</f>
        <v>0</v>
      </c>
      <c r="AC963" s="19" t="str">
        <f>VLOOKUP(Table2[[#This Row],[Home/Neutral]],division_lookup,9,FALSE)</f>
        <v>NW</v>
      </c>
      <c r="AD963" s="19"/>
      <c r="AE963" s="19" t="str">
        <f>IF(Table2[[#This Row],[Total EV ®]]&lt;Table2[[#This Row],[Total (V)]],"UNDER","OVER")</f>
        <v>OVER</v>
      </c>
      <c r="AF963" s="30">
        <f>Table2[[#This Row],[(A) Spread]]-Table2[[#This Row],[Spread (V)]]</f>
        <v>0</v>
      </c>
      <c r="AG963" s="19"/>
      <c r="AH963" s="2">
        <f>Table2[[#This Row],[EV]]-Table2[[#This Row],[Spread (V)]]</f>
        <v>-1.1274054935446571</v>
      </c>
      <c r="AI963" s="22">
        <f>Table2[[#This Row],[(A)]]-Table2[[#This Row],[Spread]]</f>
        <v>1.9448815165876692</v>
      </c>
      <c r="AJ963" s="1">
        <f>Table2[[#This Row],[(A) Err]]^2</f>
        <v>3.782564113564352</v>
      </c>
      <c r="AK963" s="6">
        <f>Table2[[#This Row],[EV]]-Table2[[#This Row],[Spread]]</f>
        <v>-1.1274054935446571</v>
      </c>
      <c r="AL963" s="1">
        <f>Table2[[#This Row],[EV Err]]^2</f>
        <v>1.2710431468746719</v>
      </c>
    </row>
    <row r="964" spans="1:38" x14ac:dyDescent="0.25">
      <c r="A964" t="s">
        <v>170</v>
      </c>
      <c r="B964" t="s">
        <v>36</v>
      </c>
      <c r="C964" t="s">
        <v>24</v>
      </c>
      <c r="K964" s="25">
        <f>(Table2[[#This Row],[Home Pace]]/100)*(VLOOKUP(Table2[[#This Row],[Home/Neutral]],home_lookup,8,FALSE)+VLOOKUP(Table2[[#This Row],[Home/Neutral]],OFR_lookup,2,FALSE)+VLOOKUP(Table2[[#This Row],[Visitor/Neutral]],def_diff_lookup,6,FALSE))</f>
        <v>111.52951156604043</v>
      </c>
      <c r="L964" s="25"/>
      <c r="M964" s="25">
        <f>(Table2[[#This Row],[Away Pace]]/100)*(VLOOKUP(Table2[[#This Row],[Visitor/Neutral]],OFR_lookup,2,FALSE)+VLOOKUP(Table2[[#This Row],[Home/Neutral]],def_diff_lookup,6,FALSE))</f>
        <v>113.26728600000001</v>
      </c>
      <c r="N964" s="25"/>
      <c r="O964" s="25"/>
      <c r="P964">
        <f>VLOOKUP(Table2[[#This Row],[Home/Neutral]],pace_lookup,7,FALSE)</f>
        <v>102.2</v>
      </c>
      <c r="Q964" s="5">
        <f>VLOOKUP(Table2[[#This Row],[Visitor/Neutral]],pace_lookup,7,FALSE)</f>
        <v>99.9</v>
      </c>
      <c r="R964" s="9"/>
      <c r="V964" s="2">
        <f>-home-VLOOKUP(Table2[[#This Row],[Home/Neutral]],rtg_vlookup,4,FALSE)+VLOOKUP(Table2[[#This Row],[Visitor/Neutral]],rtg_vlookup,4,FALSE)</f>
        <v>3.7348815165876692</v>
      </c>
      <c r="W964" s="25"/>
      <c r="X964" s="2"/>
      <c r="Y964" s="2">
        <f>Table2[[#This Row],[Away EV]]-Table2[[#This Row],[Home EV]]</f>
        <v>1.7377744339595864</v>
      </c>
      <c r="Z964" s="33"/>
      <c r="AA964" s="34"/>
      <c r="AB964" s="5" t="b">
        <f>IF(VLOOKUP(Table2[[#This Row],[Home/Neutral]],division_lookup,9,FALSE)=VLOOKUP(Table2[[#This Row],[Visitor/Neutral]],division_lookup,9,FALSE),TRUE,FALSE)</f>
        <v>1</v>
      </c>
      <c r="AC964" s="19" t="str">
        <f>VLOOKUP(Table2[[#This Row],[Home/Neutral]],division_lookup,9,FALSE)</f>
        <v>P</v>
      </c>
      <c r="AD964" s="19"/>
      <c r="AE964" s="19" t="str">
        <f>IF(Table2[[#This Row],[Total EV ®]]&lt;Table2[[#This Row],[Total (V)]],"UNDER","OVER")</f>
        <v>OVER</v>
      </c>
      <c r="AF964" s="30">
        <f>Table2[[#This Row],[(A) Spread]]-Table2[[#This Row],[Spread (V)]]</f>
        <v>0</v>
      </c>
      <c r="AG964" s="19"/>
      <c r="AH964" s="2">
        <f>Table2[[#This Row],[EV]]-Table2[[#This Row],[Spread (V)]]</f>
        <v>1.7377744339595864</v>
      </c>
      <c r="AI964" s="22">
        <f>Table2[[#This Row],[(A)]]-Table2[[#This Row],[Spread]]</f>
        <v>3.7348815165876692</v>
      </c>
      <c r="AJ964" s="1">
        <f>Table2[[#This Row],[(A) Err]]^2</f>
        <v>13.949339942948209</v>
      </c>
      <c r="AK964" s="6">
        <f>Table2[[#This Row],[EV]]-Table2[[#This Row],[Spread]]</f>
        <v>1.7377744339595864</v>
      </c>
      <c r="AL964" s="1">
        <f>Table2[[#This Row],[EV Err]]^2</f>
        <v>3.0198599833235611</v>
      </c>
    </row>
    <row r="965" spans="1:38" x14ac:dyDescent="0.25">
      <c r="A965" t="s">
        <v>170</v>
      </c>
      <c r="B965" t="s">
        <v>32</v>
      </c>
      <c r="C965" t="s">
        <v>39</v>
      </c>
      <c r="K965" s="25">
        <f>(Table2[[#This Row],[Home Pace]]/100)*(VLOOKUP(Table2[[#This Row],[Home/Neutral]],home_lookup,8,FALSE)+VLOOKUP(Table2[[#This Row],[Home/Neutral]],OFR_lookup,2,FALSE)+VLOOKUP(Table2[[#This Row],[Visitor/Neutral]],def_diff_lookup,6,FALSE))</f>
        <v>112.1959711200184</v>
      </c>
      <c r="L965" s="25"/>
      <c r="M965" s="25">
        <f>(Table2[[#This Row],[Away Pace]]/100)*(VLOOKUP(Table2[[#This Row],[Visitor/Neutral]],OFR_lookup,2,FALSE)+VLOOKUP(Table2[[#This Row],[Home/Neutral]],def_diff_lookup,6,FALSE))</f>
        <v>102.49265000000001</v>
      </c>
      <c r="N965" s="25"/>
      <c r="O965" s="25"/>
      <c r="P965">
        <f>VLOOKUP(Table2[[#This Row],[Home/Neutral]],pace_lookup,7,FALSE)</f>
        <v>98.6</v>
      </c>
      <c r="Q965" s="5">
        <f>VLOOKUP(Table2[[#This Row],[Visitor/Neutral]],pace_lookup,7,FALSE)</f>
        <v>97.5</v>
      </c>
      <c r="R965" s="9"/>
      <c r="V965" s="2">
        <f>-home-VLOOKUP(Table2[[#This Row],[Home/Neutral]],rtg_vlookup,4,FALSE)+VLOOKUP(Table2[[#This Row],[Visitor/Neutral]],rtg_vlookup,4,FALSE)</f>
        <v>-9.1151184834123313</v>
      </c>
      <c r="W965" s="25"/>
      <c r="X965" s="2"/>
      <c r="Y965" s="2">
        <f>Table2[[#This Row],[Away EV]]-Table2[[#This Row],[Home EV]]</f>
        <v>-9.7033211200183871</v>
      </c>
      <c r="Z965" s="33"/>
      <c r="AA965" s="34"/>
      <c r="AB965" s="5" t="b">
        <f>IF(VLOOKUP(Table2[[#This Row],[Home/Neutral]],division_lookup,9,FALSE)=VLOOKUP(Table2[[#This Row],[Visitor/Neutral]],division_lookup,9,FALSE),TRUE,FALSE)</f>
        <v>0</v>
      </c>
      <c r="AC965" s="19" t="str">
        <f>VLOOKUP(Table2[[#This Row],[Home/Neutral]],division_lookup,9,FALSE)</f>
        <v>NW</v>
      </c>
      <c r="AD965" s="19"/>
      <c r="AE965" s="19" t="str">
        <f>IF(Table2[[#This Row],[Total EV ®]]&lt;Table2[[#This Row],[Total (V)]],"UNDER","OVER")</f>
        <v>OVER</v>
      </c>
      <c r="AF965" s="30">
        <f>Table2[[#This Row],[(A) Spread]]-Table2[[#This Row],[Spread (V)]]</f>
        <v>0</v>
      </c>
      <c r="AG965" s="19"/>
      <c r="AH965" s="2">
        <f>Table2[[#This Row],[EV]]-Table2[[#This Row],[Spread (V)]]</f>
        <v>-9.7033211200183871</v>
      </c>
      <c r="AI965" s="22">
        <f>Table2[[#This Row],[(A)]]-Table2[[#This Row],[Spread]]</f>
        <v>-9.1151184834123313</v>
      </c>
      <c r="AJ965" s="1">
        <f>Table2[[#This Row],[(A) Err]]^2</f>
        <v>83.085384966645123</v>
      </c>
      <c r="AK965" s="6">
        <f>Table2[[#This Row],[EV]]-Table2[[#This Row],[Spread]]</f>
        <v>-9.7033211200183871</v>
      </c>
      <c r="AL965" s="1">
        <f>Table2[[#This Row],[EV Err]]^2</f>
        <v>94.15444075819488</v>
      </c>
    </row>
    <row r="966" spans="1:38" x14ac:dyDescent="0.25">
      <c r="A966" t="s">
        <v>171</v>
      </c>
      <c r="B966" t="s">
        <v>11</v>
      </c>
      <c r="C966" t="s">
        <v>14</v>
      </c>
      <c r="K966" s="25">
        <f>(Table2[[#This Row],[Home Pace]]/100)*(VLOOKUP(Table2[[#This Row],[Home/Neutral]],home_lookup,8,FALSE)+VLOOKUP(Table2[[#This Row],[Home/Neutral]],OFR_lookup,2,FALSE)+VLOOKUP(Table2[[#This Row],[Visitor/Neutral]],def_diff_lookup,6,FALSE))</f>
        <v>100.39470904407283</v>
      </c>
      <c r="L966" s="25"/>
      <c r="M966" s="25">
        <f>(Table2[[#This Row],[Away Pace]]/100)*(VLOOKUP(Table2[[#This Row],[Visitor/Neutral]],OFR_lookup,2,FALSE)+VLOOKUP(Table2[[#This Row],[Home/Neutral]],def_diff_lookup,6,FALSE))</f>
        <v>101.06005933333336</v>
      </c>
      <c r="N966" s="25"/>
      <c r="O966" s="25"/>
      <c r="P966">
        <f>VLOOKUP(Table2[[#This Row],[Home/Neutral]],pace_lookup,7,FALSE)</f>
        <v>99.7</v>
      </c>
      <c r="Q966" s="5">
        <f>VLOOKUP(Table2[[#This Row],[Visitor/Neutral]],pace_lookup,7,FALSE)</f>
        <v>95.9</v>
      </c>
      <c r="R966" s="9"/>
      <c r="V966" s="2">
        <f>-home-VLOOKUP(Table2[[#This Row],[Home/Neutral]],rtg_vlookup,4,FALSE)+VLOOKUP(Table2[[#This Row],[Visitor/Neutral]],rtg_vlookup,4,FALSE)</f>
        <v>-4.0751184834123313</v>
      </c>
      <c r="W966" s="25"/>
      <c r="X966" s="2"/>
      <c r="Y966" s="2">
        <f>Table2[[#This Row],[Away EV]]-Table2[[#This Row],[Home EV]]</f>
        <v>0.6653502892605303</v>
      </c>
      <c r="Z966" s="33"/>
      <c r="AA966" s="34"/>
      <c r="AB966" s="5" t="b">
        <f>IF(VLOOKUP(Table2[[#This Row],[Home/Neutral]],division_lookup,9,FALSE)=VLOOKUP(Table2[[#This Row],[Visitor/Neutral]],division_lookup,9,FALSE),TRUE,FALSE)</f>
        <v>0</v>
      </c>
      <c r="AC966" s="19" t="str">
        <f>VLOOKUP(Table2[[#This Row],[Home/Neutral]],division_lookup,9,FALSE)</f>
        <v>SE</v>
      </c>
      <c r="AD966" s="19"/>
      <c r="AE966" s="19" t="str">
        <f>IF(Table2[[#This Row],[Total EV ®]]&lt;Table2[[#This Row],[Total (V)]],"UNDER","OVER")</f>
        <v>OVER</v>
      </c>
      <c r="AF966" s="30">
        <f>Table2[[#This Row],[(A) Spread]]-Table2[[#This Row],[Spread (V)]]</f>
        <v>0</v>
      </c>
      <c r="AG966" s="19"/>
      <c r="AH966" s="2">
        <f>Table2[[#This Row],[EV]]-Table2[[#This Row],[Spread (V)]]</f>
        <v>0.6653502892605303</v>
      </c>
      <c r="AI966" s="22">
        <f>Table2[[#This Row],[(A)]]-Table2[[#This Row],[Spread]]</f>
        <v>-4.0751184834123313</v>
      </c>
      <c r="AJ966" s="1">
        <f>Table2[[#This Row],[(A) Err]]^2</f>
        <v>16.606590653848819</v>
      </c>
      <c r="AK966" s="6">
        <f>Table2[[#This Row],[EV]]-Table2[[#This Row],[Spread]]</f>
        <v>0.6653502892605303</v>
      </c>
      <c r="AL966" s="1">
        <f>Table2[[#This Row],[EV Err]]^2</f>
        <v>0.44269100741907136</v>
      </c>
    </row>
    <row r="967" spans="1:38" x14ac:dyDescent="0.25">
      <c r="A967" t="s">
        <v>171</v>
      </c>
      <c r="B967" t="s">
        <v>13</v>
      </c>
      <c r="C967" t="s">
        <v>17</v>
      </c>
      <c r="K967" s="25">
        <f>(Table2[[#This Row],[Home Pace]]/100)*(VLOOKUP(Table2[[#This Row],[Home/Neutral]],home_lookup,8,FALSE)+VLOOKUP(Table2[[#This Row],[Home/Neutral]],OFR_lookup,2,FALSE)+VLOOKUP(Table2[[#This Row],[Visitor/Neutral]],def_diff_lookup,6,FALSE))</f>
        <v>108.49174108450401</v>
      </c>
      <c r="L967" s="25"/>
      <c r="M967" s="25">
        <f>(Table2[[#This Row],[Away Pace]]/100)*(VLOOKUP(Table2[[#This Row],[Visitor/Neutral]],OFR_lookup,2,FALSE)+VLOOKUP(Table2[[#This Row],[Home/Neutral]],def_diff_lookup,6,FALSE))</f>
        <v>109.40702466666669</v>
      </c>
      <c r="N967" s="25"/>
      <c r="O967" s="25"/>
      <c r="P967">
        <f>VLOOKUP(Table2[[#This Row],[Home/Neutral]],pace_lookup,7,FALSE)</f>
        <v>94.5</v>
      </c>
      <c r="Q967" s="5">
        <f>VLOOKUP(Table2[[#This Row],[Visitor/Neutral]],pace_lookup,7,FALSE)</f>
        <v>96.7</v>
      </c>
      <c r="R967" s="9"/>
      <c r="V967" s="2">
        <f>-home-VLOOKUP(Table2[[#This Row],[Home/Neutral]],rtg_vlookup,4,FALSE)+VLOOKUP(Table2[[#This Row],[Visitor/Neutral]],rtg_vlookup,4,FALSE)</f>
        <v>-4.1251184834123311</v>
      </c>
      <c r="W967" s="25"/>
      <c r="X967" s="2"/>
      <c r="Y967" s="2">
        <f>Table2[[#This Row],[Away EV]]-Table2[[#This Row],[Home EV]]</f>
        <v>0.91528358216267236</v>
      </c>
      <c r="Z967" s="33"/>
      <c r="AA967" s="34"/>
      <c r="AB967" s="5" t="b">
        <f>IF(VLOOKUP(Table2[[#This Row],[Home/Neutral]],division_lookup,9,FALSE)=VLOOKUP(Table2[[#This Row],[Visitor/Neutral]],division_lookup,9,FALSE),TRUE,FALSE)</f>
        <v>0</v>
      </c>
      <c r="AC967" s="19" t="str">
        <f>VLOOKUP(Table2[[#This Row],[Home/Neutral]],division_lookup,9,FALSE)</f>
        <v>C</v>
      </c>
      <c r="AD967" s="19"/>
      <c r="AE967" s="19" t="str">
        <f>IF(Table2[[#This Row],[Total EV ®]]&lt;Table2[[#This Row],[Total (V)]],"UNDER","OVER")</f>
        <v>OVER</v>
      </c>
      <c r="AF967" s="30">
        <f>Table2[[#This Row],[(A) Spread]]-Table2[[#This Row],[Spread (V)]]</f>
        <v>0</v>
      </c>
      <c r="AG967" s="19"/>
      <c r="AH967" s="2">
        <f>Table2[[#This Row],[EV]]-Table2[[#This Row],[Spread (V)]]</f>
        <v>0.91528358216267236</v>
      </c>
      <c r="AI967" s="22">
        <f>Table2[[#This Row],[(A)]]-Table2[[#This Row],[Spread]]</f>
        <v>-4.1251184834123311</v>
      </c>
      <c r="AJ967" s="1">
        <f>Table2[[#This Row],[(A) Err]]^2</f>
        <v>17.01660250219005</v>
      </c>
      <c r="AK967" s="6">
        <f>Table2[[#This Row],[EV]]-Table2[[#This Row],[Spread]]</f>
        <v>0.91528358216267236</v>
      </c>
      <c r="AL967" s="1">
        <f>Table2[[#This Row],[EV Err]]^2</f>
        <v>0.83774403577653345</v>
      </c>
    </row>
    <row r="968" spans="1:38" x14ac:dyDescent="0.25">
      <c r="A968" t="s">
        <v>171</v>
      </c>
      <c r="B968" t="s">
        <v>16</v>
      </c>
      <c r="C968" t="s">
        <v>38</v>
      </c>
      <c r="K968" s="25">
        <f>(Table2[[#This Row],[Home Pace]]/100)*(VLOOKUP(Table2[[#This Row],[Home/Neutral]],home_lookup,8,FALSE)+VLOOKUP(Table2[[#This Row],[Home/Neutral]],OFR_lookup,2,FALSE)+VLOOKUP(Table2[[#This Row],[Visitor/Neutral]],def_diff_lookup,6,FALSE))</f>
        <v>104.7963560111595</v>
      </c>
      <c r="L968" s="25"/>
      <c r="M968" s="25">
        <f>(Table2[[#This Row],[Away Pace]]/100)*(VLOOKUP(Table2[[#This Row],[Visitor/Neutral]],OFR_lookup,2,FALSE)+VLOOKUP(Table2[[#This Row],[Home/Neutral]],def_diff_lookup,6,FALSE))</f>
        <v>91.346368000000027</v>
      </c>
      <c r="N968" s="25"/>
      <c r="O968" s="25"/>
      <c r="P968">
        <f>VLOOKUP(Table2[[#This Row],[Home/Neutral]],pace_lookup,7,FALSE)</f>
        <v>97.5</v>
      </c>
      <c r="Q968" s="5">
        <f>VLOOKUP(Table2[[#This Row],[Visitor/Neutral]],pace_lookup,7,FALSE)</f>
        <v>94.2</v>
      </c>
      <c r="R968" s="9"/>
      <c r="V968" s="2">
        <f>-home-VLOOKUP(Table2[[#This Row],[Home/Neutral]],rtg_vlookup,4,FALSE)+VLOOKUP(Table2[[#This Row],[Visitor/Neutral]],rtg_vlookup,4,FALSE)</f>
        <v>-14.035118483412329</v>
      </c>
      <c r="W968" s="25"/>
      <c r="X968" s="2"/>
      <c r="Y968" s="2">
        <f>Table2[[#This Row],[Away EV]]-Table2[[#This Row],[Home EV]]</f>
        <v>-13.449988011159476</v>
      </c>
      <c r="Z968" s="33"/>
      <c r="AA968" s="34"/>
      <c r="AB968" s="5" t="b">
        <f>IF(VLOOKUP(Table2[[#This Row],[Home/Neutral]],division_lookup,9,FALSE)=VLOOKUP(Table2[[#This Row],[Visitor/Neutral]],division_lookup,9,FALSE),TRUE,FALSE)</f>
        <v>1</v>
      </c>
      <c r="AC968" s="19" t="str">
        <f>VLOOKUP(Table2[[#This Row],[Home/Neutral]],division_lookup,9,FALSE)</f>
        <v>SE</v>
      </c>
      <c r="AD968" s="19"/>
      <c r="AE968" s="19" t="str">
        <f>IF(Table2[[#This Row],[Total EV ®]]&lt;Table2[[#This Row],[Total (V)]],"UNDER","OVER")</f>
        <v>OVER</v>
      </c>
      <c r="AF968" s="30">
        <f>Table2[[#This Row],[(A) Spread]]-Table2[[#This Row],[Spread (V)]]</f>
        <v>0</v>
      </c>
      <c r="AG968" s="19"/>
      <c r="AH968" s="2">
        <f>Table2[[#This Row],[EV]]-Table2[[#This Row],[Spread (V)]]</f>
        <v>-13.449988011159476</v>
      </c>
      <c r="AI968" s="22">
        <f>Table2[[#This Row],[(A)]]-Table2[[#This Row],[Spread]]</f>
        <v>-14.035118483412329</v>
      </c>
      <c r="AJ968" s="1">
        <f>Table2[[#This Row],[(A) Err]]^2</f>
        <v>196.9845508434224</v>
      </c>
      <c r="AK968" s="6">
        <f>Table2[[#This Row],[EV]]-Table2[[#This Row],[Spread]]</f>
        <v>-13.449988011159476</v>
      </c>
      <c r="AL968" s="1">
        <f>Table2[[#This Row],[EV Err]]^2</f>
        <v>180.90217750033364</v>
      </c>
    </row>
    <row r="969" spans="1:38" x14ac:dyDescent="0.25">
      <c r="A969" t="s">
        <v>171</v>
      </c>
      <c r="B969" t="s">
        <v>37</v>
      </c>
      <c r="C969" t="s">
        <v>35</v>
      </c>
      <c r="K969" s="25">
        <f>(Table2[[#This Row],[Home Pace]]/100)*(VLOOKUP(Table2[[#This Row],[Home/Neutral]],home_lookup,8,FALSE)+VLOOKUP(Table2[[#This Row],[Home/Neutral]],OFR_lookup,2,FALSE)+VLOOKUP(Table2[[#This Row],[Visitor/Neutral]],def_diff_lookup,6,FALSE))</f>
        <v>105.66458809362122</v>
      </c>
      <c r="L969" s="25"/>
      <c r="M969" s="25">
        <f>(Table2[[#This Row],[Away Pace]]/100)*(VLOOKUP(Table2[[#This Row],[Visitor/Neutral]],OFR_lookup,2,FALSE)+VLOOKUP(Table2[[#This Row],[Home/Neutral]],def_diff_lookup,6,FALSE))</f>
        <v>102.72190133333335</v>
      </c>
      <c r="N969" s="25"/>
      <c r="O969" s="25"/>
      <c r="P969">
        <f>VLOOKUP(Table2[[#This Row],[Home/Neutral]],pace_lookup,7,FALSE)</f>
        <v>92.1</v>
      </c>
      <c r="Q969" s="5">
        <f>VLOOKUP(Table2[[#This Row],[Visitor/Neutral]],pace_lookup,7,FALSE)</f>
        <v>102.2</v>
      </c>
      <c r="R969" s="9"/>
      <c r="V969" s="2">
        <f>-home-VLOOKUP(Table2[[#This Row],[Home/Neutral]],rtg_vlookup,4,FALSE)+VLOOKUP(Table2[[#This Row],[Visitor/Neutral]],rtg_vlookup,4,FALSE)</f>
        <v>-1.5551184834123299</v>
      </c>
      <c r="W969" s="25"/>
      <c r="X969" s="2"/>
      <c r="Y969" s="2">
        <f>Table2[[#This Row],[Away EV]]-Table2[[#This Row],[Home EV]]</f>
        <v>-2.9426867602878701</v>
      </c>
      <c r="Z969" s="33"/>
      <c r="AA969" s="34"/>
      <c r="AB969" s="5" t="b">
        <f>IF(VLOOKUP(Table2[[#This Row],[Home/Neutral]],division_lookup,9,FALSE)=VLOOKUP(Table2[[#This Row],[Visitor/Neutral]],division_lookup,9,FALSE),TRUE,FALSE)</f>
        <v>0</v>
      </c>
      <c r="AC969" s="19" t="str">
        <f>VLOOKUP(Table2[[#This Row],[Home/Neutral]],division_lookup,9,FALSE)</f>
        <v>SW</v>
      </c>
      <c r="AD969" s="19"/>
      <c r="AE969" s="19" t="str">
        <f>IF(Table2[[#This Row],[Total EV ®]]&lt;Table2[[#This Row],[Total (V)]],"UNDER","OVER")</f>
        <v>OVER</v>
      </c>
      <c r="AF969" s="30">
        <f>Table2[[#This Row],[(A) Spread]]-Table2[[#This Row],[Spread (V)]]</f>
        <v>0</v>
      </c>
      <c r="AG969" s="19"/>
      <c r="AH969" s="2">
        <f>Table2[[#This Row],[EV]]-Table2[[#This Row],[Spread (V)]]</f>
        <v>-2.9426867602878701</v>
      </c>
      <c r="AI969" s="22">
        <f>Table2[[#This Row],[(A)]]-Table2[[#This Row],[Spread]]</f>
        <v>-1.5551184834123299</v>
      </c>
      <c r="AJ969" s="1">
        <f>Table2[[#This Row],[(A) Err]]^2</f>
        <v>2.4183934974506651</v>
      </c>
      <c r="AK969" s="6">
        <f>Table2[[#This Row],[EV]]-Table2[[#This Row],[Spread]]</f>
        <v>-2.9426867602878701</v>
      </c>
      <c r="AL969" s="1">
        <f>Table2[[#This Row],[EV Err]]^2</f>
        <v>8.6594053691735215</v>
      </c>
    </row>
    <row r="970" spans="1:38" x14ac:dyDescent="0.25">
      <c r="A970" t="s">
        <v>171</v>
      </c>
      <c r="B970" t="s">
        <v>27</v>
      </c>
      <c r="C970" t="s">
        <v>26</v>
      </c>
      <c r="K970" s="25">
        <f>(Table2[[#This Row],[Home Pace]]/100)*(VLOOKUP(Table2[[#This Row],[Home/Neutral]],home_lookup,8,FALSE)+VLOOKUP(Table2[[#This Row],[Home/Neutral]],OFR_lookup,2,FALSE)+VLOOKUP(Table2[[#This Row],[Visitor/Neutral]],def_diff_lookup,6,FALSE))</f>
        <v>106.28775642647258</v>
      </c>
      <c r="L970" s="25"/>
      <c r="M970" s="25">
        <f>(Table2[[#This Row],[Away Pace]]/100)*(VLOOKUP(Table2[[#This Row],[Visitor/Neutral]],OFR_lookup,2,FALSE)+VLOOKUP(Table2[[#This Row],[Home/Neutral]],def_diff_lookup,6,FALSE))</f>
        <v>103.12384</v>
      </c>
      <c r="N970" s="25"/>
      <c r="O970" s="25"/>
      <c r="P970">
        <f>VLOOKUP(Table2[[#This Row],[Home/Neutral]],pace_lookup,7,FALSE)</f>
        <v>99</v>
      </c>
      <c r="Q970" s="5">
        <f>VLOOKUP(Table2[[#This Row],[Visitor/Neutral]],pace_lookup,7,FALSE)</f>
        <v>96</v>
      </c>
      <c r="R970" s="9"/>
      <c r="V970" s="2">
        <f>-home-VLOOKUP(Table2[[#This Row],[Home/Neutral]],rtg_vlookup,4,FALSE)+VLOOKUP(Table2[[#This Row],[Visitor/Neutral]],rtg_vlookup,4,FALSE)</f>
        <v>-2.3551184834123307</v>
      </c>
      <c r="W970" s="25"/>
      <c r="X970" s="2"/>
      <c r="Y970" s="2">
        <f>Table2[[#This Row],[Away EV]]-Table2[[#This Row],[Home EV]]</f>
        <v>-3.1639164264725821</v>
      </c>
      <c r="Z970" s="33"/>
      <c r="AA970" s="34"/>
      <c r="AB970" s="5" t="b">
        <f>IF(VLOOKUP(Table2[[#This Row],[Home/Neutral]],division_lookup,9,FALSE)=VLOOKUP(Table2[[#This Row],[Visitor/Neutral]],division_lookup,9,FALSE),TRUE,FALSE)</f>
        <v>0</v>
      </c>
      <c r="AC970" s="19" t="str">
        <f>VLOOKUP(Table2[[#This Row],[Home/Neutral]],division_lookup,9,FALSE)</f>
        <v>NW</v>
      </c>
      <c r="AD970" s="19"/>
      <c r="AE970" s="19" t="str">
        <f>IF(Table2[[#This Row],[Total EV ®]]&lt;Table2[[#This Row],[Total (V)]],"UNDER","OVER")</f>
        <v>OVER</v>
      </c>
      <c r="AF970" s="30">
        <f>Table2[[#This Row],[(A) Spread]]-Table2[[#This Row],[Spread (V)]]</f>
        <v>0</v>
      </c>
      <c r="AG970" s="19"/>
      <c r="AH970" s="2">
        <f>Table2[[#This Row],[EV]]-Table2[[#This Row],[Spread (V)]]</f>
        <v>-3.1639164264725821</v>
      </c>
      <c r="AI970" s="22">
        <f>Table2[[#This Row],[(A)]]-Table2[[#This Row],[Spread]]</f>
        <v>-2.3551184834123307</v>
      </c>
      <c r="AJ970" s="1">
        <f>Table2[[#This Row],[(A) Err]]^2</f>
        <v>5.5465830709103967</v>
      </c>
      <c r="AK970" s="6">
        <f>Table2[[#This Row],[EV]]-Table2[[#This Row],[Spread]]</f>
        <v>-3.1639164264725821</v>
      </c>
      <c r="AL970" s="1">
        <f>Table2[[#This Row],[EV Err]]^2</f>
        <v>10.010367153703035</v>
      </c>
    </row>
    <row r="971" spans="1:38" x14ac:dyDescent="0.25">
      <c r="A971" t="s">
        <v>171</v>
      </c>
      <c r="B971" t="s">
        <v>30</v>
      </c>
      <c r="C971" t="s">
        <v>33</v>
      </c>
      <c r="K971" s="25">
        <f>(Table2[[#This Row],[Home Pace]]/100)*(VLOOKUP(Table2[[#This Row],[Home/Neutral]],home_lookup,8,FALSE)+VLOOKUP(Table2[[#This Row],[Home/Neutral]],OFR_lookup,2,FALSE)+VLOOKUP(Table2[[#This Row],[Visitor/Neutral]],def_diff_lookup,6,FALSE))</f>
        <v>110.51296034993645</v>
      </c>
      <c r="L971" s="25"/>
      <c r="M971" s="25">
        <f>(Table2[[#This Row],[Away Pace]]/100)*(VLOOKUP(Table2[[#This Row],[Visitor/Neutral]],OFR_lookup,2,FALSE)+VLOOKUP(Table2[[#This Row],[Home/Neutral]],def_diff_lookup,6,FALSE))</f>
        <v>103.58201466666668</v>
      </c>
      <c r="N971" s="25"/>
      <c r="O971" s="25"/>
      <c r="P971">
        <f>VLOOKUP(Table2[[#This Row],[Home/Neutral]],pace_lookup,7,FALSE)</f>
        <v>96.8</v>
      </c>
      <c r="Q971" s="5">
        <f>VLOOKUP(Table2[[#This Row],[Visitor/Neutral]],pace_lookup,7,FALSE)</f>
        <v>98.2</v>
      </c>
      <c r="R971" s="9"/>
      <c r="V971" s="2">
        <f>-home-VLOOKUP(Table2[[#This Row],[Home/Neutral]],rtg_vlookup,4,FALSE)+VLOOKUP(Table2[[#This Row],[Visitor/Neutral]],rtg_vlookup,4,FALSE)</f>
        <v>-5.4551184834123312</v>
      </c>
      <c r="W971" s="25"/>
      <c r="X971" s="2"/>
      <c r="Y971" s="2">
        <f>Table2[[#This Row],[Away EV]]-Table2[[#This Row],[Home EV]]</f>
        <v>-6.9309456832697691</v>
      </c>
      <c r="Z971" s="33"/>
      <c r="AA971" s="34"/>
      <c r="AB971" s="5" t="b">
        <f>IF(VLOOKUP(Table2[[#This Row],[Home/Neutral]],division_lookup,9,FALSE)=VLOOKUP(Table2[[#This Row],[Visitor/Neutral]],division_lookup,9,FALSE),TRUE,FALSE)</f>
        <v>1</v>
      </c>
      <c r="AC971" s="19" t="str">
        <f>VLOOKUP(Table2[[#This Row],[Home/Neutral]],division_lookup,9,FALSE)</f>
        <v>C</v>
      </c>
      <c r="AD971" s="19"/>
      <c r="AE971" s="19" t="str">
        <f>IF(Table2[[#This Row],[Total EV ®]]&lt;Table2[[#This Row],[Total (V)]],"UNDER","OVER")</f>
        <v>OVER</v>
      </c>
      <c r="AF971" s="30">
        <f>Table2[[#This Row],[(A) Spread]]-Table2[[#This Row],[Spread (V)]]</f>
        <v>0</v>
      </c>
      <c r="AG971" s="19"/>
      <c r="AH971" s="2">
        <f>Table2[[#This Row],[EV]]-Table2[[#This Row],[Spread (V)]]</f>
        <v>-6.9309456832697691</v>
      </c>
      <c r="AI971" s="22">
        <f>Table2[[#This Row],[(A)]]-Table2[[#This Row],[Spread]]</f>
        <v>-5.4551184834123312</v>
      </c>
      <c r="AJ971" s="1">
        <f>Table2[[#This Row],[(A) Err]]^2</f>
        <v>29.758317668066852</v>
      </c>
      <c r="AK971" s="6">
        <f>Table2[[#This Row],[EV]]-Table2[[#This Row],[Spread]]</f>
        <v>-6.9309456832697691</v>
      </c>
      <c r="AL971" s="1">
        <f>Table2[[#This Row],[EV Err]]^2</f>
        <v>48.03800806443585</v>
      </c>
    </row>
    <row r="972" spans="1:38" x14ac:dyDescent="0.25">
      <c r="A972" t="s">
        <v>171</v>
      </c>
      <c r="B972" t="s">
        <v>22</v>
      </c>
      <c r="C972" t="s">
        <v>10</v>
      </c>
      <c r="K972" s="25">
        <f>(Table2[[#This Row],[Home Pace]]/100)*(VLOOKUP(Table2[[#This Row],[Home/Neutral]],home_lookup,8,FALSE)+VLOOKUP(Table2[[#This Row],[Home/Neutral]],OFR_lookup,2,FALSE)+VLOOKUP(Table2[[#This Row],[Visitor/Neutral]],def_diff_lookup,6,FALSE))</f>
        <v>112.41219922968976</v>
      </c>
      <c r="L972" s="25"/>
      <c r="M972" s="25">
        <f>(Table2[[#This Row],[Away Pace]]/100)*(VLOOKUP(Table2[[#This Row],[Visitor/Neutral]],OFR_lookup,2,FALSE)+VLOOKUP(Table2[[#This Row],[Home/Neutral]],def_diff_lookup,6,FALSE))</f>
        <v>120.75183866666666</v>
      </c>
      <c r="N972" s="25"/>
      <c r="O972" s="25"/>
      <c r="P972">
        <f>VLOOKUP(Table2[[#This Row],[Home/Neutral]],pace_lookup,7,FALSE)</f>
        <v>94.7</v>
      </c>
      <c r="Q972" s="5">
        <f>VLOOKUP(Table2[[#This Row],[Visitor/Neutral]],pace_lookup,7,FALSE)</f>
        <v>100.3</v>
      </c>
      <c r="R972" s="9"/>
      <c r="V972" s="2">
        <f>-home-VLOOKUP(Table2[[#This Row],[Home/Neutral]],rtg_vlookup,4,FALSE)+VLOOKUP(Table2[[#This Row],[Visitor/Neutral]],rtg_vlookup,4,FALSE)</f>
        <v>4.8448815165876695</v>
      </c>
      <c r="W972" s="25"/>
      <c r="X972" s="2"/>
      <c r="Y972" s="2">
        <f>Table2[[#This Row],[Away EV]]-Table2[[#This Row],[Home EV]]</f>
        <v>8.3396394369768956</v>
      </c>
      <c r="Z972" s="33"/>
      <c r="AA972" s="34"/>
      <c r="AB972" s="5" t="b">
        <f>IF(VLOOKUP(Table2[[#This Row],[Home/Neutral]],division_lookup,9,FALSE)=VLOOKUP(Table2[[#This Row],[Visitor/Neutral]],division_lookup,9,FALSE),TRUE,FALSE)</f>
        <v>0</v>
      </c>
      <c r="AC972" s="19" t="str">
        <f>VLOOKUP(Table2[[#This Row],[Home/Neutral]],division_lookup,9,FALSE)</f>
        <v>NW</v>
      </c>
      <c r="AD972" s="19"/>
      <c r="AE972" s="19" t="str">
        <f>IF(Table2[[#This Row],[Total EV ®]]&lt;Table2[[#This Row],[Total (V)]],"UNDER","OVER")</f>
        <v>OVER</v>
      </c>
      <c r="AF972" s="30">
        <f>Table2[[#This Row],[(A) Spread]]-Table2[[#This Row],[Spread (V)]]</f>
        <v>0</v>
      </c>
      <c r="AG972" s="19"/>
      <c r="AH972" s="2">
        <f>Table2[[#This Row],[EV]]-Table2[[#This Row],[Spread (V)]]</f>
        <v>8.3396394369768956</v>
      </c>
      <c r="AI972" s="22">
        <f>Table2[[#This Row],[(A)]]-Table2[[#This Row],[Spread]]</f>
        <v>4.8448815165876695</v>
      </c>
      <c r="AJ972" s="1">
        <f>Table2[[#This Row],[(A) Err]]^2</f>
        <v>23.472876909772836</v>
      </c>
      <c r="AK972" s="6">
        <f>Table2[[#This Row],[EV]]-Table2[[#This Row],[Spread]]</f>
        <v>8.3396394369768956</v>
      </c>
      <c r="AL972" s="1">
        <f>Table2[[#This Row],[EV Err]]^2</f>
        <v>69.549585938780311</v>
      </c>
    </row>
    <row r="973" spans="1:38" x14ac:dyDescent="0.25">
      <c r="A973" t="s">
        <v>171</v>
      </c>
      <c r="B973" t="s">
        <v>29</v>
      </c>
      <c r="C973" t="s">
        <v>28</v>
      </c>
      <c r="K973" s="25">
        <f>(Table2[[#This Row],[Home Pace]]/100)*(VLOOKUP(Table2[[#This Row],[Home/Neutral]],home_lookup,8,FALSE)+VLOOKUP(Table2[[#This Row],[Home/Neutral]],OFR_lookup,2,FALSE)+VLOOKUP(Table2[[#This Row],[Visitor/Neutral]],def_diff_lookup,6,FALSE))</f>
        <v>111.75632926898524</v>
      </c>
      <c r="L973" s="25"/>
      <c r="M973" s="25">
        <f>(Table2[[#This Row],[Away Pace]]/100)*(VLOOKUP(Table2[[#This Row],[Visitor/Neutral]],OFR_lookup,2,FALSE)+VLOOKUP(Table2[[#This Row],[Home/Neutral]],def_diff_lookup,6,FALSE))</f>
        <v>106.60474199999999</v>
      </c>
      <c r="N973" s="25"/>
      <c r="O973" s="25"/>
      <c r="P973">
        <f>VLOOKUP(Table2[[#This Row],[Home/Neutral]],pace_lookup,7,FALSE)</f>
        <v>93.8</v>
      </c>
      <c r="Q973" s="5">
        <f>VLOOKUP(Table2[[#This Row],[Visitor/Neutral]],pace_lookup,7,FALSE)</f>
        <v>96.3</v>
      </c>
      <c r="R973" s="9"/>
      <c r="V973" s="2">
        <f>-home-VLOOKUP(Table2[[#This Row],[Home/Neutral]],rtg_vlookup,4,FALSE)+VLOOKUP(Table2[[#This Row],[Visitor/Neutral]],rtg_vlookup,4,FALSE)</f>
        <v>-2.3451184834123309</v>
      </c>
      <c r="W973" s="25"/>
      <c r="X973" s="2"/>
      <c r="Y973" s="2">
        <f>Table2[[#This Row],[Away EV]]-Table2[[#This Row],[Home EV]]</f>
        <v>-5.1515872689852529</v>
      </c>
      <c r="Z973" s="33"/>
      <c r="AA973" s="34"/>
      <c r="AB973" s="5" t="b">
        <f>IF(VLOOKUP(Table2[[#This Row],[Home/Neutral]],division_lookup,9,FALSE)=VLOOKUP(Table2[[#This Row],[Visitor/Neutral]],division_lookup,9,FALSE),TRUE,FALSE)</f>
        <v>0</v>
      </c>
      <c r="AC973" s="19" t="str">
        <f>VLOOKUP(Table2[[#This Row],[Home/Neutral]],division_lookup,9,FALSE)</f>
        <v>P</v>
      </c>
      <c r="AD973" s="19"/>
      <c r="AE973" s="19" t="str">
        <f>IF(Table2[[#This Row],[Total EV ®]]&lt;Table2[[#This Row],[Total (V)]],"UNDER","OVER")</f>
        <v>OVER</v>
      </c>
      <c r="AF973" s="30">
        <f>Table2[[#This Row],[(A) Spread]]-Table2[[#This Row],[Spread (V)]]</f>
        <v>0</v>
      </c>
      <c r="AG973" s="19"/>
      <c r="AH973" s="2">
        <f>Table2[[#This Row],[EV]]-Table2[[#This Row],[Spread (V)]]</f>
        <v>-5.1515872689852529</v>
      </c>
      <c r="AI973" s="22">
        <f>Table2[[#This Row],[(A)]]-Table2[[#This Row],[Spread]]</f>
        <v>-2.3451184834123309</v>
      </c>
      <c r="AJ973" s="1">
        <f>Table2[[#This Row],[(A) Err]]^2</f>
        <v>5.4995807012421505</v>
      </c>
      <c r="AK973" s="6">
        <f>Table2[[#This Row],[EV]]-Table2[[#This Row],[Spread]]</f>
        <v>-5.1515872689852529</v>
      </c>
      <c r="AL973" s="1">
        <f>Table2[[#This Row],[EV Err]]^2</f>
        <v>26.538851389970937</v>
      </c>
    </row>
    <row r="974" spans="1:38" x14ac:dyDescent="0.25">
      <c r="A974" t="s">
        <v>172</v>
      </c>
      <c r="B974" t="s">
        <v>16</v>
      </c>
      <c r="C974" t="s">
        <v>34</v>
      </c>
      <c r="K974" s="25">
        <f>(Table2[[#This Row],[Home Pace]]/100)*(VLOOKUP(Table2[[#This Row],[Home/Neutral]],home_lookup,8,FALSE)+VLOOKUP(Table2[[#This Row],[Home/Neutral]],OFR_lookup,2,FALSE)+VLOOKUP(Table2[[#This Row],[Visitor/Neutral]],def_diff_lookup,6,FALSE))</f>
        <v>103.4606060111595</v>
      </c>
      <c r="L974" s="25"/>
      <c r="M974" s="25">
        <f>(Table2[[#This Row],[Away Pace]]/100)*(VLOOKUP(Table2[[#This Row],[Visitor/Neutral]],OFR_lookup,2,FALSE)+VLOOKUP(Table2[[#This Row],[Home/Neutral]],def_diff_lookup,6,FALSE))</f>
        <v>98.059658666666678</v>
      </c>
      <c r="N974" s="25"/>
      <c r="O974" s="25"/>
      <c r="P974">
        <f>VLOOKUP(Table2[[#This Row],[Home/Neutral]],pace_lookup,7,FALSE)</f>
        <v>97.5</v>
      </c>
      <c r="Q974" s="5">
        <f>VLOOKUP(Table2[[#This Row],[Visitor/Neutral]],pace_lookup,7,FALSE)</f>
        <v>98.8</v>
      </c>
      <c r="R974" s="9"/>
      <c r="V974" s="2">
        <f>-home-VLOOKUP(Table2[[#This Row],[Home/Neutral]],rtg_vlookup,4,FALSE)+VLOOKUP(Table2[[#This Row],[Visitor/Neutral]],rtg_vlookup,4,FALSE)</f>
        <v>-10.375118483412331</v>
      </c>
      <c r="W974" s="25"/>
      <c r="X974" s="2"/>
      <c r="Y974" s="2">
        <f>Table2[[#This Row],[Away EV]]-Table2[[#This Row],[Home EV]]</f>
        <v>-5.4009473444928204</v>
      </c>
      <c r="Z974" s="33"/>
      <c r="AA974" s="34"/>
      <c r="AB974" s="5" t="b">
        <f>IF(VLOOKUP(Table2[[#This Row],[Home/Neutral]],division_lookup,9,FALSE)=VLOOKUP(Table2[[#This Row],[Visitor/Neutral]],division_lookup,9,FALSE),TRUE,FALSE)</f>
        <v>0</v>
      </c>
      <c r="AC974" s="19" t="str">
        <f>VLOOKUP(Table2[[#This Row],[Home/Neutral]],division_lookup,9,FALSE)</f>
        <v>SE</v>
      </c>
      <c r="AD974" s="19"/>
      <c r="AE974" s="19" t="str">
        <f>IF(Table2[[#This Row],[Total EV ®]]&lt;Table2[[#This Row],[Total (V)]],"UNDER","OVER")</f>
        <v>OVER</v>
      </c>
      <c r="AF974" s="30">
        <f>Table2[[#This Row],[(A) Spread]]-Table2[[#This Row],[Spread (V)]]</f>
        <v>0</v>
      </c>
      <c r="AG974" s="19"/>
      <c r="AH974" s="2">
        <f>Table2[[#This Row],[EV]]-Table2[[#This Row],[Spread (V)]]</f>
        <v>-5.4009473444928204</v>
      </c>
      <c r="AI974" s="22">
        <f>Table2[[#This Row],[(A)]]-Table2[[#This Row],[Spread]]</f>
        <v>-10.375118483412331</v>
      </c>
      <c r="AJ974" s="1">
        <f>Table2[[#This Row],[(A) Err]]^2</f>
        <v>107.64308354484419</v>
      </c>
      <c r="AK974" s="6">
        <f>Table2[[#This Row],[EV]]-Table2[[#This Row],[Spread]]</f>
        <v>-5.4009473444928204</v>
      </c>
      <c r="AL974" s="1">
        <f>Table2[[#This Row],[EV Err]]^2</f>
        <v>29.170232217984047</v>
      </c>
    </row>
    <row r="975" spans="1:38" x14ac:dyDescent="0.25">
      <c r="A975" t="s">
        <v>172</v>
      </c>
      <c r="B975" t="s">
        <v>37</v>
      </c>
      <c r="C975" t="s">
        <v>36</v>
      </c>
      <c r="K975" s="25">
        <f>(Table2[[#This Row],[Home Pace]]/100)*(VLOOKUP(Table2[[#This Row],[Home/Neutral]],home_lookup,8,FALSE)+VLOOKUP(Table2[[#This Row],[Home/Neutral]],OFR_lookup,2,FALSE)+VLOOKUP(Table2[[#This Row],[Visitor/Neutral]],def_diff_lookup,6,FALSE))</f>
        <v>105.00146809362121</v>
      </c>
      <c r="L975" s="25"/>
      <c r="M975" s="25">
        <f>(Table2[[#This Row],[Away Pace]]/100)*(VLOOKUP(Table2[[#This Row],[Visitor/Neutral]],OFR_lookup,2,FALSE)+VLOOKUP(Table2[[#This Row],[Home/Neutral]],def_diff_lookup,6,FALSE))</f>
        <v>102.09848133333335</v>
      </c>
      <c r="N975" s="25"/>
      <c r="O975" s="25"/>
      <c r="P975">
        <f>VLOOKUP(Table2[[#This Row],[Home/Neutral]],pace_lookup,7,FALSE)</f>
        <v>92.1</v>
      </c>
      <c r="Q975" s="5">
        <f>VLOOKUP(Table2[[#This Row],[Visitor/Neutral]],pace_lookup,7,FALSE)</f>
        <v>102.2</v>
      </c>
      <c r="R975" s="9"/>
      <c r="V975" s="2">
        <f>-home-VLOOKUP(Table2[[#This Row],[Home/Neutral]],rtg_vlookup,4,FALSE)+VLOOKUP(Table2[[#This Row],[Visitor/Neutral]],rtg_vlookup,4,FALSE)</f>
        <v>-1.4451184834123305</v>
      </c>
      <c r="W975" s="25"/>
      <c r="X975" s="2"/>
      <c r="Y975" s="2">
        <f>Table2[[#This Row],[Away EV]]-Table2[[#This Row],[Home EV]]</f>
        <v>-2.9029867602878596</v>
      </c>
      <c r="Z975" s="33"/>
      <c r="AA975" s="34"/>
      <c r="AB975" s="5" t="b">
        <f>IF(VLOOKUP(Table2[[#This Row],[Home/Neutral]],division_lookup,9,FALSE)=VLOOKUP(Table2[[#This Row],[Visitor/Neutral]],division_lookup,9,FALSE),TRUE,FALSE)</f>
        <v>0</v>
      </c>
      <c r="AC975" s="19" t="str">
        <f>VLOOKUP(Table2[[#This Row],[Home/Neutral]],division_lookup,9,FALSE)</f>
        <v>SW</v>
      </c>
      <c r="AD975" s="19"/>
      <c r="AE975" s="19" t="str">
        <f>IF(Table2[[#This Row],[Total EV ®]]&lt;Table2[[#This Row],[Total (V)]],"UNDER","OVER")</f>
        <v>OVER</v>
      </c>
      <c r="AF975" s="30">
        <f>Table2[[#This Row],[(A) Spread]]-Table2[[#This Row],[Spread (V)]]</f>
        <v>0</v>
      </c>
      <c r="AG975" s="19"/>
      <c r="AH975" s="2">
        <f>Table2[[#This Row],[EV]]-Table2[[#This Row],[Spread (V)]]</f>
        <v>-2.9029867602878596</v>
      </c>
      <c r="AI975" s="22">
        <f>Table2[[#This Row],[(A)]]-Table2[[#This Row],[Spread]]</f>
        <v>-1.4451184834123305</v>
      </c>
      <c r="AJ975" s="1">
        <f>Table2[[#This Row],[(A) Err]]^2</f>
        <v>2.0883674310999543</v>
      </c>
      <c r="AK975" s="6">
        <f>Table2[[#This Row],[EV]]-Table2[[#This Row],[Spread]]</f>
        <v>-2.9029867602878596</v>
      </c>
      <c r="AL975" s="1">
        <f>Table2[[#This Row],[EV Err]]^2</f>
        <v>8.4273321304066027</v>
      </c>
    </row>
    <row r="976" spans="1:38" x14ac:dyDescent="0.25">
      <c r="A976" t="s">
        <v>172</v>
      </c>
      <c r="B976" t="s">
        <v>25</v>
      </c>
      <c r="C976" t="s">
        <v>31</v>
      </c>
      <c r="K976" s="25">
        <f>(Table2[[#This Row],[Home Pace]]/100)*(VLOOKUP(Table2[[#This Row],[Home/Neutral]],home_lookup,8,FALSE)+VLOOKUP(Table2[[#This Row],[Home/Neutral]],OFR_lookup,2,FALSE)+VLOOKUP(Table2[[#This Row],[Visitor/Neutral]],def_diff_lookup,6,FALSE))</f>
        <v>107.72782444427257</v>
      </c>
      <c r="L976" s="25"/>
      <c r="M976" s="25">
        <f>(Table2[[#This Row],[Away Pace]]/100)*(VLOOKUP(Table2[[#This Row],[Visitor/Neutral]],OFR_lookup,2,FALSE)+VLOOKUP(Table2[[#This Row],[Home/Neutral]],def_diff_lookup,6,FALSE))</f>
        <v>100.88704000000001</v>
      </c>
      <c r="N976" s="25"/>
      <c r="O976" s="25"/>
      <c r="P976">
        <f>VLOOKUP(Table2[[#This Row],[Home/Neutral]],pace_lookup,7,FALSE)</f>
        <v>94.4</v>
      </c>
      <c r="Q976" s="5">
        <f>VLOOKUP(Table2[[#This Row],[Visitor/Neutral]],pace_lookup,7,FALSE)</f>
        <v>96</v>
      </c>
      <c r="R976" s="9"/>
      <c r="V976" s="2">
        <f>-home-VLOOKUP(Table2[[#This Row],[Home/Neutral]],rtg_vlookup,4,FALSE)+VLOOKUP(Table2[[#This Row],[Visitor/Neutral]],rtg_vlookup,4,FALSE)</f>
        <v>-4.9551184834123312</v>
      </c>
      <c r="W976" s="25"/>
      <c r="X976" s="2"/>
      <c r="Y976" s="2">
        <f>Table2[[#This Row],[Away EV]]-Table2[[#This Row],[Home EV]]</f>
        <v>-6.8407844442725576</v>
      </c>
      <c r="Z976" s="33"/>
      <c r="AA976" s="34"/>
      <c r="AB976" s="5" t="b">
        <f>IF(VLOOKUP(Table2[[#This Row],[Home/Neutral]],division_lookup,9,FALSE)=VLOOKUP(Table2[[#This Row],[Visitor/Neutral]],division_lookup,9,FALSE),TRUE,FALSE)</f>
        <v>0</v>
      </c>
      <c r="AC976" s="19" t="str">
        <f>VLOOKUP(Table2[[#This Row],[Home/Neutral]],division_lookup,9,FALSE)</f>
        <v>C</v>
      </c>
      <c r="AD976" s="19"/>
      <c r="AE976" s="19" t="str">
        <f>IF(Table2[[#This Row],[Total EV ®]]&lt;Table2[[#This Row],[Total (V)]],"UNDER","OVER")</f>
        <v>OVER</v>
      </c>
      <c r="AF976" s="30">
        <f>Table2[[#This Row],[(A) Spread]]-Table2[[#This Row],[Spread (V)]]</f>
        <v>0</v>
      </c>
      <c r="AG976" s="19"/>
      <c r="AH976" s="2">
        <f>Table2[[#This Row],[EV]]-Table2[[#This Row],[Spread (V)]]</f>
        <v>-6.8407844442725576</v>
      </c>
      <c r="AI976" s="22">
        <f>Table2[[#This Row],[(A)]]-Table2[[#This Row],[Spread]]</f>
        <v>-4.9551184834123312</v>
      </c>
      <c r="AJ976" s="1">
        <f>Table2[[#This Row],[(A) Err]]^2</f>
        <v>24.55319918465452</v>
      </c>
      <c r="AK976" s="6">
        <f>Table2[[#This Row],[EV]]-Table2[[#This Row],[Spread]]</f>
        <v>-6.8407844442725576</v>
      </c>
      <c r="AL976" s="1">
        <f>Table2[[#This Row],[EV Err]]^2</f>
        <v>46.796331813001402</v>
      </c>
    </row>
    <row r="977" spans="1:38" x14ac:dyDescent="0.25">
      <c r="A977" t="s">
        <v>172</v>
      </c>
      <c r="B977" t="s">
        <v>4</v>
      </c>
      <c r="C977" t="s">
        <v>39</v>
      </c>
      <c r="K977" s="25">
        <f>(Table2[[#This Row],[Home Pace]]/100)*(VLOOKUP(Table2[[#This Row],[Home/Neutral]],home_lookup,8,FALSE)+VLOOKUP(Table2[[#This Row],[Home/Neutral]],OFR_lookup,2,FALSE)+VLOOKUP(Table2[[#This Row],[Visitor/Neutral]],def_diff_lookup,6,FALSE))</f>
        <v>105.22806781393444</v>
      </c>
      <c r="L977" s="25"/>
      <c r="M977" s="25">
        <f>(Table2[[#This Row],[Away Pace]]/100)*(VLOOKUP(Table2[[#This Row],[Visitor/Neutral]],OFR_lookup,2,FALSE)+VLOOKUP(Table2[[#This Row],[Home/Neutral]],def_diff_lookup,6,FALSE))</f>
        <v>91.621400000000008</v>
      </c>
      <c r="N977" s="25"/>
      <c r="O977" s="25"/>
      <c r="P977">
        <f>VLOOKUP(Table2[[#This Row],[Home/Neutral]],pace_lookup,7,FALSE)</f>
        <v>96.6</v>
      </c>
      <c r="Q977" s="5">
        <f>VLOOKUP(Table2[[#This Row],[Visitor/Neutral]],pace_lookup,7,FALSE)</f>
        <v>97.5</v>
      </c>
      <c r="R977" s="9"/>
      <c r="V977" s="2">
        <f>-home-VLOOKUP(Table2[[#This Row],[Home/Neutral]],rtg_vlookup,4,FALSE)+VLOOKUP(Table2[[#This Row],[Visitor/Neutral]],rtg_vlookup,4,FALSE)</f>
        <v>-26.635118483412331</v>
      </c>
      <c r="W977" s="25"/>
      <c r="X977" s="2"/>
      <c r="Y977" s="2">
        <f>Table2[[#This Row],[Away EV]]-Table2[[#This Row],[Home EV]]</f>
        <v>-13.606667813934436</v>
      </c>
      <c r="Z977" s="33"/>
      <c r="AA977" s="34"/>
      <c r="AB977" s="5" t="b">
        <f>IF(VLOOKUP(Table2[[#This Row],[Home/Neutral]],division_lookup,9,FALSE)=VLOOKUP(Table2[[#This Row],[Visitor/Neutral]],division_lookup,9,FALSE),TRUE,FALSE)</f>
        <v>0</v>
      </c>
      <c r="AC977" s="19" t="str">
        <f>VLOOKUP(Table2[[#This Row],[Home/Neutral]],division_lookup,9,FALSE)</f>
        <v>P</v>
      </c>
      <c r="AD977" s="19"/>
      <c r="AE977" s="19" t="str">
        <f>IF(Table2[[#This Row],[Total EV ®]]&lt;Table2[[#This Row],[Total (V)]],"UNDER","OVER")</f>
        <v>OVER</v>
      </c>
      <c r="AF977" s="30">
        <f>Table2[[#This Row],[(A) Spread]]-Table2[[#This Row],[Spread (V)]]</f>
        <v>0</v>
      </c>
      <c r="AG977" s="19"/>
      <c r="AH977" s="2">
        <f>Table2[[#This Row],[EV]]-Table2[[#This Row],[Spread (V)]]</f>
        <v>-13.606667813934436</v>
      </c>
      <c r="AI977" s="22">
        <f>Table2[[#This Row],[(A)]]-Table2[[#This Row],[Spread]]</f>
        <v>-26.635118483412331</v>
      </c>
      <c r="AJ977" s="1">
        <f>Table2[[#This Row],[(A) Err]]^2</f>
        <v>709.42953662541322</v>
      </c>
      <c r="AK977" s="6">
        <f>Table2[[#This Row],[EV]]-Table2[[#This Row],[Spread]]</f>
        <v>-13.606667813934436</v>
      </c>
      <c r="AL977" s="1">
        <f>Table2[[#This Row],[EV Err]]^2</f>
        <v>185.14140899875932</v>
      </c>
    </row>
    <row r="978" spans="1:38" x14ac:dyDescent="0.25">
      <c r="A978" t="s">
        <v>172</v>
      </c>
      <c r="B978" t="s">
        <v>23</v>
      </c>
      <c r="C978" t="s">
        <v>11</v>
      </c>
      <c r="K978" s="25">
        <f>(Table2[[#This Row],[Home Pace]]/100)*(VLOOKUP(Table2[[#This Row],[Home/Neutral]],home_lookup,8,FALSE)+VLOOKUP(Table2[[#This Row],[Home/Neutral]],OFR_lookup,2,FALSE)+VLOOKUP(Table2[[#This Row],[Visitor/Neutral]],def_diff_lookup,6,FALSE))</f>
        <v>94.71938735871359</v>
      </c>
      <c r="L978" s="25"/>
      <c r="M978" s="25">
        <f>(Table2[[#This Row],[Away Pace]]/100)*(VLOOKUP(Table2[[#This Row],[Visitor/Neutral]],OFR_lookup,2,FALSE)+VLOOKUP(Table2[[#This Row],[Home/Neutral]],def_diff_lookup,6,FALSE))</f>
        <v>100.14931466666668</v>
      </c>
      <c r="N978" s="25"/>
      <c r="O978" s="25"/>
      <c r="P978">
        <f>VLOOKUP(Table2[[#This Row],[Home/Neutral]],pace_lookup,7,FALSE)</f>
        <v>92.5</v>
      </c>
      <c r="Q978" s="5">
        <f>VLOOKUP(Table2[[#This Row],[Visitor/Neutral]],pace_lookup,7,FALSE)</f>
        <v>99.7</v>
      </c>
      <c r="R978" s="9"/>
      <c r="V978" s="2">
        <f>-home-VLOOKUP(Table2[[#This Row],[Home/Neutral]],rtg_vlookup,4,FALSE)+VLOOKUP(Table2[[#This Row],[Visitor/Neutral]],rtg_vlookup,4,FALSE)</f>
        <v>1.1948815165876692</v>
      </c>
      <c r="W978" s="25"/>
      <c r="X978" s="2"/>
      <c r="Y978" s="2">
        <f>Table2[[#This Row],[Away EV]]-Table2[[#This Row],[Home EV]]</f>
        <v>5.4299273079530934</v>
      </c>
      <c r="Z978" s="33"/>
      <c r="AA978" s="34"/>
      <c r="AB978" s="5" t="b">
        <f>IF(VLOOKUP(Table2[[#This Row],[Home/Neutral]],division_lookup,9,FALSE)=VLOOKUP(Table2[[#This Row],[Visitor/Neutral]],division_lookup,9,FALSE),TRUE,FALSE)</f>
        <v>0</v>
      </c>
      <c r="AC978" s="19" t="str">
        <f>VLOOKUP(Table2[[#This Row],[Home/Neutral]],division_lookup,9,FALSE)</f>
        <v>SW</v>
      </c>
      <c r="AD978" s="19"/>
      <c r="AE978" s="19" t="str">
        <f>IF(Table2[[#This Row],[Total EV ®]]&lt;Table2[[#This Row],[Total (V)]],"UNDER","OVER")</f>
        <v>OVER</v>
      </c>
      <c r="AF978" s="30">
        <f>Table2[[#This Row],[(A) Spread]]-Table2[[#This Row],[Spread (V)]]</f>
        <v>0</v>
      </c>
      <c r="AG978" s="19"/>
      <c r="AH978" s="2">
        <f>Table2[[#This Row],[EV]]-Table2[[#This Row],[Spread (V)]]</f>
        <v>5.4299273079530934</v>
      </c>
      <c r="AI978" s="22">
        <f>Table2[[#This Row],[(A)]]-Table2[[#This Row],[Spread]]</f>
        <v>1.1948815165876692</v>
      </c>
      <c r="AJ978" s="1">
        <f>Table2[[#This Row],[(A) Err]]^2</f>
        <v>1.4277418386828482</v>
      </c>
      <c r="AK978" s="6">
        <f>Table2[[#This Row],[EV]]-Table2[[#This Row],[Spread]]</f>
        <v>5.4299273079530934</v>
      </c>
      <c r="AL978" s="1">
        <f>Table2[[#This Row],[EV Err]]^2</f>
        <v>29.484110569654728</v>
      </c>
    </row>
    <row r="979" spans="1:38" x14ac:dyDescent="0.25">
      <c r="A979" t="s">
        <v>172</v>
      </c>
      <c r="B979" t="s">
        <v>21</v>
      </c>
      <c r="C979" t="s">
        <v>14</v>
      </c>
      <c r="K979" s="25">
        <f>(Table2[[#This Row],[Home Pace]]/100)*(VLOOKUP(Table2[[#This Row],[Home/Neutral]],home_lookup,8,FALSE)+VLOOKUP(Table2[[#This Row],[Home/Neutral]],OFR_lookup,2,FALSE)+VLOOKUP(Table2[[#This Row],[Visitor/Neutral]],def_diff_lookup,6,FALSE))</f>
        <v>103.25899117524391</v>
      </c>
      <c r="L979" s="25"/>
      <c r="M979" s="25">
        <f>(Table2[[#This Row],[Away Pace]]/100)*(VLOOKUP(Table2[[#This Row],[Visitor/Neutral]],OFR_lookup,2,FALSE)+VLOOKUP(Table2[[#This Row],[Home/Neutral]],def_diff_lookup,6,FALSE))</f>
        <v>104.92482933333336</v>
      </c>
      <c r="N979" s="25"/>
      <c r="O979" s="25"/>
      <c r="P979">
        <f>VLOOKUP(Table2[[#This Row],[Home/Neutral]],pace_lookup,7,FALSE)</f>
        <v>94.2</v>
      </c>
      <c r="Q979" s="5">
        <f>VLOOKUP(Table2[[#This Row],[Visitor/Neutral]],pace_lookup,7,FALSE)</f>
        <v>95.9</v>
      </c>
      <c r="R979" s="9"/>
      <c r="V979" s="2">
        <f>-home-VLOOKUP(Table2[[#This Row],[Home/Neutral]],rtg_vlookup,4,FALSE)+VLOOKUP(Table2[[#This Row],[Visitor/Neutral]],rtg_vlookup,4,FALSE)</f>
        <v>2.3348815165876688</v>
      </c>
      <c r="W979" s="25"/>
      <c r="X979" s="2"/>
      <c r="Y979" s="2">
        <f>Table2[[#This Row],[Away EV]]-Table2[[#This Row],[Home EV]]</f>
        <v>1.665838158089457</v>
      </c>
      <c r="Z979" s="33"/>
      <c r="AA979" s="34"/>
      <c r="AB979" s="5" t="b">
        <f>IF(VLOOKUP(Table2[[#This Row],[Home/Neutral]],division_lookup,9,FALSE)=VLOOKUP(Table2[[#This Row],[Visitor/Neutral]],division_lookup,9,FALSE),TRUE,FALSE)</f>
        <v>0</v>
      </c>
      <c r="AC979" s="19" t="str">
        <f>VLOOKUP(Table2[[#This Row],[Home/Neutral]],division_lookup,9,FALSE)</f>
        <v>SE</v>
      </c>
      <c r="AD979" s="19"/>
      <c r="AE979" s="19" t="str">
        <f>IF(Table2[[#This Row],[Total EV ®]]&lt;Table2[[#This Row],[Total (V)]],"UNDER","OVER")</f>
        <v>OVER</v>
      </c>
      <c r="AF979" s="30">
        <f>Table2[[#This Row],[(A) Spread]]-Table2[[#This Row],[Spread (V)]]</f>
        <v>0</v>
      </c>
      <c r="AG979" s="19"/>
      <c r="AH979" s="2">
        <f>Table2[[#This Row],[EV]]-Table2[[#This Row],[Spread (V)]]</f>
        <v>1.665838158089457</v>
      </c>
      <c r="AI979" s="22">
        <f>Table2[[#This Row],[(A)]]-Table2[[#This Row],[Spread]]</f>
        <v>2.3348815165876688</v>
      </c>
      <c r="AJ979" s="1">
        <f>Table2[[#This Row],[(A) Err]]^2</f>
        <v>5.4516716965027321</v>
      </c>
      <c r="AK979" s="6">
        <f>Table2[[#This Row],[EV]]-Table2[[#This Row],[Spread]]</f>
        <v>1.665838158089457</v>
      </c>
      <c r="AL979" s="1">
        <f>Table2[[#This Row],[EV Err]]^2</f>
        <v>2.7750167689468745</v>
      </c>
    </row>
    <row r="980" spans="1:38" x14ac:dyDescent="0.25">
      <c r="A980" t="s">
        <v>172</v>
      </c>
      <c r="B980" t="s">
        <v>30</v>
      </c>
      <c r="C980" t="s">
        <v>22</v>
      </c>
      <c r="K980" s="25">
        <f>(Table2[[#This Row],[Home Pace]]/100)*(VLOOKUP(Table2[[#This Row],[Home/Neutral]],home_lookup,8,FALSE)+VLOOKUP(Table2[[#This Row],[Home/Neutral]],OFR_lookup,2,FALSE)+VLOOKUP(Table2[[#This Row],[Visitor/Neutral]],def_diff_lookup,6,FALSE))</f>
        <v>112.01336034993645</v>
      </c>
      <c r="L980" s="25"/>
      <c r="M980" s="25">
        <f>(Table2[[#This Row],[Away Pace]]/100)*(VLOOKUP(Table2[[#This Row],[Visitor/Neutral]],OFR_lookup,2,FALSE)+VLOOKUP(Table2[[#This Row],[Home/Neutral]],def_diff_lookup,6,FALSE))</f>
        <v>107.17262133333337</v>
      </c>
      <c r="N980" s="25"/>
      <c r="O980" s="25"/>
      <c r="P980">
        <f>VLOOKUP(Table2[[#This Row],[Home/Neutral]],pace_lookup,7,FALSE)</f>
        <v>96.8</v>
      </c>
      <c r="Q980" s="5">
        <f>VLOOKUP(Table2[[#This Row],[Visitor/Neutral]],pace_lookup,7,FALSE)</f>
        <v>94.7</v>
      </c>
      <c r="R980" s="9"/>
      <c r="V980" s="2">
        <f>-home-VLOOKUP(Table2[[#This Row],[Home/Neutral]],rtg_vlookup,4,FALSE)+VLOOKUP(Table2[[#This Row],[Visitor/Neutral]],rtg_vlookup,4,FALSE)</f>
        <v>0.69488151658766906</v>
      </c>
      <c r="W980" s="25"/>
      <c r="X980" s="2"/>
      <c r="Y980" s="2">
        <f>Table2[[#This Row],[Away EV]]-Table2[[#This Row],[Home EV]]</f>
        <v>-4.8407390166030808</v>
      </c>
      <c r="Z980" s="33"/>
      <c r="AA980" s="34"/>
      <c r="AB980" s="5" t="b">
        <f>IF(VLOOKUP(Table2[[#This Row],[Home/Neutral]],division_lookup,9,FALSE)=VLOOKUP(Table2[[#This Row],[Visitor/Neutral]],division_lookup,9,FALSE),TRUE,FALSE)</f>
        <v>0</v>
      </c>
      <c r="AC980" s="19" t="str">
        <f>VLOOKUP(Table2[[#This Row],[Home/Neutral]],division_lookup,9,FALSE)</f>
        <v>C</v>
      </c>
      <c r="AD980" s="19"/>
      <c r="AE980" s="19" t="str">
        <f>IF(Table2[[#This Row],[Total EV ®]]&lt;Table2[[#This Row],[Total (V)]],"UNDER","OVER")</f>
        <v>OVER</v>
      </c>
      <c r="AF980" s="30">
        <f>Table2[[#This Row],[(A) Spread]]-Table2[[#This Row],[Spread (V)]]</f>
        <v>0</v>
      </c>
      <c r="AG980" s="19"/>
      <c r="AH980" s="2">
        <f>Table2[[#This Row],[EV]]-Table2[[#This Row],[Spread (V)]]</f>
        <v>-4.8407390166030808</v>
      </c>
      <c r="AI980" s="22">
        <f>Table2[[#This Row],[(A)]]-Table2[[#This Row],[Spread]]</f>
        <v>0.69488151658766906</v>
      </c>
      <c r="AJ980" s="1">
        <f>Table2[[#This Row],[(A) Err]]^2</f>
        <v>0.48286032209517898</v>
      </c>
      <c r="AK980" s="6">
        <f>Table2[[#This Row],[EV]]-Table2[[#This Row],[Spread]]</f>
        <v>-4.8407390166030808</v>
      </c>
      <c r="AL980" s="1">
        <f>Table2[[#This Row],[EV Err]]^2</f>
        <v>23.432754226863363</v>
      </c>
    </row>
    <row r="981" spans="1:38" x14ac:dyDescent="0.25">
      <c r="A981" t="s">
        <v>172</v>
      </c>
      <c r="B981" t="s">
        <v>18</v>
      </c>
      <c r="C981" t="s">
        <v>20</v>
      </c>
      <c r="K981" s="25">
        <f>(Table2[[#This Row],[Home Pace]]/100)*(VLOOKUP(Table2[[#This Row],[Home/Neutral]],home_lookup,8,FALSE)+VLOOKUP(Table2[[#This Row],[Home/Neutral]],OFR_lookup,2,FALSE)+VLOOKUP(Table2[[#This Row],[Visitor/Neutral]],def_diff_lookup,6,FALSE))</f>
        <v>101.42255616021133</v>
      </c>
      <c r="L981" s="25"/>
      <c r="M981" s="25">
        <f>(Table2[[#This Row],[Away Pace]]/100)*(VLOOKUP(Table2[[#This Row],[Visitor/Neutral]],OFR_lookup,2,FALSE)+VLOOKUP(Table2[[#This Row],[Home/Neutral]],def_diff_lookup,6,FALSE))</f>
        <v>93.100386000000015</v>
      </c>
      <c r="N981" s="25"/>
      <c r="O981" s="25"/>
      <c r="P981">
        <f>VLOOKUP(Table2[[#This Row],[Home/Neutral]],pace_lookup,7,FALSE)</f>
        <v>99.5</v>
      </c>
      <c r="Q981" s="5">
        <f>VLOOKUP(Table2[[#This Row],[Visitor/Neutral]],pace_lookup,7,FALSE)</f>
        <v>90.9</v>
      </c>
      <c r="R981" s="9"/>
      <c r="V981" s="2">
        <f>-home-VLOOKUP(Table2[[#This Row],[Home/Neutral]],rtg_vlookup,4,FALSE)+VLOOKUP(Table2[[#This Row],[Visitor/Neutral]],rtg_vlookup,4,FALSE)</f>
        <v>-3.3151184834123306</v>
      </c>
      <c r="W981" s="25"/>
      <c r="X981" s="2"/>
      <c r="Y981" s="2">
        <f>Table2[[#This Row],[Away EV]]-Table2[[#This Row],[Home EV]]</f>
        <v>-8.3221701602113143</v>
      </c>
      <c r="Z981" s="33"/>
      <c r="AA981" s="34"/>
      <c r="AB981" s="5" t="b">
        <f>IF(VLOOKUP(Table2[[#This Row],[Home/Neutral]],division_lookup,9,FALSE)=VLOOKUP(Table2[[#This Row],[Visitor/Neutral]],division_lookup,9,FALSE),TRUE,FALSE)</f>
        <v>1</v>
      </c>
      <c r="AC981" s="19" t="str">
        <f>VLOOKUP(Table2[[#This Row],[Home/Neutral]],division_lookup,9,FALSE)</f>
        <v>NW</v>
      </c>
      <c r="AD981" s="19"/>
      <c r="AE981" s="19" t="str">
        <f>IF(Table2[[#This Row],[Total EV ®]]&lt;Table2[[#This Row],[Total (V)]],"UNDER","OVER")</f>
        <v>OVER</v>
      </c>
      <c r="AF981" s="30">
        <f>Table2[[#This Row],[(A) Spread]]-Table2[[#This Row],[Spread (V)]]</f>
        <v>0</v>
      </c>
      <c r="AG981" s="19"/>
      <c r="AH981" s="2">
        <f>Table2[[#This Row],[EV]]-Table2[[#This Row],[Spread (V)]]</f>
        <v>-8.3221701602113143</v>
      </c>
      <c r="AI981" s="22">
        <f>Table2[[#This Row],[(A)]]-Table2[[#This Row],[Spread]]</f>
        <v>-3.3151184834123306</v>
      </c>
      <c r="AJ981" s="1">
        <f>Table2[[#This Row],[(A) Err]]^2</f>
        <v>10.990010559062071</v>
      </c>
      <c r="AK981" s="6">
        <f>Table2[[#This Row],[EV]]-Table2[[#This Row],[Spread]]</f>
        <v>-8.3221701602113143</v>
      </c>
      <c r="AL981" s="1">
        <f>Table2[[#This Row],[EV Err]]^2</f>
        <v>69.258516175511616</v>
      </c>
    </row>
    <row r="982" spans="1:38" x14ac:dyDescent="0.25">
      <c r="A982" t="s">
        <v>172</v>
      </c>
      <c r="B982" t="s">
        <v>38</v>
      </c>
      <c r="C982" t="s">
        <v>8</v>
      </c>
      <c r="K982" s="25">
        <f>(Table2[[#This Row],[Home Pace]]/100)*(VLOOKUP(Table2[[#This Row],[Home/Neutral]],home_lookup,8,FALSE)+VLOOKUP(Table2[[#This Row],[Home/Neutral]],OFR_lookup,2,FALSE)+VLOOKUP(Table2[[#This Row],[Visitor/Neutral]],def_diff_lookup,6,FALSE))</f>
        <v>104.1408916789148</v>
      </c>
      <c r="L982" s="25"/>
      <c r="M982" s="25">
        <f>(Table2[[#This Row],[Away Pace]]/100)*(VLOOKUP(Table2[[#This Row],[Visitor/Neutral]],OFR_lookup,2,FALSE)+VLOOKUP(Table2[[#This Row],[Home/Neutral]],def_diff_lookup,6,FALSE))</f>
        <v>109.15624800000001</v>
      </c>
      <c r="N982" s="25"/>
      <c r="O982" s="25"/>
      <c r="P982">
        <f>VLOOKUP(Table2[[#This Row],[Home/Neutral]],pace_lookup,7,FALSE)</f>
        <v>94.2</v>
      </c>
      <c r="Q982" s="5">
        <f>VLOOKUP(Table2[[#This Row],[Visitor/Neutral]],pace_lookup,7,FALSE)</f>
        <v>97.2</v>
      </c>
      <c r="R982" s="9"/>
      <c r="V982" s="2">
        <f>-home-VLOOKUP(Table2[[#This Row],[Home/Neutral]],rtg_vlookup,4,FALSE)+VLOOKUP(Table2[[#This Row],[Visitor/Neutral]],rtg_vlookup,4,FALSE)</f>
        <v>12.82488151658767</v>
      </c>
      <c r="W982" s="25"/>
      <c r="X982" s="2"/>
      <c r="Y982" s="2">
        <f>Table2[[#This Row],[Away EV]]-Table2[[#This Row],[Home EV]]</f>
        <v>5.015356321085207</v>
      </c>
      <c r="Z982" s="33"/>
      <c r="AA982" s="34"/>
      <c r="AB982" s="5" t="b">
        <f>IF(VLOOKUP(Table2[[#This Row],[Home/Neutral]],division_lookup,9,FALSE)=VLOOKUP(Table2[[#This Row],[Visitor/Neutral]],division_lookup,9,FALSE),TRUE,FALSE)</f>
        <v>0</v>
      </c>
      <c r="AC982" s="19" t="str">
        <f>VLOOKUP(Table2[[#This Row],[Home/Neutral]],division_lookup,9,FALSE)</f>
        <v>SE</v>
      </c>
      <c r="AD982" s="19"/>
      <c r="AE982" s="19" t="str">
        <f>IF(Table2[[#This Row],[Total EV ®]]&lt;Table2[[#This Row],[Total (V)]],"UNDER","OVER")</f>
        <v>OVER</v>
      </c>
      <c r="AF982" s="30">
        <f>Table2[[#This Row],[(A) Spread]]-Table2[[#This Row],[Spread (V)]]</f>
        <v>0</v>
      </c>
      <c r="AG982" s="19"/>
      <c r="AH982" s="2">
        <f>Table2[[#This Row],[EV]]-Table2[[#This Row],[Spread (V)]]</f>
        <v>5.015356321085207</v>
      </c>
      <c r="AI982" s="22">
        <f>Table2[[#This Row],[(A)]]-Table2[[#This Row],[Spread]]</f>
        <v>12.82488151658767</v>
      </c>
      <c r="AJ982" s="1">
        <f>Table2[[#This Row],[(A) Err]]^2</f>
        <v>164.47758591451205</v>
      </c>
      <c r="AK982" s="6">
        <f>Table2[[#This Row],[EV]]-Table2[[#This Row],[Spread]]</f>
        <v>5.015356321085207</v>
      </c>
      <c r="AL982" s="1">
        <f>Table2[[#This Row],[EV Err]]^2</f>
        <v>25.153799027449342</v>
      </c>
    </row>
    <row r="983" spans="1:38" x14ac:dyDescent="0.25">
      <c r="A983" t="s">
        <v>172</v>
      </c>
      <c r="B983" t="s">
        <v>32</v>
      </c>
      <c r="C983" t="s">
        <v>28</v>
      </c>
      <c r="K983" s="25">
        <f>(Table2[[#This Row],[Home Pace]]/100)*(VLOOKUP(Table2[[#This Row],[Home/Neutral]],home_lookup,8,FALSE)+VLOOKUP(Table2[[#This Row],[Home/Neutral]],OFR_lookup,2,FALSE)+VLOOKUP(Table2[[#This Row],[Visitor/Neutral]],def_diff_lookup,6,FALSE))</f>
        <v>112.1565311200184</v>
      </c>
      <c r="L983" s="25"/>
      <c r="M983" s="25">
        <f>(Table2[[#This Row],[Away Pace]]/100)*(VLOOKUP(Table2[[#This Row],[Visitor/Neutral]],OFR_lookup,2,FALSE)+VLOOKUP(Table2[[#This Row],[Home/Neutral]],def_diff_lookup,6,FALSE))</f>
        <v>108.280362</v>
      </c>
      <c r="N983" s="25"/>
      <c r="O983" s="25"/>
      <c r="P983">
        <f>VLOOKUP(Table2[[#This Row],[Home/Neutral]],pace_lookup,7,FALSE)</f>
        <v>98.6</v>
      </c>
      <c r="Q983" s="5">
        <f>VLOOKUP(Table2[[#This Row],[Visitor/Neutral]],pace_lookup,7,FALSE)</f>
        <v>96.3</v>
      </c>
      <c r="R983" s="9"/>
      <c r="V983" s="2">
        <f>-home-VLOOKUP(Table2[[#This Row],[Home/Neutral]],rtg_vlookup,4,FALSE)+VLOOKUP(Table2[[#This Row],[Visitor/Neutral]],rtg_vlookup,4,FALSE)</f>
        <v>-1.755118483412331</v>
      </c>
      <c r="W983" s="25"/>
      <c r="X983" s="2"/>
      <c r="Y983" s="2">
        <f>Table2[[#This Row],[Away EV]]-Table2[[#This Row],[Home EV]]</f>
        <v>-3.8761691200184032</v>
      </c>
      <c r="Z983" s="33"/>
      <c r="AA983" s="34"/>
      <c r="AB983" s="5" t="b">
        <f>IF(VLOOKUP(Table2[[#This Row],[Home/Neutral]],division_lookup,9,FALSE)=VLOOKUP(Table2[[#This Row],[Visitor/Neutral]],division_lookup,9,FALSE),TRUE,FALSE)</f>
        <v>0</v>
      </c>
      <c r="AC983" s="19" t="str">
        <f>VLOOKUP(Table2[[#This Row],[Home/Neutral]],division_lookup,9,FALSE)</f>
        <v>NW</v>
      </c>
      <c r="AD983" s="19"/>
      <c r="AE983" s="19" t="str">
        <f>IF(Table2[[#This Row],[Total EV ®]]&lt;Table2[[#This Row],[Total (V)]],"UNDER","OVER")</f>
        <v>OVER</v>
      </c>
      <c r="AF983" s="30">
        <f>Table2[[#This Row],[(A) Spread]]-Table2[[#This Row],[Spread (V)]]</f>
        <v>0</v>
      </c>
      <c r="AG983" s="19"/>
      <c r="AH983" s="2">
        <f>Table2[[#This Row],[EV]]-Table2[[#This Row],[Spread (V)]]</f>
        <v>-3.8761691200184032</v>
      </c>
      <c r="AI983" s="22">
        <f>Table2[[#This Row],[(A)]]-Table2[[#This Row],[Spread]]</f>
        <v>-1.755118483412331</v>
      </c>
      <c r="AJ983" s="1">
        <f>Table2[[#This Row],[(A) Err]]^2</f>
        <v>3.0804408908156007</v>
      </c>
      <c r="AK983" s="6">
        <f>Table2[[#This Row],[EV]]-Table2[[#This Row],[Spread]]</f>
        <v>-3.8761691200184032</v>
      </c>
      <c r="AL983" s="1">
        <f>Table2[[#This Row],[EV Err]]^2</f>
        <v>15.024687046984242</v>
      </c>
    </row>
    <row r="984" spans="1:38" x14ac:dyDescent="0.25">
      <c r="A984" t="s">
        <v>172</v>
      </c>
      <c r="B984" t="s">
        <v>29</v>
      </c>
      <c r="C984" t="s">
        <v>27</v>
      </c>
      <c r="K984" s="25">
        <f>(Table2[[#This Row],[Home Pace]]/100)*(VLOOKUP(Table2[[#This Row],[Home/Neutral]],home_lookup,8,FALSE)+VLOOKUP(Table2[[#This Row],[Home/Neutral]],OFR_lookup,2,FALSE)+VLOOKUP(Table2[[#This Row],[Visitor/Neutral]],def_diff_lookup,6,FALSE))</f>
        <v>108.56712926898523</v>
      </c>
      <c r="L984" s="25"/>
      <c r="M984" s="25">
        <f>(Table2[[#This Row],[Away Pace]]/100)*(VLOOKUP(Table2[[#This Row],[Visitor/Neutral]],OFR_lookup,2,FALSE)+VLOOKUP(Table2[[#This Row],[Home/Neutral]],def_diff_lookup,6,FALSE))</f>
        <v>107.53446</v>
      </c>
      <c r="N984" s="25"/>
      <c r="O984" s="25"/>
      <c r="P984">
        <f>VLOOKUP(Table2[[#This Row],[Home/Neutral]],pace_lookup,7,FALSE)</f>
        <v>93.8</v>
      </c>
      <c r="Q984" s="5">
        <f>VLOOKUP(Table2[[#This Row],[Visitor/Neutral]],pace_lookup,7,FALSE)</f>
        <v>99</v>
      </c>
      <c r="R984" s="9"/>
      <c r="V984" s="2">
        <f>-home-VLOOKUP(Table2[[#This Row],[Home/Neutral]],rtg_vlookup,4,FALSE)+VLOOKUP(Table2[[#This Row],[Visitor/Neutral]],rtg_vlookup,4,FALSE)</f>
        <v>-1.0251184834123306</v>
      </c>
      <c r="W984" s="25"/>
      <c r="X984" s="2"/>
      <c r="Y984" s="2">
        <f>Table2[[#This Row],[Away EV]]-Table2[[#This Row],[Home EV]]</f>
        <v>-1.0326692689852308</v>
      </c>
      <c r="Z984" s="33"/>
      <c r="AA984" s="34"/>
      <c r="AB984" s="5" t="b">
        <f>IF(VLOOKUP(Table2[[#This Row],[Home/Neutral]],division_lookup,9,FALSE)=VLOOKUP(Table2[[#This Row],[Visitor/Neutral]],division_lookup,9,FALSE),TRUE,FALSE)</f>
        <v>0</v>
      </c>
      <c r="AC984" s="19" t="str">
        <f>VLOOKUP(Table2[[#This Row],[Home/Neutral]],division_lookup,9,FALSE)</f>
        <v>P</v>
      </c>
      <c r="AD984" s="19"/>
      <c r="AE984" s="19" t="str">
        <f>IF(Table2[[#This Row],[Total EV ®]]&lt;Table2[[#This Row],[Total (V)]],"UNDER","OVER")</f>
        <v>OVER</v>
      </c>
      <c r="AF984" s="30">
        <f>Table2[[#This Row],[(A) Spread]]-Table2[[#This Row],[Spread (V)]]</f>
        <v>0</v>
      </c>
      <c r="AG984" s="19"/>
      <c r="AH984" s="2">
        <f>Table2[[#This Row],[EV]]-Table2[[#This Row],[Spread (V)]]</f>
        <v>-1.0326692689852308</v>
      </c>
      <c r="AI984" s="22">
        <f>Table2[[#This Row],[(A)]]-Table2[[#This Row],[Spread]]</f>
        <v>-1.0251184834123306</v>
      </c>
      <c r="AJ984" s="1">
        <f>Table2[[#This Row],[(A) Err]]^2</f>
        <v>1.0508679050335967</v>
      </c>
      <c r="AK984" s="6">
        <f>Table2[[#This Row],[EV]]-Table2[[#This Row],[Spread]]</f>
        <v>-1.0326692689852308</v>
      </c>
      <c r="AL984" s="1">
        <f>Table2[[#This Row],[EV Err]]^2</f>
        <v>1.0664058191064909</v>
      </c>
    </row>
    <row r="985" spans="1:38" x14ac:dyDescent="0.25">
      <c r="A985" t="s">
        <v>172</v>
      </c>
      <c r="B985" t="s">
        <v>6</v>
      </c>
      <c r="C985" t="s">
        <v>10</v>
      </c>
      <c r="K985" s="25">
        <f>(Table2[[#This Row],[Home Pace]]/100)*(VLOOKUP(Table2[[#This Row],[Home/Neutral]],home_lookup,8,FALSE)+VLOOKUP(Table2[[#This Row],[Home/Neutral]],OFR_lookup,2,FALSE)+VLOOKUP(Table2[[#This Row],[Visitor/Neutral]],def_diff_lookup,6,FALSE))</f>
        <v>104.49323787062244</v>
      </c>
      <c r="L985" s="25"/>
      <c r="M985" s="25">
        <f>(Table2[[#This Row],[Away Pace]]/100)*(VLOOKUP(Table2[[#This Row],[Visitor/Neutral]],OFR_lookup,2,FALSE)+VLOOKUP(Table2[[#This Row],[Home/Neutral]],def_diff_lookup,6,FALSE))</f>
        <v>114.40284866666667</v>
      </c>
      <c r="N985" s="25"/>
      <c r="O985" s="25"/>
      <c r="P985">
        <f>VLOOKUP(Table2[[#This Row],[Home/Neutral]],pace_lookup,7,FALSE)</f>
        <v>93.1</v>
      </c>
      <c r="Q985" s="5">
        <f>VLOOKUP(Table2[[#This Row],[Visitor/Neutral]],pace_lookup,7,FALSE)</f>
        <v>100.3</v>
      </c>
      <c r="R985" s="9"/>
      <c r="V985" s="2">
        <f>-home-VLOOKUP(Table2[[#This Row],[Home/Neutral]],rtg_vlookup,4,FALSE)+VLOOKUP(Table2[[#This Row],[Visitor/Neutral]],rtg_vlookup,4,FALSE)</f>
        <v>-1.2451184834123303</v>
      </c>
      <c r="W985" s="25"/>
      <c r="X985" s="2"/>
      <c r="Y985" s="2">
        <f>Table2[[#This Row],[Away EV]]-Table2[[#This Row],[Home EV]]</f>
        <v>9.9096107960442339</v>
      </c>
      <c r="Z985" s="33"/>
      <c r="AA985" s="34"/>
      <c r="AB985" s="5" t="b">
        <f>IF(VLOOKUP(Table2[[#This Row],[Home/Neutral]],division_lookup,9,FALSE)=VLOOKUP(Table2[[#This Row],[Visitor/Neutral]],division_lookup,9,FALSE),TRUE,FALSE)</f>
        <v>0</v>
      </c>
      <c r="AC985" s="19" t="str">
        <f>VLOOKUP(Table2[[#This Row],[Home/Neutral]],division_lookup,9,FALSE)</f>
        <v>SW</v>
      </c>
      <c r="AD985" s="19"/>
      <c r="AE985" s="19" t="str">
        <f>IF(Table2[[#This Row],[Total EV ®]]&lt;Table2[[#This Row],[Total (V)]],"UNDER","OVER")</f>
        <v>OVER</v>
      </c>
      <c r="AF985" s="30">
        <f>Table2[[#This Row],[(A) Spread]]-Table2[[#This Row],[Spread (V)]]</f>
        <v>0</v>
      </c>
      <c r="AG985" s="19"/>
      <c r="AH985" s="2">
        <f>Table2[[#This Row],[EV]]-Table2[[#This Row],[Spread (V)]]</f>
        <v>9.9096107960442339</v>
      </c>
      <c r="AI985" s="22">
        <f>Table2[[#This Row],[(A)]]-Table2[[#This Row],[Spread]]</f>
        <v>-1.2451184834123303</v>
      </c>
      <c r="AJ985" s="1">
        <f>Table2[[#This Row],[(A) Err]]^2</f>
        <v>1.5503200377350215</v>
      </c>
      <c r="AK985" s="6">
        <f>Table2[[#This Row],[EV]]-Table2[[#This Row],[Spread]]</f>
        <v>9.9096107960442339</v>
      </c>
      <c r="AL985" s="1">
        <f>Table2[[#This Row],[EV Err]]^2</f>
        <v>98.200386129076435</v>
      </c>
    </row>
    <row r="986" spans="1:38" x14ac:dyDescent="0.25">
      <c r="A986" t="s">
        <v>173</v>
      </c>
      <c r="B986" t="s">
        <v>26</v>
      </c>
      <c r="C986" t="s">
        <v>13</v>
      </c>
      <c r="K986" s="25">
        <f>(Table2[[#This Row],[Home Pace]]/100)*(VLOOKUP(Table2[[#This Row],[Home/Neutral]],home_lookup,8,FALSE)+VLOOKUP(Table2[[#This Row],[Home/Neutral]],OFR_lookup,2,FALSE)+VLOOKUP(Table2[[#This Row],[Visitor/Neutral]],def_diff_lookup,6,FALSE))</f>
        <v>106.1889635891816</v>
      </c>
      <c r="L986" s="25"/>
      <c r="M986" s="25">
        <f>(Table2[[#This Row],[Away Pace]]/100)*(VLOOKUP(Table2[[#This Row],[Visitor/Neutral]],OFR_lookup,2,FALSE)+VLOOKUP(Table2[[#This Row],[Home/Neutral]],def_diff_lookup,6,FALSE))</f>
        <v>106.79508000000001</v>
      </c>
      <c r="N986" s="25"/>
      <c r="O986" s="25"/>
      <c r="P986">
        <f>VLOOKUP(Table2[[#This Row],[Home/Neutral]],pace_lookup,7,FALSE)</f>
        <v>96</v>
      </c>
      <c r="Q986" s="5">
        <f>VLOOKUP(Table2[[#This Row],[Visitor/Neutral]],pace_lookup,7,FALSE)</f>
        <v>94.5</v>
      </c>
      <c r="R986" s="9"/>
      <c r="V986" s="2">
        <f>-home-VLOOKUP(Table2[[#This Row],[Home/Neutral]],rtg_vlookup,4,FALSE)+VLOOKUP(Table2[[#This Row],[Visitor/Neutral]],rtg_vlookup,4,FALSE)</f>
        <v>3.1348815165876687</v>
      </c>
      <c r="W986" s="25"/>
      <c r="X986" s="2"/>
      <c r="Y986" s="2">
        <f>Table2[[#This Row],[Away EV]]-Table2[[#This Row],[Home EV]]</f>
        <v>0.60611641081841583</v>
      </c>
      <c r="Z986" s="33"/>
      <c r="AA986" s="34"/>
      <c r="AB986" s="5" t="b">
        <f>IF(VLOOKUP(Table2[[#This Row],[Home/Neutral]],division_lookup,9,FALSE)=VLOOKUP(Table2[[#This Row],[Visitor/Neutral]],division_lookup,9,FALSE),TRUE,FALSE)</f>
        <v>0</v>
      </c>
      <c r="AC986" s="19" t="str">
        <f>VLOOKUP(Table2[[#This Row],[Home/Neutral]],division_lookup,9,FALSE)</f>
        <v>A</v>
      </c>
      <c r="AD986" s="19"/>
      <c r="AE986" s="19" t="str">
        <f>IF(Table2[[#This Row],[Total EV ®]]&lt;Table2[[#This Row],[Total (V)]],"UNDER","OVER")</f>
        <v>OVER</v>
      </c>
      <c r="AF986" s="30">
        <f>Table2[[#This Row],[(A) Spread]]-Table2[[#This Row],[Spread (V)]]</f>
        <v>0</v>
      </c>
      <c r="AG986" s="19"/>
      <c r="AH986" s="2">
        <f>Table2[[#This Row],[EV]]-Table2[[#This Row],[Spread (V)]]</f>
        <v>0.60611641081841583</v>
      </c>
      <c r="AI986" s="22">
        <f>Table2[[#This Row],[(A)]]-Table2[[#This Row],[Spread]]</f>
        <v>3.1348815165876687</v>
      </c>
      <c r="AJ986" s="1">
        <f>Table2[[#This Row],[(A) Err]]^2</f>
        <v>9.8274821230430014</v>
      </c>
      <c r="AK986" s="6">
        <f>Table2[[#This Row],[EV]]-Table2[[#This Row],[Spread]]</f>
        <v>0.60611641081841583</v>
      </c>
      <c r="AL986" s="1">
        <f>Table2[[#This Row],[EV Err]]^2</f>
        <v>0.36737710346339864</v>
      </c>
    </row>
    <row r="987" spans="1:38" x14ac:dyDescent="0.25">
      <c r="A987" t="s">
        <v>173</v>
      </c>
      <c r="B987" t="s">
        <v>35</v>
      </c>
      <c r="C987" t="s">
        <v>31</v>
      </c>
      <c r="K987" s="25">
        <f>(Table2[[#This Row],[Home Pace]]/100)*(VLOOKUP(Table2[[#This Row],[Home/Neutral]],home_lookup,8,FALSE)+VLOOKUP(Table2[[#This Row],[Home/Neutral]],OFR_lookup,2,FALSE)+VLOOKUP(Table2[[#This Row],[Visitor/Neutral]],def_diff_lookup,6,FALSE))</f>
        <v>112.44389121209625</v>
      </c>
      <c r="L987" s="25"/>
      <c r="M987" s="25">
        <f>(Table2[[#This Row],[Away Pace]]/100)*(VLOOKUP(Table2[[#This Row],[Visitor/Neutral]],OFR_lookup,2,FALSE)+VLOOKUP(Table2[[#This Row],[Home/Neutral]],def_diff_lookup,6,FALSE))</f>
        <v>107.85664</v>
      </c>
      <c r="N987" s="25"/>
      <c r="O987" s="25"/>
      <c r="P987">
        <f>VLOOKUP(Table2[[#This Row],[Home/Neutral]],pace_lookup,7,FALSE)</f>
        <v>102.2</v>
      </c>
      <c r="Q987" s="5">
        <f>VLOOKUP(Table2[[#This Row],[Visitor/Neutral]],pace_lookup,7,FALSE)</f>
        <v>96</v>
      </c>
      <c r="R987" s="9"/>
      <c r="V987" s="2">
        <f>-home-VLOOKUP(Table2[[#This Row],[Home/Neutral]],rtg_vlookup,4,FALSE)+VLOOKUP(Table2[[#This Row],[Visitor/Neutral]],rtg_vlookup,4,FALSE)</f>
        <v>1.3448815165876686</v>
      </c>
      <c r="W987" s="25"/>
      <c r="X987" s="2"/>
      <c r="Y987" s="2">
        <f>Table2[[#This Row],[Away EV]]-Table2[[#This Row],[Home EV]]</f>
        <v>-4.5872512120962483</v>
      </c>
      <c r="Z987" s="33"/>
      <c r="AA987" s="34"/>
      <c r="AB987" s="5" t="b">
        <f>IF(VLOOKUP(Table2[[#This Row],[Home/Neutral]],division_lookup,9,FALSE)=VLOOKUP(Table2[[#This Row],[Visitor/Neutral]],division_lookup,9,FALSE),TRUE,FALSE)</f>
        <v>1</v>
      </c>
      <c r="AC987" s="19" t="str">
        <f>VLOOKUP(Table2[[#This Row],[Home/Neutral]],division_lookup,9,FALSE)</f>
        <v>A</v>
      </c>
      <c r="AD987" s="19"/>
      <c r="AE987" s="19" t="str">
        <f>IF(Table2[[#This Row],[Total EV ®]]&lt;Table2[[#This Row],[Total (V)]],"UNDER","OVER")</f>
        <v>OVER</v>
      </c>
      <c r="AF987" s="30">
        <f>Table2[[#This Row],[(A) Spread]]-Table2[[#This Row],[Spread (V)]]</f>
        <v>0</v>
      </c>
      <c r="AG987" s="19"/>
      <c r="AH987" s="2">
        <f>Table2[[#This Row],[EV]]-Table2[[#This Row],[Spread (V)]]</f>
        <v>-4.5872512120962483</v>
      </c>
      <c r="AI987" s="22">
        <f>Table2[[#This Row],[(A)]]-Table2[[#This Row],[Spread]]</f>
        <v>1.3448815165876686</v>
      </c>
      <c r="AJ987" s="1">
        <f>Table2[[#This Row],[(A) Err]]^2</f>
        <v>1.8087062936591476</v>
      </c>
      <c r="AK987" s="6">
        <f>Table2[[#This Row],[EV]]-Table2[[#This Row],[Spread]]</f>
        <v>-4.5872512120962483</v>
      </c>
      <c r="AL987" s="1">
        <f>Table2[[#This Row],[EV Err]]^2</f>
        <v>21.042873682878501</v>
      </c>
    </row>
    <row r="988" spans="1:38" x14ac:dyDescent="0.25">
      <c r="A988" t="s">
        <v>173</v>
      </c>
      <c r="B988" t="s">
        <v>17</v>
      </c>
      <c r="C988" t="s">
        <v>8</v>
      </c>
      <c r="K988" s="25">
        <f>(Table2[[#This Row],[Home Pace]]/100)*(VLOOKUP(Table2[[#This Row],[Home/Neutral]],home_lookup,8,FALSE)+VLOOKUP(Table2[[#This Row],[Home/Neutral]],OFR_lookup,2,FALSE)+VLOOKUP(Table2[[#This Row],[Visitor/Neutral]],def_diff_lookup,6,FALSE))</f>
        <v>107.39253692873545</v>
      </c>
      <c r="L988" s="25"/>
      <c r="M988" s="25">
        <f>(Table2[[#This Row],[Away Pace]]/100)*(VLOOKUP(Table2[[#This Row],[Visitor/Neutral]],OFR_lookup,2,FALSE)+VLOOKUP(Table2[[#This Row],[Home/Neutral]],def_diff_lookup,6,FALSE))</f>
        <v>111.265488</v>
      </c>
      <c r="N988" s="25"/>
      <c r="O988" s="25"/>
      <c r="P988">
        <f>VLOOKUP(Table2[[#This Row],[Home/Neutral]],pace_lookup,7,FALSE)</f>
        <v>96.7</v>
      </c>
      <c r="Q988" s="5">
        <f>VLOOKUP(Table2[[#This Row],[Visitor/Neutral]],pace_lookup,7,FALSE)</f>
        <v>97.2</v>
      </c>
      <c r="R988" s="9"/>
      <c r="V988" s="2">
        <f>-home-VLOOKUP(Table2[[#This Row],[Home/Neutral]],rtg_vlookup,4,FALSE)+VLOOKUP(Table2[[#This Row],[Visitor/Neutral]],rtg_vlookup,4,FALSE)</f>
        <v>-0.10511848341233065</v>
      </c>
      <c r="W988" s="25"/>
      <c r="X988" s="2"/>
      <c r="Y988" s="2">
        <f>Table2[[#This Row],[Away EV]]-Table2[[#This Row],[Home EV]]</f>
        <v>3.8729510712645521</v>
      </c>
      <c r="Z988" s="33"/>
      <c r="AA988" s="34"/>
      <c r="AB988" s="5" t="b">
        <f>IF(VLOOKUP(Table2[[#This Row],[Home/Neutral]],division_lookup,9,FALSE)=VLOOKUP(Table2[[#This Row],[Visitor/Neutral]],division_lookup,9,FALSE),TRUE,FALSE)</f>
        <v>0</v>
      </c>
      <c r="AC988" s="19" t="str">
        <f>VLOOKUP(Table2[[#This Row],[Home/Neutral]],division_lookup,9,FALSE)</f>
        <v>SW</v>
      </c>
      <c r="AD988" s="19"/>
      <c r="AE988" s="19" t="str">
        <f>IF(Table2[[#This Row],[Total EV ®]]&lt;Table2[[#This Row],[Total (V)]],"UNDER","OVER")</f>
        <v>OVER</v>
      </c>
      <c r="AF988" s="30">
        <f>Table2[[#This Row],[(A) Spread]]-Table2[[#This Row],[Spread (V)]]</f>
        <v>0</v>
      </c>
      <c r="AG988" s="19"/>
      <c r="AH988" s="2">
        <f>Table2[[#This Row],[EV]]-Table2[[#This Row],[Spread (V)]]</f>
        <v>3.8729510712645521</v>
      </c>
      <c r="AI988" s="22">
        <f>Table2[[#This Row],[(A)]]-Table2[[#This Row],[Spread]]</f>
        <v>-0.10511848341233065</v>
      </c>
      <c r="AJ988" s="1">
        <f>Table2[[#This Row],[(A) Err]]^2</f>
        <v>1.1049895554908436E-2</v>
      </c>
      <c r="AK988" s="6">
        <f>Table2[[#This Row],[EV]]-Table2[[#This Row],[Spread]]</f>
        <v>3.8729510712645521</v>
      </c>
      <c r="AL988" s="1">
        <f>Table2[[#This Row],[EV Err]]^2</f>
        <v>14.999750000409241</v>
      </c>
    </row>
    <row r="989" spans="1:38" x14ac:dyDescent="0.25">
      <c r="A989" t="s">
        <v>173</v>
      </c>
      <c r="B989" t="s">
        <v>33</v>
      </c>
      <c r="C989" t="s">
        <v>21</v>
      </c>
      <c r="K989" s="25">
        <f>(Table2[[#This Row],[Home Pace]]/100)*(VLOOKUP(Table2[[#This Row],[Home/Neutral]],home_lookup,8,FALSE)+VLOOKUP(Table2[[#This Row],[Home/Neutral]],OFR_lookup,2,FALSE)+VLOOKUP(Table2[[#This Row],[Visitor/Neutral]],def_diff_lookup,6,FALSE))</f>
        <v>103.81685852057507</v>
      </c>
      <c r="L989" s="25"/>
      <c r="M989" s="25">
        <f>(Table2[[#This Row],[Away Pace]]/100)*(VLOOKUP(Table2[[#This Row],[Visitor/Neutral]],OFR_lookup,2,FALSE)+VLOOKUP(Table2[[#This Row],[Home/Neutral]],def_diff_lookup,6,FALSE))</f>
        <v>98.854108000000025</v>
      </c>
      <c r="N989" s="25"/>
      <c r="O989" s="25"/>
      <c r="P989">
        <f>VLOOKUP(Table2[[#This Row],[Home/Neutral]],pace_lookup,7,FALSE)</f>
        <v>98.2</v>
      </c>
      <c r="Q989" s="5">
        <f>VLOOKUP(Table2[[#This Row],[Visitor/Neutral]],pace_lookup,7,FALSE)</f>
        <v>94.2</v>
      </c>
      <c r="R989" s="9"/>
      <c r="V989" s="2">
        <f>-home-VLOOKUP(Table2[[#This Row],[Home/Neutral]],rtg_vlookup,4,FALSE)+VLOOKUP(Table2[[#This Row],[Visitor/Neutral]],rtg_vlookup,4,FALSE)</f>
        <v>2.4248815165876696</v>
      </c>
      <c r="W989" s="25"/>
      <c r="X989" s="2"/>
      <c r="Y989" s="2">
        <f>Table2[[#This Row],[Away EV]]-Table2[[#This Row],[Home EV]]</f>
        <v>-4.9627505205750424</v>
      </c>
      <c r="Z989" s="33"/>
      <c r="AA989" s="34"/>
      <c r="AB989" s="5" t="b">
        <f>IF(VLOOKUP(Table2[[#This Row],[Home/Neutral]],division_lookup,9,FALSE)=VLOOKUP(Table2[[#This Row],[Visitor/Neutral]],division_lookup,9,FALSE),TRUE,FALSE)</f>
        <v>0</v>
      </c>
      <c r="AC989" s="19" t="str">
        <f>VLOOKUP(Table2[[#This Row],[Home/Neutral]],division_lookup,9,FALSE)</f>
        <v>C</v>
      </c>
      <c r="AD989" s="19"/>
      <c r="AE989" s="19" t="str">
        <f>IF(Table2[[#This Row],[Total EV ®]]&lt;Table2[[#This Row],[Total (V)]],"UNDER","OVER")</f>
        <v>OVER</v>
      </c>
      <c r="AF989" s="30">
        <f>Table2[[#This Row],[(A) Spread]]-Table2[[#This Row],[Spread (V)]]</f>
        <v>0</v>
      </c>
      <c r="AG989" s="19"/>
      <c r="AH989" s="2">
        <f>Table2[[#This Row],[EV]]-Table2[[#This Row],[Spread (V)]]</f>
        <v>-4.9627505205750424</v>
      </c>
      <c r="AI989" s="22">
        <f>Table2[[#This Row],[(A)]]-Table2[[#This Row],[Spread]]</f>
        <v>2.4248815165876696</v>
      </c>
      <c r="AJ989" s="1">
        <f>Table2[[#This Row],[(A) Err]]^2</f>
        <v>5.8800503694885169</v>
      </c>
      <c r="AK989" s="6">
        <f>Table2[[#This Row],[EV]]-Table2[[#This Row],[Spread]]</f>
        <v>-4.9627505205750424</v>
      </c>
      <c r="AL989" s="1">
        <f>Table2[[#This Row],[EV Err]]^2</f>
        <v>24.628892729467854</v>
      </c>
    </row>
    <row r="990" spans="1:38" x14ac:dyDescent="0.25">
      <c r="A990" t="s">
        <v>173</v>
      </c>
      <c r="B990" t="s">
        <v>24</v>
      </c>
      <c r="C990" t="s">
        <v>39</v>
      </c>
      <c r="K990" s="25">
        <f>(Table2[[#This Row],[Home Pace]]/100)*(VLOOKUP(Table2[[#This Row],[Home/Neutral]],home_lookup,8,FALSE)+VLOOKUP(Table2[[#This Row],[Home/Neutral]],OFR_lookup,2,FALSE)+VLOOKUP(Table2[[#This Row],[Visitor/Neutral]],def_diff_lookup,6,FALSE))</f>
        <v>112.2034843283094</v>
      </c>
      <c r="L990" s="25"/>
      <c r="M990" s="25">
        <f>(Table2[[#This Row],[Away Pace]]/100)*(VLOOKUP(Table2[[#This Row],[Visitor/Neutral]],OFR_lookup,2,FALSE)+VLOOKUP(Table2[[#This Row],[Home/Neutral]],def_diff_lookup,6,FALSE))</f>
        <v>101.42015000000001</v>
      </c>
      <c r="N990" s="25"/>
      <c r="O990" s="25"/>
      <c r="P990">
        <f>VLOOKUP(Table2[[#This Row],[Home/Neutral]],pace_lookup,7,FALSE)</f>
        <v>99.9</v>
      </c>
      <c r="Q990" s="5">
        <f>VLOOKUP(Table2[[#This Row],[Visitor/Neutral]],pace_lookup,7,FALSE)</f>
        <v>97.5</v>
      </c>
      <c r="R990" s="9"/>
      <c r="V990" s="2">
        <f>-home-VLOOKUP(Table2[[#This Row],[Home/Neutral]],rtg_vlookup,4,FALSE)+VLOOKUP(Table2[[#This Row],[Visitor/Neutral]],rtg_vlookup,4,FALSE)</f>
        <v>-12.25511848341233</v>
      </c>
      <c r="W990" s="25"/>
      <c r="X990" s="2"/>
      <c r="Y990" s="2">
        <f>Table2[[#This Row],[Away EV]]-Table2[[#This Row],[Home EV]]</f>
        <v>-10.783334328309394</v>
      </c>
      <c r="Z990" s="33"/>
      <c r="AA990" s="34"/>
      <c r="AB990" s="5" t="b">
        <f>IF(VLOOKUP(Table2[[#This Row],[Home/Neutral]],division_lookup,9,FALSE)=VLOOKUP(Table2[[#This Row],[Visitor/Neutral]],division_lookup,9,FALSE),TRUE,FALSE)</f>
        <v>0</v>
      </c>
      <c r="AC990" s="19" t="str">
        <f>VLOOKUP(Table2[[#This Row],[Home/Neutral]],division_lookup,9,FALSE)</f>
        <v>P</v>
      </c>
      <c r="AD990" s="19"/>
      <c r="AE990" s="19" t="str">
        <f>IF(Table2[[#This Row],[Total EV ®]]&lt;Table2[[#This Row],[Total (V)]],"UNDER","OVER")</f>
        <v>OVER</v>
      </c>
      <c r="AF990" s="30">
        <f>Table2[[#This Row],[(A) Spread]]-Table2[[#This Row],[Spread (V)]]</f>
        <v>0</v>
      </c>
      <c r="AG990" s="19"/>
      <c r="AH990" s="2">
        <f>Table2[[#This Row],[EV]]-Table2[[#This Row],[Spread (V)]]</f>
        <v>-10.783334328309394</v>
      </c>
      <c r="AI990" s="22">
        <f>Table2[[#This Row],[(A)]]-Table2[[#This Row],[Spread]]</f>
        <v>-12.25511848341233</v>
      </c>
      <c r="AJ990" s="1">
        <f>Table2[[#This Row],[(A) Err]]^2</f>
        <v>150.18792904247454</v>
      </c>
      <c r="AK990" s="6">
        <f>Table2[[#This Row],[EV]]-Table2[[#This Row],[Spread]]</f>
        <v>-10.783334328309394</v>
      </c>
      <c r="AL990" s="1">
        <f>Table2[[#This Row],[EV Err]]^2</f>
        <v>116.2802992360958</v>
      </c>
    </row>
    <row r="991" spans="1:38" x14ac:dyDescent="0.25">
      <c r="A991" t="s">
        <v>173</v>
      </c>
      <c r="B991" t="s">
        <v>36</v>
      </c>
      <c r="C991" t="s">
        <v>32</v>
      </c>
      <c r="K991" s="25">
        <f>(Table2[[#This Row],[Home Pace]]/100)*(VLOOKUP(Table2[[#This Row],[Home/Neutral]],home_lookup,8,FALSE)+VLOOKUP(Table2[[#This Row],[Home/Neutral]],OFR_lookup,2,FALSE)+VLOOKUP(Table2[[#This Row],[Visitor/Neutral]],def_diff_lookup,6,FALSE))</f>
        <v>112.65371156604043</v>
      </c>
      <c r="L991" s="25"/>
      <c r="M991" s="25">
        <f>(Table2[[#This Row],[Away Pace]]/100)*(VLOOKUP(Table2[[#This Row],[Visitor/Neutral]],OFR_lookup,2,FALSE)+VLOOKUP(Table2[[#This Row],[Home/Neutral]],def_diff_lookup,6,FALSE))</f>
        <v>109.77203733333334</v>
      </c>
      <c r="N991" s="25"/>
      <c r="O991" s="25"/>
      <c r="P991">
        <f>VLOOKUP(Table2[[#This Row],[Home/Neutral]],pace_lookup,7,FALSE)</f>
        <v>102.2</v>
      </c>
      <c r="Q991" s="5">
        <f>VLOOKUP(Table2[[#This Row],[Visitor/Neutral]],pace_lookup,7,FALSE)</f>
        <v>98.6</v>
      </c>
      <c r="R991" s="9"/>
      <c r="V991" s="2">
        <f>-home-VLOOKUP(Table2[[#This Row],[Home/Neutral]],rtg_vlookup,4,FALSE)+VLOOKUP(Table2[[#This Row],[Visitor/Neutral]],rtg_vlookup,4,FALSE)</f>
        <v>0.59488151658766952</v>
      </c>
      <c r="W991" s="25"/>
      <c r="X991" s="2"/>
      <c r="Y991" s="2">
        <f>Table2[[#This Row],[Away EV]]-Table2[[#This Row],[Home EV]]</f>
        <v>-2.8816742327070841</v>
      </c>
      <c r="Z991" s="33"/>
      <c r="AA991" s="34"/>
      <c r="AB991" s="5" t="b">
        <f>IF(VLOOKUP(Table2[[#This Row],[Home/Neutral]],division_lookup,9,FALSE)=VLOOKUP(Table2[[#This Row],[Visitor/Neutral]],division_lookup,9,FALSE),TRUE,FALSE)</f>
        <v>0</v>
      </c>
      <c r="AC991" s="19" t="str">
        <f>VLOOKUP(Table2[[#This Row],[Home/Neutral]],division_lookup,9,FALSE)</f>
        <v>P</v>
      </c>
      <c r="AD991" s="19"/>
      <c r="AE991" s="19" t="str">
        <f>IF(Table2[[#This Row],[Total EV ®]]&lt;Table2[[#This Row],[Total (V)]],"UNDER","OVER")</f>
        <v>OVER</v>
      </c>
      <c r="AF991" s="30">
        <f>Table2[[#This Row],[(A) Spread]]-Table2[[#This Row],[Spread (V)]]</f>
        <v>0</v>
      </c>
      <c r="AG991" s="19"/>
      <c r="AH991" s="2">
        <f>Table2[[#This Row],[EV]]-Table2[[#This Row],[Spread (V)]]</f>
        <v>-2.8816742327070841</v>
      </c>
      <c r="AI991" s="22">
        <f>Table2[[#This Row],[(A)]]-Table2[[#This Row],[Spread]]</f>
        <v>0.59488151658766952</v>
      </c>
      <c r="AJ991" s="1">
        <f>Table2[[#This Row],[(A) Err]]^2</f>
        <v>0.35388401877764575</v>
      </c>
      <c r="AK991" s="6">
        <f>Table2[[#This Row],[EV]]-Table2[[#This Row],[Spread]]</f>
        <v>-2.8816742327070841</v>
      </c>
      <c r="AL991" s="1">
        <f>Table2[[#This Row],[EV Err]]^2</f>
        <v>8.3040463834479628</v>
      </c>
    </row>
    <row r="992" spans="1:38" x14ac:dyDescent="0.25">
      <c r="A992" t="s">
        <v>174</v>
      </c>
      <c r="B992" t="s">
        <v>16</v>
      </c>
      <c r="C992" t="s">
        <v>13</v>
      </c>
      <c r="K992" s="25">
        <f>(Table2[[#This Row],[Home Pace]]/100)*(VLOOKUP(Table2[[#This Row],[Home/Neutral]],home_lookup,8,FALSE)+VLOOKUP(Table2[[#This Row],[Home/Neutral]],OFR_lookup,2,FALSE)+VLOOKUP(Table2[[#This Row],[Visitor/Neutral]],def_diff_lookup,6,FALSE))</f>
        <v>103.04135601115951</v>
      </c>
      <c r="L992" s="25"/>
      <c r="M992" s="25">
        <f>(Table2[[#This Row],[Away Pace]]/100)*(VLOOKUP(Table2[[#This Row],[Visitor/Neutral]],OFR_lookup,2,FALSE)+VLOOKUP(Table2[[#This Row],[Home/Neutral]],def_diff_lookup,6,FALSE))</f>
        <v>103.46868000000001</v>
      </c>
      <c r="N992" s="25"/>
      <c r="O992" s="25"/>
      <c r="P992">
        <f>VLOOKUP(Table2[[#This Row],[Home/Neutral]],pace_lookup,7,FALSE)</f>
        <v>97.5</v>
      </c>
      <c r="Q992" s="5">
        <f>VLOOKUP(Table2[[#This Row],[Visitor/Neutral]],pace_lookup,7,FALSE)</f>
        <v>94.5</v>
      </c>
      <c r="R992" s="9"/>
      <c r="V992" s="2">
        <f>-home-VLOOKUP(Table2[[#This Row],[Home/Neutral]],rtg_vlookup,4,FALSE)+VLOOKUP(Table2[[#This Row],[Visitor/Neutral]],rtg_vlookup,4,FALSE)</f>
        <v>0.29488151658766881</v>
      </c>
      <c r="W992" s="25"/>
      <c r="X992" s="2"/>
      <c r="Y992" s="2">
        <f>Table2[[#This Row],[Away EV]]-Table2[[#This Row],[Home EV]]</f>
        <v>0.42732398884049871</v>
      </c>
      <c r="Z992" s="33"/>
      <c r="AA992" s="34"/>
      <c r="AB992" s="5" t="b">
        <f>IF(VLOOKUP(Table2[[#This Row],[Home/Neutral]],division_lookup,9,FALSE)=VLOOKUP(Table2[[#This Row],[Visitor/Neutral]],division_lookup,9,FALSE),TRUE,FALSE)</f>
        <v>0</v>
      </c>
      <c r="AC992" s="19" t="str">
        <f>VLOOKUP(Table2[[#This Row],[Home/Neutral]],division_lookup,9,FALSE)</f>
        <v>SE</v>
      </c>
      <c r="AD992" s="19"/>
      <c r="AE992" s="19" t="str">
        <f>IF(Table2[[#This Row],[Total EV ®]]&lt;Table2[[#This Row],[Total (V)]],"UNDER","OVER")</f>
        <v>OVER</v>
      </c>
      <c r="AF992" s="30">
        <f>Table2[[#This Row],[(A) Spread]]-Table2[[#This Row],[Spread (V)]]</f>
        <v>0</v>
      </c>
      <c r="AG992" s="19"/>
      <c r="AH992" s="2">
        <f>Table2[[#This Row],[EV]]-Table2[[#This Row],[Spread (V)]]</f>
        <v>0.42732398884049871</v>
      </c>
      <c r="AI992" s="22">
        <f>Table2[[#This Row],[(A)]]-Table2[[#This Row],[Spread]]</f>
        <v>0.29488151658766881</v>
      </c>
      <c r="AJ992" s="1">
        <f>Table2[[#This Row],[(A) Err]]^2</f>
        <v>8.6955108825043592E-2</v>
      </c>
      <c r="AK992" s="6">
        <f>Table2[[#This Row],[EV]]-Table2[[#This Row],[Spread]]</f>
        <v>0.42732398884049871</v>
      </c>
      <c r="AL992" s="1">
        <f>Table2[[#This Row],[EV Err]]^2</f>
        <v>0.18260579143855468</v>
      </c>
    </row>
    <row r="993" spans="1:38" x14ac:dyDescent="0.25">
      <c r="A993" t="s">
        <v>174</v>
      </c>
      <c r="B993" t="s">
        <v>27</v>
      </c>
      <c r="C993" t="s">
        <v>24</v>
      </c>
      <c r="K993" s="25">
        <f>(Table2[[#This Row],[Home Pace]]/100)*(VLOOKUP(Table2[[#This Row],[Home/Neutral]],home_lookup,8,FALSE)+VLOOKUP(Table2[[#This Row],[Home/Neutral]],OFR_lookup,2,FALSE)+VLOOKUP(Table2[[#This Row],[Visitor/Neutral]],def_diff_lookup,6,FALSE))</f>
        <v>108.47565642647257</v>
      </c>
      <c r="L993" s="25"/>
      <c r="M993" s="25">
        <f>(Table2[[#This Row],[Away Pace]]/100)*(VLOOKUP(Table2[[#This Row],[Visitor/Neutral]],OFR_lookup,2,FALSE)+VLOOKUP(Table2[[#This Row],[Home/Neutral]],def_diff_lookup,6,FALSE))</f>
        <v>110.00055600000002</v>
      </c>
      <c r="N993" s="25"/>
      <c r="O993" s="25"/>
      <c r="P993">
        <f>VLOOKUP(Table2[[#This Row],[Home/Neutral]],pace_lookup,7,FALSE)</f>
        <v>99</v>
      </c>
      <c r="Q993" s="5">
        <f>VLOOKUP(Table2[[#This Row],[Visitor/Neutral]],pace_lookup,7,FALSE)</f>
        <v>99.9</v>
      </c>
      <c r="R993" s="9"/>
      <c r="V993" s="2">
        <f>-home-VLOOKUP(Table2[[#This Row],[Home/Neutral]],rtg_vlookup,4,FALSE)+VLOOKUP(Table2[[#This Row],[Visitor/Neutral]],rtg_vlookup,4,FALSE)</f>
        <v>-1.8751184834123309</v>
      </c>
      <c r="W993" s="25"/>
      <c r="X993" s="2"/>
      <c r="Y993" s="2">
        <f>Table2[[#This Row],[Away EV]]-Table2[[#This Row],[Home EV]]</f>
        <v>1.5248995735274491</v>
      </c>
      <c r="Z993" s="33"/>
      <c r="AA993" s="34"/>
      <c r="AB993" s="5" t="b">
        <f>IF(VLOOKUP(Table2[[#This Row],[Home/Neutral]],division_lookup,9,FALSE)=VLOOKUP(Table2[[#This Row],[Visitor/Neutral]],division_lookup,9,FALSE),TRUE,FALSE)</f>
        <v>0</v>
      </c>
      <c r="AC993" s="19" t="str">
        <f>VLOOKUP(Table2[[#This Row],[Home/Neutral]],division_lookup,9,FALSE)</f>
        <v>NW</v>
      </c>
      <c r="AD993" s="19"/>
      <c r="AE993" s="19" t="str">
        <f>IF(Table2[[#This Row],[Total EV ®]]&lt;Table2[[#This Row],[Total (V)]],"UNDER","OVER")</f>
        <v>OVER</v>
      </c>
      <c r="AF993" s="30">
        <f>Table2[[#This Row],[(A) Spread]]-Table2[[#This Row],[Spread (V)]]</f>
        <v>0</v>
      </c>
      <c r="AG993" s="19"/>
      <c r="AH993" s="2">
        <f>Table2[[#This Row],[EV]]-Table2[[#This Row],[Spread (V)]]</f>
        <v>1.5248995735274491</v>
      </c>
      <c r="AI993" s="22">
        <f>Table2[[#This Row],[(A)]]-Table2[[#This Row],[Spread]]</f>
        <v>-1.8751184834123309</v>
      </c>
      <c r="AJ993" s="1">
        <f>Table2[[#This Row],[(A) Err]]^2</f>
        <v>3.5160693268345597</v>
      </c>
      <c r="AK993" s="6">
        <f>Table2[[#This Row],[EV]]-Table2[[#This Row],[Spread]]</f>
        <v>1.5248995735274491</v>
      </c>
      <c r="AL993" s="1">
        <f>Table2[[#This Row],[EV Err]]^2</f>
        <v>2.325318709344196</v>
      </c>
    </row>
    <row r="994" spans="1:38" x14ac:dyDescent="0.25">
      <c r="A994" t="s">
        <v>174</v>
      </c>
      <c r="B994" t="s">
        <v>23</v>
      </c>
      <c r="C994" t="s">
        <v>30</v>
      </c>
      <c r="K994" s="25">
        <f>(Table2[[#This Row],[Home Pace]]/100)*(VLOOKUP(Table2[[#This Row],[Home/Neutral]],home_lookup,8,FALSE)+VLOOKUP(Table2[[#This Row],[Home/Neutral]],OFR_lookup,2,FALSE)+VLOOKUP(Table2[[#This Row],[Visitor/Neutral]],def_diff_lookup,6,FALSE))</f>
        <v>103.7196373587136</v>
      </c>
      <c r="L994" s="25"/>
      <c r="M994" s="25">
        <f>(Table2[[#This Row],[Away Pace]]/100)*(VLOOKUP(Table2[[#This Row],[Visitor/Neutral]],OFR_lookup,2,FALSE)+VLOOKUP(Table2[[#This Row],[Home/Neutral]],def_diff_lookup,6,FALSE))</f>
        <v>98.107445333333345</v>
      </c>
      <c r="N994" s="25"/>
      <c r="O994" s="25"/>
      <c r="P994">
        <f>VLOOKUP(Table2[[#This Row],[Home/Neutral]],pace_lookup,7,FALSE)</f>
        <v>92.5</v>
      </c>
      <c r="Q994" s="5">
        <f>VLOOKUP(Table2[[#This Row],[Visitor/Neutral]],pace_lookup,7,FALSE)</f>
        <v>96.8</v>
      </c>
      <c r="R994" s="9"/>
      <c r="V994" s="2">
        <f>-home-VLOOKUP(Table2[[#This Row],[Home/Neutral]],rtg_vlookup,4,FALSE)+VLOOKUP(Table2[[#This Row],[Visitor/Neutral]],rtg_vlookup,4,FALSE)</f>
        <v>-7.6351184834123309</v>
      </c>
      <c r="W994" s="25"/>
      <c r="X994" s="2"/>
      <c r="Y994" s="2">
        <f>Table2[[#This Row],[Away EV]]-Table2[[#This Row],[Home EV]]</f>
        <v>-5.6121920253802529</v>
      </c>
      <c r="Z994" s="33"/>
      <c r="AA994" s="34"/>
      <c r="AB994" s="5" t="b">
        <f>IF(VLOOKUP(Table2[[#This Row],[Home/Neutral]],division_lookup,9,FALSE)=VLOOKUP(Table2[[#This Row],[Visitor/Neutral]],division_lookup,9,FALSE),TRUE,FALSE)</f>
        <v>0</v>
      </c>
      <c r="AC994" s="19" t="str">
        <f>VLOOKUP(Table2[[#This Row],[Home/Neutral]],division_lookup,9,FALSE)</f>
        <v>SW</v>
      </c>
      <c r="AD994" s="19"/>
      <c r="AE994" s="19" t="str">
        <f>IF(Table2[[#This Row],[Total EV ®]]&lt;Table2[[#This Row],[Total (V)]],"UNDER","OVER")</f>
        <v>OVER</v>
      </c>
      <c r="AF994" s="30">
        <f>Table2[[#This Row],[(A) Spread]]-Table2[[#This Row],[Spread (V)]]</f>
        <v>0</v>
      </c>
      <c r="AG994" s="19"/>
      <c r="AH994" s="2">
        <f>Table2[[#This Row],[EV]]-Table2[[#This Row],[Spread (V)]]</f>
        <v>-5.6121920253802529</v>
      </c>
      <c r="AI994" s="22">
        <f>Table2[[#This Row],[(A)]]-Table2[[#This Row],[Spread]]</f>
        <v>-7.6351184834123309</v>
      </c>
      <c r="AJ994" s="1">
        <f>Table2[[#This Row],[(A) Err]]^2</f>
        <v>58.295034255744611</v>
      </c>
      <c r="AK994" s="6">
        <f>Table2[[#This Row],[EV]]-Table2[[#This Row],[Spread]]</f>
        <v>-5.6121920253802529</v>
      </c>
      <c r="AL994" s="1">
        <f>Table2[[#This Row],[EV Err]]^2</f>
        <v>31.496699329741705</v>
      </c>
    </row>
    <row r="995" spans="1:38" x14ac:dyDescent="0.25">
      <c r="A995" t="s">
        <v>174</v>
      </c>
      <c r="B995" t="s">
        <v>22</v>
      </c>
      <c r="C995" t="s">
        <v>28</v>
      </c>
      <c r="K995" s="25">
        <f>(Table2[[#This Row],[Home Pace]]/100)*(VLOOKUP(Table2[[#This Row],[Home/Neutral]],home_lookup,8,FALSE)+VLOOKUP(Table2[[#This Row],[Home/Neutral]],OFR_lookup,2,FALSE)+VLOOKUP(Table2[[#This Row],[Visitor/Neutral]],def_diff_lookup,6,FALSE))</f>
        <v>113.74746922968977</v>
      </c>
      <c r="L995" s="25"/>
      <c r="M995" s="25">
        <f>(Table2[[#This Row],[Away Pace]]/100)*(VLOOKUP(Table2[[#This Row],[Visitor/Neutral]],OFR_lookup,2,FALSE)+VLOOKUP(Table2[[#This Row],[Home/Neutral]],def_diff_lookup,6,FALSE))</f>
        <v>107.288472</v>
      </c>
      <c r="N995" s="25"/>
      <c r="O995" s="25"/>
      <c r="P995">
        <f>VLOOKUP(Table2[[#This Row],[Home/Neutral]],pace_lookup,7,FALSE)</f>
        <v>94.7</v>
      </c>
      <c r="Q995" s="5">
        <f>VLOOKUP(Table2[[#This Row],[Visitor/Neutral]],pace_lookup,7,FALSE)</f>
        <v>96.3</v>
      </c>
      <c r="R995" s="9"/>
      <c r="V995" s="2">
        <f>-home-VLOOKUP(Table2[[#This Row],[Home/Neutral]],rtg_vlookup,4,FALSE)+VLOOKUP(Table2[[#This Row],[Visitor/Neutral]],rtg_vlookup,4,FALSE)</f>
        <v>-5.545118483412331</v>
      </c>
      <c r="W995" s="25"/>
      <c r="X995" s="2"/>
      <c r="Y995" s="2">
        <f>Table2[[#This Row],[Away EV]]-Table2[[#This Row],[Home EV]]</f>
        <v>-6.4589972296897713</v>
      </c>
      <c r="Z995" s="33"/>
      <c r="AA995" s="34"/>
      <c r="AB995" s="5" t="b">
        <f>IF(VLOOKUP(Table2[[#This Row],[Home/Neutral]],division_lookup,9,FALSE)=VLOOKUP(Table2[[#This Row],[Visitor/Neutral]],division_lookup,9,FALSE),TRUE,FALSE)</f>
        <v>0</v>
      </c>
      <c r="AC995" s="19" t="str">
        <f>VLOOKUP(Table2[[#This Row],[Home/Neutral]],division_lookup,9,FALSE)</f>
        <v>NW</v>
      </c>
      <c r="AD995" s="19"/>
      <c r="AE995" s="19" t="str">
        <f>IF(Table2[[#This Row],[Total EV ®]]&lt;Table2[[#This Row],[Total (V)]],"UNDER","OVER")</f>
        <v>OVER</v>
      </c>
      <c r="AF995" s="30">
        <f>Table2[[#This Row],[(A) Spread]]-Table2[[#This Row],[Spread (V)]]</f>
        <v>0</v>
      </c>
      <c r="AG995" s="19"/>
      <c r="AH995" s="2">
        <f>Table2[[#This Row],[EV]]-Table2[[#This Row],[Spread (V)]]</f>
        <v>-6.4589972296897713</v>
      </c>
      <c r="AI995" s="22">
        <f>Table2[[#This Row],[(A)]]-Table2[[#This Row],[Spread]]</f>
        <v>-5.545118483412331</v>
      </c>
      <c r="AJ995" s="1">
        <f>Table2[[#This Row],[(A) Err]]^2</f>
        <v>30.74833899508107</v>
      </c>
      <c r="AK995" s="6">
        <f>Table2[[#This Row],[EV]]-Table2[[#This Row],[Spread]]</f>
        <v>-6.4589972296897713</v>
      </c>
      <c r="AL995" s="1">
        <f>Table2[[#This Row],[EV Err]]^2</f>
        <v>41.718645213140142</v>
      </c>
    </row>
    <row r="996" spans="1:38" x14ac:dyDescent="0.25">
      <c r="A996" t="s">
        <v>174</v>
      </c>
      <c r="B996" t="s">
        <v>29</v>
      </c>
      <c r="C996" t="s">
        <v>38</v>
      </c>
      <c r="K996" s="25">
        <f>(Table2[[#This Row],[Home Pace]]/100)*(VLOOKUP(Table2[[#This Row],[Home/Neutral]],home_lookup,8,FALSE)+VLOOKUP(Table2[[#This Row],[Home/Neutral]],OFR_lookup,2,FALSE)+VLOOKUP(Table2[[#This Row],[Visitor/Neutral]],def_diff_lookup,6,FALSE))</f>
        <v>110.00226926898523</v>
      </c>
      <c r="L996" s="25"/>
      <c r="M996" s="25">
        <f>(Table2[[#This Row],[Away Pace]]/100)*(VLOOKUP(Table2[[#This Row],[Visitor/Neutral]],OFR_lookup,2,FALSE)+VLOOKUP(Table2[[#This Row],[Home/Neutral]],def_diff_lookup,6,FALSE))</f>
        <v>96.141148000000015</v>
      </c>
      <c r="N996" s="25"/>
      <c r="O996" s="25"/>
      <c r="P996">
        <f>VLOOKUP(Table2[[#This Row],[Home/Neutral]],pace_lookup,7,FALSE)</f>
        <v>93.8</v>
      </c>
      <c r="Q996" s="5">
        <f>VLOOKUP(Table2[[#This Row],[Visitor/Neutral]],pace_lookup,7,FALSE)</f>
        <v>94.2</v>
      </c>
      <c r="R996" s="9"/>
      <c r="V996" s="2">
        <f>-home-VLOOKUP(Table2[[#This Row],[Home/Neutral]],rtg_vlookup,4,FALSE)+VLOOKUP(Table2[[#This Row],[Visitor/Neutral]],rtg_vlookup,4,FALSE)</f>
        <v>-9.1251184834123293</v>
      </c>
      <c r="W996" s="25"/>
      <c r="X996" s="2"/>
      <c r="Y996" s="2">
        <f>Table2[[#This Row],[Away EV]]-Table2[[#This Row],[Home EV]]</f>
        <v>-13.861121268985215</v>
      </c>
      <c r="Z996" s="33"/>
      <c r="AA996" s="34"/>
      <c r="AB996" s="5" t="b">
        <f>IF(VLOOKUP(Table2[[#This Row],[Home/Neutral]],division_lookup,9,FALSE)=VLOOKUP(Table2[[#This Row],[Visitor/Neutral]],division_lookup,9,FALSE),TRUE,FALSE)</f>
        <v>0</v>
      </c>
      <c r="AC996" s="19" t="str">
        <f>VLOOKUP(Table2[[#This Row],[Home/Neutral]],division_lookup,9,FALSE)</f>
        <v>P</v>
      </c>
      <c r="AD996" s="19"/>
      <c r="AE996" s="19" t="str">
        <f>IF(Table2[[#This Row],[Total EV ®]]&lt;Table2[[#This Row],[Total (V)]],"UNDER","OVER")</f>
        <v>OVER</v>
      </c>
      <c r="AF996" s="30">
        <f>Table2[[#This Row],[(A) Spread]]-Table2[[#This Row],[Spread (V)]]</f>
        <v>0</v>
      </c>
      <c r="AG996" s="19"/>
      <c r="AH996" s="2">
        <f>Table2[[#This Row],[EV]]-Table2[[#This Row],[Spread (V)]]</f>
        <v>-13.861121268985215</v>
      </c>
      <c r="AI996" s="22">
        <f>Table2[[#This Row],[(A)]]-Table2[[#This Row],[Spread]]</f>
        <v>-9.1251184834123293</v>
      </c>
      <c r="AJ996" s="1">
        <f>Table2[[#This Row],[(A) Err]]^2</f>
        <v>83.267787336313333</v>
      </c>
      <c r="AK996" s="6">
        <f>Table2[[#This Row],[EV]]-Table2[[#This Row],[Spread]]</f>
        <v>-13.861121268985215</v>
      </c>
      <c r="AL996" s="1">
        <f>Table2[[#This Row],[EV Err]]^2</f>
        <v>192.1306828335143</v>
      </c>
    </row>
    <row r="997" spans="1:38" x14ac:dyDescent="0.25">
      <c r="A997" t="s">
        <v>174</v>
      </c>
      <c r="B997" t="s">
        <v>6</v>
      </c>
      <c r="C997" t="s">
        <v>11</v>
      </c>
      <c r="K997" s="25">
        <f>(Table2[[#This Row],[Home Pace]]/100)*(VLOOKUP(Table2[[#This Row],[Home/Neutral]],home_lookup,8,FALSE)+VLOOKUP(Table2[[#This Row],[Home/Neutral]],OFR_lookup,2,FALSE)+VLOOKUP(Table2[[#This Row],[Visitor/Neutral]],def_diff_lookup,6,FALSE))</f>
        <v>95.769767870622445</v>
      </c>
      <c r="L997" s="25"/>
      <c r="M997" s="25">
        <f>(Table2[[#This Row],[Away Pace]]/100)*(VLOOKUP(Table2[[#This Row],[Visitor/Neutral]],OFR_lookup,2,FALSE)+VLOOKUP(Table2[[#This Row],[Home/Neutral]],def_diff_lookup,6,FALSE))</f>
        <v>102.22307466666668</v>
      </c>
      <c r="N997" s="25"/>
      <c r="O997" s="25"/>
      <c r="P997">
        <f>VLOOKUP(Table2[[#This Row],[Home/Neutral]],pace_lookup,7,FALSE)</f>
        <v>93.1</v>
      </c>
      <c r="Q997" s="5">
        <f>VLOOKUP(Table2[[#This Row],[Visitor/Neutral]],pace_lookup,7,FALSE)</f>
        <v>99.7</v>
      </c>
      <c r="R997" s="9"/>
      <c r="V997" s="2">
        <f>-home-VLOOKUP(Table2[[#This Row],[Home/Neutral]],rtg_vlookup,4,FALSE)+VLOOKUP(Table2[[#This Row],[Visitor/Neutral]],rtg_vlookup,4,FALSE)</f>
        <v>-3.4051184834123305</v>
      </c>
      <c r="W997" s="25"/>
      <c r="X997" s="2"/>
      <c r="Y997" s="2">
        <f>Table2[[#This Row],[Away EV]]-Table2[[#This Row],[Home EV]]</f>
        <v>6.453306796044231</v>
      </c>
      <c r="Z997" s="33"/>
      <c r="AA997" s="34"/>
      <c r="AB997" s="5" t="b">
        <f>IF(VLOOKUP(Table2[[#This Row],[Home/Neutral]],division_lookup,9,FALSE)=VLOOKUP(Table2[[#This Row],[Visitor/Neutral]],division_lookup,9,FALSE),TRUE,FALSE)</f>
        <v>0</v>
      </c>
      <c r="AC997" s="19" t="str">
        <f>VLOOKUP(Table2[[#This Row],[Home/Neutral]],division_lookup,9,FALSE)</f>
        <v>SW</v>
      </c>
      <c r="AD997" s="19"/>
      <c r="AE997" s="19" t="str">
        <f>IF(Table2[[#This Row],[Total EV ®]]&lt;Table2[[#This Row],[Total (V)]],"UNDER","OVER")</f>
        <v>OVER</v>
      </c>
      <c r="AF997" s="30">
        <f>Table2[[#This Row],[(A) Spread]]-Table2[[#This Row],[Spread (V)]]</f>
        <v>0</v>
      </c>
      <c r="AG997" s="19"/>
      <c r="AH997" s="2">
        <f>Table2[[#This Row],[EV]]-Table2[[#This Row],[Spread (V)]]</f>
        <v>6.453306796044231</v>
      </c>
      <c r="AI997" s="22">
        <f>Table2[[#This Row],[(A)]]-Table2[[#This Row],[Spread]]</f>
        <v>-3.4051184834123305</v>
      </c>
      <c r="AJ997" s="1">
        <f>Table2[[#This Row],[(A) Err]]^2</f>
        <v>11.594831886076289</v>
      </c>
      <c r="AK997" s="6">
        <f>Table2[[#This Row],[EV]]-Table2[[#This Row],[Spread]]</f>
        <v>6.453306796044231</v>
      </c>
      <c r="AL997" s="1">
        <f>Table2[[#This Row],[EV Err]]^2</f>
        <v>41.645168603870658</v>
      </c>
    </row>
    <row r="998" spans="1:38" x14ac:dyDescent="0.25">
      <c r="A998" t="s">
        <v>174</v>
      </c>
      <c r="B998" t="s">
        <v>14</v>
      </c>
      <c r="C998" t="s">
        <v>37</v>
      </c>
      <c r="K998" s="25">
        <f>(Table2[[#This Row],[Home Pace]]/100)*(VLOOKUP(Table2[[#This Row],[Home/Neutral]],home_lookup,8,FALSE)+VLOOKUP(Table2[[#This Row],[Home/Neutral]],OFR_lookup,2,FALSE)+VLOOKUP(Table2[[#This Row],[Visitor/Neutral]],def_diff_lookup,6,FALSE))</f>
        <v>104.23324414241451</v>
      </c>
      <c r="L998" s="25"/>
      <c r="M998" s="25">
        <f>(Table2[[#This Row],[Away Pace]]/100)*(VLOOKUP(Table2[[#This Row],[Visitor/Neutral]],OFR_lookup,2,FALSE)+VLOOKUP(Table2[[#This Row],[Home/Neutral]],def_diff_lookup,6,FALSE))</f>
        <v>89.936264000000008</v>
      </c>
      <c r="N998" s="25"/>
      <c r="O998" s="25"/>
      <c r="P998">
        <f>VLOOKUP(Table2[[#This Row],[Home/Neutral]],pace_lookup,7,FALSE)</f>
        <v>95.9</v>
      </c>
      <c r="Q998" s="5">
        <f>VLOOKUP(Table2[[#This Row],[Visitor/Neutral]],pace_lookup,7,FALSE)</f>
        <v>92.1</v>
      </c>
      <c r="R998" s="9"/>
      <c r="V998" s="2">
        <f>-home-VLOOKUP(Table2[[#This Row],[Home/Neutral]],rtg_vlookup,4,FALSE)+VLOOKUP(Table2[[#This Row],[Visitor/Neutral]],rtg_vlookup,4,FALSE)</f>
        <v>-15.17511848341233</v>
      </c>
      <c r="W998" s="25"/>
      <c r="X998" s="2"/>
      <c r="Y998" s="2">
        <f>Table2[[#This Row],[Away EV]]-Table2[[#This Row],[Home EV]]</f>
        <v>-14.296980142414498</v>
      </c>
      <c r="Z998" s="33"/>
      <c r="AA998" s="34"/>
      <c r="AB998" s="5" t="b">
        <f>IF(VLOOKUP(Table2[[#This Row],[Home/Neutral]],division_lookup,9,FALSE)=VLOOKUP(Table2[[#This Row],[Visitor/Neutral]],division_lookup,9,FALSE),TRUE,FALSE)</f>
        <v>0</v>
      </c>
      <c r="AC998" s="19" t="str">
        <f>VLOOKUP(Table2[[#This Row],[Home/Neutral]],division_lookup,9,FALSE)</f>
        <v>A</v>
      </c>
      <c r="AD998" s="19"/>
      <c r="AE998" s="19" t="str">
        <f>IF(Table2[[#This Row],[Total EV ®]]&lt;Table2[[#This Row],[Total (V)]],"UNDER","OVER")</f>
        <v>OVER</v>
      </c>
      <c r="AF998" s="30">
        <f>Table2[[#This Row],[(A) Spread]]-Table2[[#This Row],[Spread (V)]]</f>
        <v>0</v>
      </c>
      <c r="AG998" s="19"/>
      <c r="AH998" s="2">
        <f>Table2[[#This Row],[EV]]-Table2[[#This Row],[Spread (V)]]</f>
        <v>-14.296980142414498</v>
      </c>
      <c r="AI998" s="22">
        <f>Table2[[#This Row],[(A)]]-Table2[[#This Row],[Spread]]</f>
        <v>-15.17511848341233</v>
      </c>
      <c r="AJ998" s="1">
        <f>Table2[[#This Row],[(A) Err]]^2</f>
        <v>230.28422098560253</v>
      </c>
      <c r="AK998" s="6">
        <f>Table2[[#This Row],[EV]]-Table2[[#This Row],[Spread]]</f>
        <v>-14.296980142414498</v>
      </c>
      <c r="AL998" s="1">
        <f>Table2[[#This Row],[EV Err]]^2</f>
        <v>204.40364119259448</v>
      </c>
    </row>
    <row r="999" spans="1:38" x14ac:dyDescent="0.25">
      <c r="A999" t="s">
        <v>174</v>
      </c>
      <c r="B999" t="s">
        <v>20</v>
      </c>
      <c r="C999" t="s">
        <v>4</v>
      </c>
      <c r="K999" s="25">
        <f>(Table2[[#This Row],[Home Pace]]/100)*(VLOOKUP(Table2[[#This Row],[Home/Neutral]],home_lookup,8,FALSE)+VLOOKUP(Table2[[#This Row],[Home/Neutral]],OFR_lookup,2,FALSE)+VLOOKUP(Table2[[#This Row],[Visitor/Neutral]],def_diff_lookup,6,FALSE))</f>
        <v>98.374795289151777</v>
      </c>
      <c r="L999" s="25"/>
      <c r="M999" s="25">
        <f>(Table2[[#This Row],[Away Pace]]/100)*(VLOOKUP(Table2[[#This Row],[Visitor/Neutral]],OFR_lookup,2,FALSE)+VLOOKUP(Table2[[#This Row],[Home/Neutral]],def_diff_lookup,6,FALSE))</f>
        <v>109.545044</v>
      </c>
      <c r="N999" s="25"/>
      <c r="O999" s="25"/>
      <c r="P999">
        <f>VLOOKUP(Table2[[#This Row],[Home/Neutral]],pace_lookup,7,FALSE)</f>
        <v>90.9</v>
      </c>
      <c r="Q999" s="5">
        <f>VLOOKUP(Table2[[#This Row],[Visitor/Neutral]],pace_lookup,7,FALSE)</f>
        <v>96.6</v>
      </c>
      <c r="R999" s="9"/>
      <c r="V999" s="2">
        <f>-home-VLOOKUP(Table2[[#This Row],[Home/Neutral]],rtg_vlookup,4,FALSE)+VLOOKUP(Table2[[#This Row],[Visitor/Neutral]],rtg_vlookup,4,FALSE)</f>
        <v>10.17488151658767</v>
      </c>
      <c r="W999" s="25"/>
      <c r="X999" s="2"/>
      <c r="Y999" s="2">
        <f>Table2[[#This Row],[Away EV]]-Table2[[#This Row],[Home EV]]</f>
        <v>11.170248710848227</v>
      </c>
      <c r="Z999" s="33"/>
      <c r="AA999" s="34"/>
      <c r="AB999" s="5" t="b">
        <f>IF(VLOOKUP(Table2[[#This Row],[Home/Neutral]],division_lookup,9,FALSE)=VLOOKUP(Table2[[#This Row],[Visitor/Neutral]],division_lookup,9,FALSE),TRUE,FALSE)</f>
        <v>0</v>
      </c>
      <c r="AC999" s="19" t="str">
        <f>VLOOKUP(Table2[[#This Row],[Home/Neutral]],division_lookup,9,FALSE)</f>
        <v>NW</v>
      </c>
      <c r="AD999" s="19"/>
      <c r="AE999" s="19" t="str">
        <f>IF(Table2[[#This Row],[Total EV ®]]&lt;Table2[[#This Row],[Total (V)]],"UNDER","OVER")</f>
        <v>OVER</v>
      </c>
      <c r="AF999" s="30">
        <f>Table2[[#This Row],[(A) Spread]]-Table2[[#This Row],[Spread (V)]]</f>
        <v>0</v>
      </c>
      <c r="AG999" s="19"/>
      <c r="AH999" s="2">
        <f>Table2[[#This Row],[EV]]-Table2[[#This Row],[Spread (V)]]</f>
        <v>11.170248710848227</v>
      </c>
      <c r="AI999" s="22">
        <f>Table2[[#This Row],[(A)]]-Table2[[#This Row],[Spread]]</f>
        <v>10.17488151658767</v>
      </c>
      <c r="AJ999" s="1">
        <f>Table2[[#This Row],[(A) Err]]^2</f>
        <v>103.52821387659739</v>
      </c>
      <c r="AK999" s="6">
        <f>Table2[[#This Row],[EV]]-Table2[[#This Row],[Spread]]</f>
        <v>11.170248710848227</v>
      </c>
      <c r="AL999" s="1">
        <f>Table2[[#This Row],[EV Err]]^2</f>
        <v>124.77445626220648</v>
      </c>
    </row>
    <row r="1000" spans="1:38" x14ac:dyDescent="0.25">
      <c r="A1000" t="s">
        <v>175</v>
      </c>
      <c r="B1000" t="s">
        <v>35</v>
      </c>
      <c r="C1000" t="s">
        <v>18</v>
      </c>
      <c r="K1000" s="25">
        <f>(Table2[[#This Row],[Home Pace]]/100)*(VLOOKUP(Table2[[#This Row],[Home/Neutral]],home_lookup,8,FALSE)+VLOOKUP(Table2[[#This Row],[Home/Neutral]],OFR_lookup,2,FALSE)+VLOOKUP(Table2[[#This Row],[Visitor/Neutral]],def_diff_lookup,6,FALSE))</f>
        <v>103.34809121209625</v>
      </c>
      <c r="L1000" s="25"/>
      <c r="M1000" s="25">
        <f>(Table2[[#This Row],[Away Pace]]/100)*(VLOOKUP(Table2[[#This Row],[Visitor/Neutral]],OFR_lookup,2,FALSE)+VLOOKUP(Table2[[#This Row],[Home/Neutral]],def_diff_lookup,6,FALSE))</f>
        <v>107.49051333333334</v>
      </c>
      <c r="N1000" s="25"/>
      <c r="O1000" s="25"/>
      <c r="P1000">
        <f>VLOOKUP(Table2[[#This Row],[Home/Neutral]],pace_lookup,7,FALSE)</f>
        <v>102.2</v>
      </c>
      <c r="Q1000" s="5">
        <f>VLOOKUP(Table2[[#This Row],[Visitor/Neutral]],pace_lookup,7,FALSE)</f>
        <v>99.5</v>
      </c>
      <c r="R1000" s="9"/>
      <c r="V1000" s="2">
        <f>-home-VLOOKUP(Table2[[#This Row],[Home/Neutral]],rtg_vlookup,4,FALSE)+VLOOKUP(Table2[[#This Row],[Visitor/Neutral]],rtg_vlookup,4,FALSE)</f>
        <v>5.9148815165876689</v>
      </c>
      <c r="W1000" s="25"/>
      <c r="X1000" s="2"/>
      <c r="Y1000" s="2">
        <f>Table2[[#This Row],[Away EV]]-Table2[[#This Row],[Home EV]]</f>
        <v>4.1424221212370895</v>
      </c>
      <c r="Z1000" s="33"/>
      <c r="AA1000" s="34"/>
      <c r="AB1000" s="5" t="b">
        <f>IF(VLOOKUP(Table2[[#This Row],[Home/Neutral]],division_lookup,9,FALSE)=VLOOKUP(Table2[[#This Row],[Visitor/Neutral]],division_lookup,9,FALSE),TRUE,FALSE)</f>
        <v>0</v>
      </c>
      <c r="AC1000" s="19" t="str">
        <f>VLOOKUP(Table2[[#This Row],[Home/Neutral]],division_lookup,9,FALSE)</f>
        <v>A</v>
      </c>
      <c r="AD1000" s="19"/>
      <c r="AE1000" s="19" t="str">
        <f>IF(Table2[[#This Row],[Total EV ®]]&lt;Table2[[#This Row],[Total (V)]],"UNDER","OVER")</f>
        <v>OVER</v>
      </c>
      <c r="AF1000" s="30">
        <f>Table2[[#This Row],[(A) Spread]]-Table2[[#This Row],[Spread (V)]]</f>
        <v>0</v>
      </c>
      <c r="AG1000" s="19"/>
      <c r="AH1000" s="2">
        <f>Table2[[#This Row],[EV]]-Table2[[#This Row],[Spread (V)]]</f>
        <v>4.1424221212370895</v>
      </c>
      <c r="AI1000" s="22">
        <f>Table2[[#This Row],[(A)]]-Table2[[#This Row],[Spread]]</f>
        <v>5.9148815165876689</v>
      </c>
      <c r="AJ1000" s="1">
        <f>Table2[[#This Row],[(A) Err]]^2</f>
        <v>34.985823355270441</v>
      </c>
      <c r="AK1000" s="6">
        <f>Table2[[#This Row],[EV]]-Table2[[#This Row],[Spread]]</f>
        <v>4.1424221212370895</v>
      </c>
      <c r="AL1000" s="1">
        <f>Table2[[#This Row],[EV Err]]^2</f>
        <v>17.159661030514389</v>
      </c>
    </row>
    <row r="1001" spans="1:38" x14ac:dyDescent="0.25">
      <c r="A1001" t="s">
        <v>175</v>
      </c>
      <c r="B1001" t="s">
        <v>8</v>
      </c>
      <c r="C1001" t="s">
        <v>25</v>
      </c>
      <c r="K1001" s="25">
        <f>(Table2[[#This Row],[Home Pace]]/100)*(VLOOKUP(Table2[[#This Row],[Home/Neutral]],home_lookup,8,FALSE)+VLOOKUP(Table2[[#This Row],[Home/Neutral]],OFR_lookup,2,FALSE)+VLOOKUP(Table2[[#This Row],[Visitor/Neutral]],def_diff_lookup,6,FALSE))</f>
        <v>101.20002036898181</v>
      </c>
      <c r="L1001" s="25"/>
      <c r="M1001" s="25">
        <f>(Table2[[#This Row],[Away Pace]]/100)*(VLOOKUP(Table2[[#This Row],[Visitor/Neutral]],OFR_lookup,2,FALSE)+VLOOKUP(Table2[[#This Row],[Home/Neutral]],def_diff_lookup,6,FALSE))</f>
        <v>95.004789333333349</v>
      </c>
      <c r="N1001" s="25"/>
      <c r="O1001" s="25"/>
      <c r="P1001">
        <f>VLOOKUP(Table2[[#This Row],[Home/Neutral]],pace_lookup,7,FALSE)</f>
        <v>97.2</v>
      </c>
      <c r="Q1001" s="5">
        <f>VLOOKUP(Table2[[#This Row],[Visitor/Neutral]],pace_lookup,7,FALSE)</f>
        <v>94.4</v>
      </c>
      <c r="R1001" s="9"/>
      <c r="V1001" s="2">
        <f>-home-VLOOKUP(Table2[[#This Row],[Home/Neutral]],rtg_vlookup,4,FALSE)+VLOOKUP(Table2[[#This Row],[Visitor/Neutral]],rtg_vlookup,4,FALSE)</f>
        <v>-9.59511848341233</v>
      </c>
      <c r="W1001" s="25"/>
      <c r="X1001" s="2"/>
      <c r="Y1001" s="2">
        <f>Table2[[#This Row],[Away EV]]-Table2[[#This Row],[Home EV]]</f>
        <v>-6.1952310356484617</v>
      </c>
      <c r="Z1001" s="33"/>
      <c r="AA1001" s="34"/>
      <c r="AB1001" s="5" t="b">
        <f>IF(VLOOKUP(Table2[[#This Row],[Home/Neutral]],division_lookup,9,FALSE)=VLOOKUP(Table2[[#This Row],[Visitor/Neutral]],division_lookup,9,FALSE),TRUE,FALSE)</f>
        <v>1</v>
      </c>
      <c r="AC1001" s="19" t="str">
        <f>VLOOKUP(Table2[[#This Row],[Home/Neutral]],division_lookup,9,FALSE)</f>
        <v>C</v>
      </c>
      <c r="AD1001" s="19"/>
      <c r="AE1001" s="19" t="str">
        <f>IF(Table2[[#This Row],[Total EV ®]]&lt;Table2[[#This Row],[Total (V)]],"UNDER","OVER")</f>
        <v>OVER</v>
      </c>
      <c r="AF1001" s="30">
        <f>Table2[[#This Row],[(A) Spread]]-Table2[[#This Row],[Spread (V)]]</f>
        <v>0</v>
      </c>
      <c r="AG1001" s="19"/>
      <c r="AH1001" s="2">
        <f>Table2[[#This Row],[EV]]-Table2[[#This Row],[Spread (V)]]</f>
        <v>-6.1952310356484617</v>
      </c>
      <c r="AI1001" s="22">
        <f>Table2[[#This Row],[(A)]]-Table2[[#This Row],[Spread]]</f>
        <v>-9.59511848341233</v>
      </c>
      <c r="AJ1001" s="1">
        <f>Table2[[#This Row],[(A) Err]]^2</f>
        <v>92.066298710720929</v>
      </c>
      <c r="AK1001" s="6">
        <f>Table2[[#This Row],[EV]]-Table2[[#This Row],[Spread]]</f>
        <v>-6.1952310356484617</v>
      </c>
      <c r="AL1001" s="1">
        <f>Table2[[#This Row],[EV Err]]^2</f>
        <v>38.380887585061913</v>
      </c>
    </row>
    <row r="1002" spans="1:38" x14ac:dyDescent="0.25">
      <c r="A1002" t="s">
        <v>175</v>
      </c>
      <c r="B1002" t="s">
        <v>10</v>
      </c>
      <c r="C1002" t="s">
        <v>39</v>
      </c>
      <c r="K1002" s="25">
        <f>(Table2[[#This Row],[Home Pace]]/100)*(VLOOKUP(Table2[[#This Row],[Home/Neutral]],home_lookup,8,FALSE)+VLOOKUP(Table2[[#This Row],[Home/Neutral]],OFR_lookup,2,FALSE)+VLOOKUP(Table2[[#This Row],[Visitor/Neutral]],def_diff_lookup,6,FALSE))</f>
        <v>110.2253985379056</v>
      </c>
      <c r="L1002" s="25"/>
      <c r="M1002" s="25">
        <f>(Table2[[#This Row],[Away Pace]]/100)*(VLOOKUP(Table2[[#This Row],[Visitor/Neutral]],OFR_lookup,2,FALSE)+VLOOKUP(Table2[[#This Row],[Home/Neutral]],def_diff_lookup,6,FALSE))</f>
        <v>99.0899</v>
      </c>
      <c r="N1002" s="25"/>
      <c r="O1002" s="25"/>
      <c r="P1002">
        <f>VLOOKUP(Table2[[#This Row],[Home/Neutral]],pace_lookup,7,FALSE)</f>
        <v>100.3</v>
      </c>
      <c r="Q1002" s="5">
        <f>VLOOKUP(Table2[[#This Row],[Visitor/Neutral]],pace_lookup,7,FALSE)</f>
        <v>97.5</v>
      </c>
      <c r="R1002" s="9"/>
      <c r="V1002" s="2">
        <f>-home-VLOOKUP(Table2[[#This Row],[Home/Neutral]],rtg_vlookup,4,FALSE)+VLOOKUP(Table2[[#This Row],[Visitor/Neutral]],rtg_vlookup,4,FALSE)</f>
        <v>-20.475118483412331</v>
      </c>
      <c r="W1002" s="25"/>
      <c r="X1002" s="2"/>
      <c r="Y1002" s="2">
        <f>Table2[[#This Row],[Away EV]]-Table2[[#This Row],[Home EV]]</f>
        <v>-11.135498537905605</v>
      </c>
      <c r="Z1002" s="33"/>
      <c r="AA1002" s="34"/>
      <c r="AB1002" s="5" t="b">
        <f>IF(VLOOKUP(Table2[[#This Row],[Home/Neutral]],division_lookup,9,FALSE)=VLOOKUP(Table2[[#This Row],[Visitor/Neutral]],division_lookup,9,FALSE),TRUE,FALSE)</f>
        <v>0</v>
      </c>
      <c r="AC1002" s="19" t="str">
        <f>VLOOKUP(Table2[[#This Row],[Home/Neutral]],division_lookup,9,FALSE)</f>
        <v>P</v>
      </c>
      <c r="AD1002" s="19"/>
      <c r="AE1002" s="19" t="str">
        <f>IF(Table2[[#This Row],[Total EV ®]]&lt;Table2[[#This Row],[Total (V)]],"UNDER","OVER")</f>
        <v>OVER</v>
      </c>
      <c r="AF1002" s="30">
        <f>Table2[[#This Row],[(A) Spread]]-Table2[[#This Row],[Spread (V)]]</f>
        <v>0</v>
      </c>
      <c r="AG1002" s="19"/>
      <c r="AH1002" s="2">
        <f>Table2[[#This Row],[EV]]-Table2[[#This Row],[Spread (V)]]</f>
        <v>-11.135498537905605</v>
      </c>
      <c r="AI1002" s="22">
        <f>Table2[[#This Row],[(A)]]-Table2[[#This Row],[Spread]]</f>
        <v>-20.475118483412331</v>
      </c>
      <c r="AJ1002" s="1">
        <f>Table2[[#This Row],[(A) Err]]^2</f>
        <v>419.23047690977324</v>
      </c>
      <c r="AK1002" s="6">
        <f>Table2[[#This Row],[EV]]-Table2[[#This Row],[Spread]]</f>
        <v>-11.135498537905605</v>
      </c>
      <c r="AL1002" s="1">
        <f>Table2[[#This Row],[EV Err]]^2</f>
        <v>123.99932768769786</v>
      </c>
    </row>
    <row r="1003" spans="1:38" x14ac:dyDescent="0.25">
      <c r="A1003" t="s">
        <v>175</v>
      </c>
      <c r="B1003" t="s">
        <v>34</v>
      </c>
      <c r="C1003" t="s">
        <v>32</v>
      </c>
      <c r="K1003" s="25">
        <f>(Table2[[#This Row],[Home Pace]]/100)*(VLOOKUP(Table2[[#This Row],[Home/Neutral]],home_lookup,8,FALSE)+VLOOKUP(Table2[[#This Row],[Home/Neutral]],OFR_lookup,2,FALSE)+VLOOKUP(Table2[[#This Row],[Visitor/Neutral]],def_diff_lookup,6,FALSE))</f>
        <v>109.89695864565556</v>
      </c>
      <c r="L1003" s="25"/>
      <c r="M1003" s="25">
        <f>(Table2[[#This Row],[Away Pace]]/100)*(VLOOKUP(Table2[[#This Row],[Visitor/Neutral]],OFR_lookup,2,FALSE)+VLOOKUP(Table2[[#This Row],[Home/Neutral]],def_diff_lookup,6,FALSE))</f>
        <v>106.70557733333334</v>
      </c>
      <c r="N1003" s="25"/>
      <c r="O1003" s="25"/>
      <c r="P1003">
        <f>VLOOKUP(Table2[[#This Row],[Home/Neutral]],pace_lookup,7,FALSE)</f>
        <v>98.8</v>
      </c>
      <c r="Q1003" s="5">
        <f>VLOOKUP(Table2[[#This Row],[Visitor/Neutral]],pace_lookup,7,FALSE)</f>
        <v>98.6</v>
      </c>
      <c r="R1003" s="9"/>
      <c r="V1003" s="2">
        <f>-home-VLOOKUP(Table2[[#This Row],[Home/Neutral]],rtg_vlookup,4,FALSE)+VLOOKUP(Table2[[#This Row],[Visitor/Neutral]],rtg_vlookup,4,FALSE)</f>
        <v>-0.57511848341233041</v>
      </c>
      <c r="W1003" s="25"/>
      <c r="X1003" s="2"/>
      <c r="Y1003" s="2">
        <f>Table2[[#This Row],[Away EV]]-Table2[[#This Row],[Home EV]]</f>
        <v>-3.1913813123222212</v>
      </c>
      <c r="Z1003" s="33"/>
      <c r="AA1003" s="34"/>
      <c r="AB1003" s="5" t="b">
        <f>IF(VLOOKUP(Table2[[#This Row],[Home/Neutral]],division_lookup,9,FALSE)=VLOOKUP(Table2[[#This Row],[Visitor/Neutral]],division_lookup,9,FALSE),TRUE,FALSE)</f>
        <v>0</v>
      </c>
      <c r="AC1003" s="19" t="str">
        <f>VLOOKUP(Table2[[#This Row],[Home/Neutral]],division_lookup,9,FALSE)</f>
        <v>SW</v>
      </c>
      <c r="AD1003" s="19"/>
      <c r="AE1003" s="19" t="str">
        <f>IF(Table2[[#This Row],[Total EV ®]]&lt;Table2[[#This Row],[Total (V)]],"UNDER","OVER")</f>
        <v>OVER</v>
      </c>
      <c r="AF1003" s="30">
        <f>Table2[[#This Row],[(A) Spread]]-Table2[[#This Row],[Spread (V)]]</f>
        <v>0</v>
      </c>
      <c r="AG1003" s="19"/>
      <c r="AH1003" s="2">
        <f>Table2[[#This Row],[EV]]-Table2[[#This Row],[Spread (V)]]</f>
        <v>-3.1913813123222212</v>
      </c>
      <c r="AI1003" s="22">
        <f>Table2[[#This Row],[(A)]]-Table2[[#This Row],[Spread]]</f>
        <v>-0.57511848341233041</v>
      </c>
      <c r="AJ1003" s="1">
        <f>Table2[[#This Row],[(A) Err]]^2</f>
        <v>0.33076126996249894</v>
      </c>
      <c r="AK1003" s="6">
        <f>Table2[[#This Row],[EV]]-Table2[[#This Row],[Spread]]</f>
        <v>-3.1913813123222212</v>
      </c>
      <c r="AL1003" s="1">
        <f>Table2[[#This Row],[EV Err]]^2</f>
        <v>10.184914680639503</v>
      </c>
    </row>
    <row r="1004" spans="1:38" x14ac:dyDescent="0.25">
      <c r="A1004" t="s">
        <v>175</v>
      </c>
      <c r="B1004" t="s">
        <v>31</v>
      </c>
      <c r="C1004" t="s">
        <v>33</v>
      </c>
      <c r="K1004" s="25">
        <f>(Table2[[#This Row],[Home Pace]]/100)*(VLOOKUP(Table2[[#This Row],[Home/Neutral]],home_lookup,8,FALSE)+VLOOKUP(Table2[[#This Row],[Home/Neutral]],OFR_lookup,2,FALSE)+VLOOKUP(Table2[[#This Row],[Visitor/Neutral]],def_diff_lookup,6,FALSE))</f>
        <v>112.7325743021789</v>
      </c>
      <c r="L1004" s="25"/>
      <c r="M1004" s="25">
        <f>(Table2[[#This Row],[Away Pace]]/100)*(VLOOKUP(Table2[[#This Row],[Visitor/Neutral]],OFR_lookup,2,FALSE)+VLOOKUP(Table2[[#This Row],[Home/Neutral]],def_diff_lookup,6,FALSE))</f>
        <v>106.32179466666666</v>
      </c>
      <c r="N1004" s="25"/>
      <c r="O1004" s="25"/>
      <c r="P1004">
        <f>VLOOKUP(Table2[[#This Row],[Home/Neutral]],pace_lookup,7,FALSE)</f>
        <v>96</v>
      </c>
      <c r="Q1004" s="5">
        <f>VLOOKUP(Table2[[#This Row],[Visitor/Neutral]],pace_lookup,7,FALSE)</f>
        <v>98.2</v>
      </c>
      <c r="R1004" s="9"/>
      <c r="V1004" s="2">
        <f>-home-VLOOKUP(Table2[[#This Row],[Home/Neutral]],rtg_vlookup,4,FALSE)+VLOOKUP(Table2[[#This Row],[Visitor/Neutral]],rtg_vlookup,4,FALSE)</f>
        <v>-5.7251184834123308</v>
      </c>
      <c r="W1004" s="25"/>
      <c r="X1004" s="2"/>
      <c r="Y1004" s="2">
        <f>Table2[[#This Row],[Away EV]]-Table2[[#This Row],[Home EV]]</f>
        <v>-6.4107796355122417</v>
      </c>
      <c r="Z1004" s="33"/>
      <c r="AA1004" s="34"/>
      <c r="AB1004" s="5" t="b">
        <f>IF(VLOOKUP(Table2[[#This Row],[Home/Neutral]],division_lookup,9,FALSE)=VLOOKUP(Table2[[#This Row],[Visitor/Neutral]],division_lookup,9,FALSE),TRUE,FALSE)</f>
        <v>0</v>
      </c>
      <c r="AC1004" s="19" t="str">
        <f>VLOOKUP(Table2[[#This Row],[Home/Neutral]],division_lookup,9,FALSE)</f>
        <v>A</v>
      </c>
      <c r="AD1004" s="19"/>
      <c r="AE1004" s="19" t="str">
        <f>IF(Table2[[#This Row],[Total EV ®]]&lt;Table2[[#This Row],[Total (V)]],"UNDER","OVER")</f>
        <v>OVER</v>
      </c>
      <c r="AF1004" s="30">
        <f>Table2[[#This Row],[(A) Spread]]-Table2[[#This Row],[Spread (V)]]</f>
        <v>0</v>
      </c>
      <c r="AG1004" s="19"/>
      <c r="AH1004" s="2">
        <f>Table2[[#This Row],[EV]]-Table2[[#This Row],[Spread (V)]]</f>
        <v>-6.4107796355122417</v>
      </c>
      <c r="AI1004" s="22">
        <f>Table2[[#This Row],[(A)]]-Table2[[#This Row],[Spread]]</f>
        <v>-5.7251184834123308</v>
      </c>
      <c r="AJ1004" s="1">
        <f>Table2[[#This Row],[(A) Err]]^2</f>
        <v>32.776981649109509</v>
      </c>
      <c r="AK1004" s="6">
        <f>Table2[[#This Row],[EV]]-Table2[[#This Row],[Spread]]</f>
        <v>-6.4107796355122417</v>
      </c>
      <c r="AL1004" s="1">
        <f>Table2[[#This Row],[EV Err]]^2</f>
        <v>41.098095535098473</v>
      </c>
    </row>
    <row r="1005" spans="1:38" x14ac:dyDescent="0.25">
      <c r="A1005" t="s">
        <v>176</v>
      </c>
      <c r="B1005" t="s">
        <v>26</v>
      </c>
      <c r="C1005" t="s">
        <v>22</v>
      </c>
      <c r="K1005" s="25">
        <f>(Table2[[#This Row],[Home Pace]]/100)*(VLOOKUP(Table2[[#This Row],[Home/Neutral]],home_lookup,8,FALSE)+VLOOKUP(Table2[[#This Row],[Home/Neutral]],OFR_lookup,2,FALSE)+VLOOKUP(Table2[[#This Row],[Visitor/Neutral]],def_diff_lookup,6,FALSE))</f>
        <v>110.7201635891816</v>
      </c>
      <c r="L1005" s="25"/>
      <c r="M1005" s="25">
        <f>(Table2[[#This Row],[Away Pace]]/100)*(VLOOKUP(Table2[[#This Row],[Visitor/Neutral]],OFR_lookup,2,FALSE)+VLOOKUP(Table2[[#This Row],[Home/Neutral]],def_diff_lookup,6,FALSE))</f>
        <v>107.00216133333336</v>
      </c>
      <c r="N1005" s="25"/>
      <c r="O1005" s="25"/>
      <c r="P1005">
        <f>VLOOKUP(Table2[[#This Row],[Home/Neutral]],pace_lookup,7,FALSE)</f>
        <v>96</v>
      </c>
      <c r="Q1005" s="5">
        <f>VLOOKUP(Table2[[#This Row],[Visitor/Neutral]],pace_lookup,7,FALSE)</f>
        <v>94.7</v>
      </c>
      <c r="R1005" s="9"/>
      <c r="V1005" s="2">
        <f>-home-VLOOKUP(Table2[[#This Row],[Home/Neutral]],rtg_vlookup,4,FALSE)+VLOOKUP(Table2[[#This Row],[Visitor/Neutral]],rtg_vlookup,4,FALSE)</f>
        <v>-1.5951184834123309</v>
      </c>
      <c r="W1005" s="25"/>
      <c r="X1005" s="2"/>
      <c r="Y1005" s="2">
        <f>Table2[[#This Row],[Away EV]]-Table2[[#This Row],[Home EV]]</f>
        <v>-3.7180022558482335</v>
      </c>
      <c r="Z1005" s="33"/>
      <c r="AA1005" s="34"/>
      <c r="AB1005" s="5" t="b">
        <f>IF(VLOOKUP(Table2[[#This Row],[Home/Neutral]],division_lookup,9,FALSE)=VLOOKUP(Table2[[#This Row],[Visitor/Neutral]],division_lookup,9,FALSE),TRUE,FALSE)</f>
        <v>0</v>
      </c>
      <c r="AC1005" s="19" t="str">
        <f>VLOOKUP(Table2[[#This Row],[Home/Neutral]],division_lookup,9,FALSE)</f>
        <v>A</v>
      </c>
      <c r="AD1005" s="19"/>
      <c r="AE1005" s="19" t="str">
        <f>IF(Table2[[#This Row],[Total EV ®]]&lt;Table2[[#This Row],[Total (V)]],"UNDER","OVER")</f>
        <v>OVER</v>
      </c>
      <c r="AF1005" s="30">
        <f>Table2[[#This Row],[(A) Spread]]-Table2[[#This Row],[Spread (V)]]</f>
        <v>0</v>
      </c>
      <c r="AG1005" s="19"/>
      <c r="AH1005" s="2">
        <f>Table2[[#This Row],[EV]]-Table2[[#This Row],[Spread (V)]]</f>
        <v>-3.7180022558482335</v>
      </c>
      <c r="AI1005" s="22">
        <f>Table2[[#This Row],[(A)]]-Table2[[#This Row],[Spread]]</f>
        <v>-1.5951184834123309</v>
      </c>
      <c r="AJ1005" s="1">
        <f>Table2[[#This Row],[(A) Err]]^2</f>
        <v>2.5444029761236546</v>
      </c>
      <c r="AK1005" s="6">
        <f>Table2[[#This Row],[EV]]-Table2[[#This Row],[Spread]]</f>
        <v>-3.7180022558482335</v>
      </c>
      <c r="AL1005" s="1">
        <f>Table2[[#This Row],[EV Err]]^2</f>
        <v>13.823540774492553</v>
      </c>
    </row>
    <row r="1006" spans="1:38" x14ac:dyDescent="0.25">
      <c r="A1006" t="s">
        <v>176</v>
      </c>
      <c r="B1006" t="s">
        <v>13</v>
      </c>
      <c r="C1006" t="s">
        <v>23</v>
      </c>
      <c r="K1006" s="25">
        <f>(Table2[[#This Row],[Home Pace]]/100)*(VLOOKUP(Table2[[#This Row],[Home/Neutral]],home_lookup,8,FALSE)+VLOOKUP(Table2[[#This Row],[Home/Neutral]],OFR_lookup,2,FALSE)+VLOOKUP(Table2[[#This Row],[Visitor/Neutral]],def_diff_lookup,6,FALSE))</f>
        <v>101.25304108450402</v>
      </c>
      <c r="L1006" s="25"/>
      <c r="M1006" s="25">
        <f>(Table2[[#This Row],[Away Pace]]/100)*(VLOOKUP(Table2[[#This Row],[Visitor/Neutral]],OFR_lookup,2,FALSE)+VLOOKUP(Table2[[#This Row],[Home/Neutral]],def_diff_lookup,6,FALSE))</f>
        <v>95.858366666666683</v>
      </c>
      <c r="N1006" s="25"/>
      <c r="O1006" s="25"/>
      <c r="P1006">
        <f>VLOOKUP(Table2[[#This Row],[Home/Neutral]],pace_lookup,7,FALSE)</f>
        <v>94.5</v>
      </c>
      <c r="Q1006" s="5">
        <f>VLOOKUP(Table2[[#This Row],[Visitor/Neutral]],pace_lookup,7,FALSE)</f>
        <v>92.5</v>
      </c>
      <c r="R1006" s="9"/>
      <c r="V1006" s="2">
        <f>-home-VLOOKUP(Table2[[#This Row],[Home/Neutral]],rtg_vlookup,4,FALSE)+VLOOKUP(Table2[[#This Row],[Visitor/Neutral]],rtg_vlookup,4,FALSE)</f>
        <v>-5.965118483412331</v>
      </c>
      <c r="W1006" s="25"/>
      <c r="X1006" s="2"/>
      <c r="Y1006" s="2">
        <f>Table2[[#This Row],[Away EV]]-Table2[[#This Row],[Home EV]]</f>
        <v>-5.3946744178373365</v>
      </c>
      <c r="Z1006" s="33"/>
      <c r="AA1006" s="34"/>
      <c r="AB1006" s="5" t="b">
        <f>IF(VLOOKUP(Table2[[#This Row],[Home/Neutral]],division_lookup,9,FALSE)=VLOOKUP(Table2[[#This Row],[Visitor/Neutral]],division_lookup,9,FALSE),TRUE,FALSE)</f>
        <v>0</v>
      </c>
      <c r="AC1006" s="19" t="str">
        <f>VLOOKUP(Table2[[#This Row],[Home/Neutral]],division_lookup,9,FALSE)</f>
        <v>C</v>
      </c>
      <c r="AD1006" s="19"/>
      <c r="AE1006" s="19" t="str">
        <f>IF(Table2[[#This Row],[Total EV ®]]&lt;Table2[[#This Row],[Total (V)]],"UNDER","OVER")</f>
        <v>OVER</v>
      </c>
      <c r="AF1006" s="30">
        <f>Table2[[#This Row],[(A) Spread]]-Table2[[#This Row],[Spread (V)]]</f>
        <v>0</v>
      </c>
      <c r="AG1006" s="19"/>
      <c r="AH1006" s="2">
        <f>Table2[[#This Row],[EV]]-Table2[[#This Row],[Spread (V)]]</f>
        <v>-5.3946744178373365</v>
      </c>
      <c r="AI1006" s="22">
        <f>Table2[[#This Row],[(A)]]-Table2[[#This Row],[Spread]]</f>
        <v>-5.965118483412331</v>
      </c>
      <c r="AJ1006" s="1">
        <f>Table2[[#This Row],[(A) Err]]^2</f>
        <v>35.58263852114743</v>
      </c>
      <c r="AK1006" s="6">
        <f>Table2[[#This Row],[EV]]-Table2[[#This Row],[Spread]]</f>
        <v>-5.3946744178373365</v>
      </c>
      <c r="AL1006" s="1">
        <f>Table2[[#This Row],[EV Err]]^2</f>
        <v>29.102512074468606</v>
      </c>
    </row>
    <row r="1007" spans="1:38" x14ac:dyDescent="0.25">
      <c r="A1007" t="s">
        <v>176</v>
      </c>
      <c r="B1007" t="s">
        <v>25</v>
      </c>
      <c r="C1007" t="s">
        <v>20</v>
      </c>
      <c r="K1007" s="25">
        <f>(Table2[[#This Row],[Home Pace]]/100)*(VLOOKUP(Table2[[#This Row],[Home/Neutral]],home_lookup,8,FALSE)+VLOOKUP(Table2[[#This Row],[Home/Neutral]],OFR_lookup,2,FALSE)+VLOOKUP(Table2[[#This Row],[Visitor/Neutral]],def_diff_lookup,6,FALSE))</f>
        <v>101.89390444427258</v>
      </c>
      <c r="L1007" s="25"/>
      <c r="M1007" s="25">
        <f>(Table2[[#This Row],[Away Pace]]/100)*(VLOOKUP(Table2[[#This Row],[Visitor/Neutral]],OFR_lookup,2,FALSE)+VLOOKUP(Table2[[#This Row],[Home/Neutral]],def_diff_lookup,6,FALSE))</f>
        <v>93.545796000000024</v>
      </c>
      <c r="N1007" s="25"/>
      <c r="O1007" s="25"/>
      <c r="P1007">
        <f>VLOOKUP(Table2[[#This Row],[Home/Neutral]],pace_lookup,7,FALSE)</f>
        <v>94.4</v>
      </c>
      <c r="Q1007" s="5">
        <f>VLOOKUP(Table2[[#This Row],[Visitor/Neutral]],pace_lookup,7,FALSE)</f>
        <v>90.9</v>
      </c>
      <c r="R1007" s="9"/>
      <c r="V1007" s="2">
        <f>-home-VLOOKUP(Table2[[#This Row],[Home/Neutral]],rtg_vlookup,4,FALSE)+VLOOKUP(Table2[[#This Row],[Visitor/Neutral]],rtg_vlookup,4,FALSE)</f>
        <v>-0.97511848341233098</v>
      </c>
      <c r="W1007" s="25"/>
      <c r="X1007" s="2"/>
      <c r="Y1007" s="2">
        <f>Table2[[#This Row],[Away EV]]-Table2[[#This Row],[Home EV]]</f>
        <v>-8.3481084442725546</v>
      </c>
      <c r="Z1007" s="33"/>
      <c r="AA1007" s="34"/>
      <c r="AB1007" s="5" t="b">
        <f>IF(VLOOKUP(Table2[[#This Row],[Home/Neutral]],division_lookup,9,FALSE)=VLOOKUP(Table2[[#This Row],[Visitor/Neutral]],division_lookup,9,FALSE),TRUE,FALSE)</f>
        <v>0</v>
      </c>
      <c r="AC1007" s="19" t="str">
        <f>VLOOKUP(Table2[[#This Row],[Home/Neutral]],division_lookup,9,FALSE)</f>
        <v>C</v>
      </c>
      <c r="AD1007" s="19"/>
      <c r="AE1007" s="19" t="str">
        <f>IF(Table2[[#This Row],[Total EV ®]]&lt;Table2[[#This Row],[Total (V)]],"UNDER","OVER")</f>
        <v>OVER</v>
      </c>
      <c r="AF1007" s="30">
        <f>Table2[[#This Row],[(A) Spread]]-Table2[[#This Row],[Spread (V)]]</f>
        <v>0</v>
      </c>
      <c r="AG1007" s="19"/>
      <c r="AH1007" s="2">
        <f>Table2[[#This Row],[EV]]-Table2[[#This Row],[Spread (V)]]</f>
        <v>-8.3481084442725546</v>
      </c>
      <c r="AI1007" s="22">
        <f>Table2[[#This Row],[(A)]]-Table2[[#This Row],[Spread]]</f>
        <v>-0.97511848341233098</v>
      </c>
      <c r="AJ1007" s="1">
        <f>Table2[[#This Row],[(A) Err]]^2</f>
        <v>0.95085605669236439</v>
      </c>
      <c r="AK1007" s="6">
        <f>Table2[[#This Row],[EV]]-Table2[[#This Row],[Spread]]</f>
        <v>-8.3481084442725546</v>
      </c>
      <c r="AL1007" s="1">
        <f>Table2[[#This Row],[EV Err]]^2</f>
        <v>69.690914597334725</v>
      </c>
    </row>
    <row r="1008" spans="1:38" x14ac:dyDescent="0.25">
      <c r="A1008" t="s">
        <v>176</v>
      </c>
      <c r="B1008" t="s">
        <v>17</v>
      </c>
      <c r="C1008" t="s">
        <v>24</v>
      </c>
      <c r="K1008" s="25">
        <f>(Table2[[#This Row],[Home Pace]]/100)*(VLOOKUP(Table2[[#This Row],[Home/Neutral]],home_lookup,8,FALSE)+VLOOKUP(Table2[[#This Row],[Home/Neutral]],OFR_lookup,2,FALSE)+VLOOKUP(Table2[[#This Row],[Visitor/Neutral]],def_diff_lookup,6,FALSE))</f>
        <v>113.12684692873545</v>
      </c>
      <c r="L1008" s="25"/>
      <c r="M1008" s="25">
        <f>(Table2[[#This Row],[Away Pace]]/100)*(VLOOKUP(Table2[[#This Row],[Visitor/Neutral]],OFR_lookup,2,FALSE)+VLOOKUP(Table2[[#This Row],[Home/Neutral]],def_diff_lookup,6,FALSE))</f>
        <v>113.69685600000003</v>
      </c>
      <c r="N1008" s="25"/>
      <c r="O1008" s="25"/>
      <c r="P1008">
        <f>VLOOKUP(Table2[[#This Row],[Home/Neutral]],pace_lookup,7,FALSE)</f>
        <v>96.7</v>
      </c>
      <c r="Q1008" s="5">
        <f>VLOOKUP(Table2[[#This Row],[Visitor/Neutral]],pace_lookup,7,FALSE)</f>
        <v>99.9</v>
      </c>
      <c r="R1008" s="9"/>
      <c r="V1008" s="2">
        <f>-home-VLOOKUP(Table2[[#This Row],[Home/Neutral]],rtg_vlookup,4,FALSE)+VLOOKUP(Table2[[#This Row],[Visitor/Neutral]],rtg_vlookup,4,FALSE)</f>
        <v>-6.7051184834123312</v>
      </c>
      <c r="W1008" s="25"/>
      <c r="X1008" s="2"/>
      <c r="Y1008" s="2">
        <f>Table2[[#This Row],[Away EV]]-Table2[[#This Row],[Home EV]]</f>
        <v>0.57000907126457889</v>
      </c>
      <c r="Z1008" s="33"/>
      <c r="AA1008" s="34"/>
      <c r="AB1008" s="5" t="b">
        <f>IF(VLOOKUP(Table2[[#This Row],[Home/Neutral]],division_lookup,9,FALSE)=VLOOKUP(Table2[[#This Row],[Visitor/Neutral]],division_lookup,9,FALSE),TRUE,FALSE)</f>
        <v>0</v>
      </c>
      <c r="AC1008" s="19" t="str">
        <f>VLOOKUP(Table2[[#This Row],[Home/Neutral]],division_lookup,9,FALSE)</f>
        <v>SW</v>
      </c>
      <c r="AD1008" s="19"/>
      <c r="AE1008" s="19" t="str">
        <f>IF(Table2[[#This Row],[Total EV ®]]&lt;Table2[[#This Row],[Total (V)]],"UNDER","OVER")</f>
        <v>OVER</v>
      </c>
      <c r="AF1008" s="30">
        <f>Table2[[#This Row],[(A) Spread]]-Table2[[#This Row],[Spread (V)]]</f>
        <v>0</v>
      </c>
      <c r="AG1008" s="19"/>
      <c r="AH1008" s="2">
        <f>Table2[[#This Row],[EV]]-Table2[[#This Row],[Spread (V)]]</f>
        <v>0.57000907126457889</v>
      </c>
      <c r="AI1008" s="22">
        <f>Table2[[#This Row],[(A)]]-Table2[[#This Row],[Spread]]</f>
        <v>-6.7051184834123312</v>
      </c>
      <c r="AJ1008" s="1">
        <f>Table2[[#This Row],[(A) Err]]^2</f>
        <v>44.958613876597681</v>
      </c>
      <c r="AK1008" s="6">
        <f>Table2[[#This Row],[EV]]-Table2[[#This Row],[Spread]]</f>
        <v>0.57000907126457889</v>
      </c>
      <c r="AL1008" s="1">
        <f>Table2[[#This Row],[EV Err]]^2</f>
        <v>0.32491034132390778</v>
      </c>
    </row>
    <row r="1009" spans="1:38" x14ac:dyDescent="0.25">
      <c r="A1009" t="s">
        <v>176</v>
      </c>
      <c r="B1009" t="s">
        <v>33</v>
      </c>
      <c r="C1009" t="s">
        <v>16</v>
      </c>
      <c r="K1009" s="25">
        <f>(Table2[[#This Row],[Home Pace]]/100)*(VLOOKUP(Table2[[#This Row],[Home/Neutral]],home_lookup,8,FALSE)+VLOOKUP(Table2[[#This Row],[Home/Neutral]],OFR_lookup,2,FALSE)+VLOOKUP(Table2[[#This Row],[Visitor/Neutral]],def_diff_lookup,6,FALSE))</f>
        <v>105.78085852057507</v>
      </c>
      <c r="L1009" s="25"/>
      <c r="M1009" s="25">
        <f>(Table2[[#This Row],[Away Pace]]/100)*(VLOOKUP(Table2[[#This Row],[Visitor/Neutral]],OFR_lookup,2,FALSE)+VLOOKUP(Table2[[#This Row],[Home/Neutral]],def_diff_lookup,6,FALSE))</f>
        <v>106.89965000000001</v>
      </c>
      <c r="N1009" s="25"/>
      <c r="O1009" s="25"/>
      <c r="P1009">
        <f>VLOOKUP(Table2[[#This Row],[Home/Neutral]],pace_lookup,7,FALSE)</f>
        <v>98.2</v>
      </c>
      <c r="Q1009" s="5">
        <f>VLOOKUP(Table2[[#This Row],[Visitor/Neutral]],pace_lookup,7,FALSE)</f>
        <v>97.5</v>
      </c>
      <c r="R1009" s="9"/>
      <c r="V1009" s="2">
        <f>-home-VLOOKUP(Table2[[#This Row],[Home/Neutral]],rtg_vlookup,4,FALSE)+VLOOKUP(Table2[[#This Row],[Visitor/Neutral]],rtg_vlookup,4,FALSE)</f>
        <v>5.1348815165876696</v>
      </c>
      <c r="W1009" s="25"/>
      <c r="X1009" s="2"/>
      <c r="Y1009" s="2">
        <f>Table2[[#This Row],[Away EV]]-Table2[[#This Row],[Home EV]]</f>
        <v>1.1187914794249423</v>
      </c>
      <c r="Z1009" s="33"/>
      <c r="AA1009" s="34"/>
      <c r="AB1009" s="5" t="b">
        <f>IF(VLOOKUP(Table2[[#This Row],[Home/Neutral]],division_lookup,9,FALSE)=VLOOKUP(Table2[[#This Row],[Visitor/Neutral]],division_lookup,9,FALSE),TRUE,FALSE)</f>
        <v>0</v>
      </c>
      <c r="AC1009" s="19" t="str">
        <f>VLOOKUP(Table2[[#This Row],[Home/Neutral]],division_lookup,9,FALSE)</f>
        <v>C</v>
      </c>
      <c r="AD1009" s="19"/>
      <c r="AE1009" s="19" t="str">
        <f>IF(Table2[[#This Row],[Total EV ®]]&lt;Table2[[#This Row],[Total (V)]],"UNDER","OVER")</f>
        <v>OVER</v>
      </c>
      <c r="AF1009" s="30">
        <f>Table2[[#This Row],[(A) Spread]]-Table2[[#This Row],[Spread (V)]]</f>
        <v>0</v>
      </c>
      <c r="AG1009" s="19"/>
      <c r="AH1009" s="2">
        <f>Table2[[#This Row],[EV]]-Table2[[#This Row],[Spread (V)]]</f>
        <v>1.1187914794249423</v>
      </c>
      <c r="AI1009" s="22">
        <f>Table2[[#This Row],[(A)]]-Table2[[#This Row],[Spread]]</f>
        <v>5.1348815165876696</v>
      </c>
      <c r="AJ1009" s="1">
        <f>Table2[[#This Row],[(A) Err]]^2</f>
        <v>26.367008189393687</v>
      </c>
      <c r="AK1009" s="6">
        <f>Table2[[#This Row],[EV]]-Table2[[#This Row],[Spread]]</f>
        <v>1.1187914794249423</v>
      </c>
      <c r="AL1009" s="1">
        <f>Table2[[#This Row],[EV Err]]^2</f>
        <v>1.2516943744338511</v>
      </c>
    </row>
    <row r="1010" spans="1:38" x14ac:dyDescent="0.25">
      <c r="A1010" t="s">
        <v>176</v>
      </c>
      <c r="B1010" t="s">
        <v>4</v>
      </c>
      <c r="C1010" t="s">
        <v>30</v>
      </c>
      <c r="K1010" s="25">
        <f>(Table2[[#This Row],[Home Pace]]/100)*(VLOOKUP(Table2[[#This Row],[Home/Neutral]],home_lookup,8,FALSE)+VLOOKUP(Table2[[#This Row],[Home/Neutral]],OFR_lookup,2,FALSE)+VLOOKUP(Table2[[#This Row],[Visitor/Neutral]],def_diff_lookup,6,FALSE))</f>
        <v>104.17512781393445</v>
      </c>
      <c r="L1010" s="25"/>
      <c r="M1010" s="25">
        <f>(Table2[[#This Row],[Away Pace]]/100)*(VLOOKUP(Table2[[#This Row],[Visitor/Neutral]],OFR_lookup,2,FALSE)+VLOOKUP(Table2[[#This Row],[Home/Neutral]],def_diff_lookup,6,FALSE))</f>
        <v>96.45216533333334</v>
      </c>
      <c r="N1010" s="25"/>
      <c r="O1010" s="25"/>
      <c r="P1010">
        <f>VLOOKUP(Table2[[#This Row],[Home/Neutral]],pace_lookup,7,FALSE)</f>
        <v>96.6</v>
      </c>
      <c r="Q1010" s="5">
        <f>VLOOKUP(Table2[[#This Row],[Visitor/Neutral]],pace_lookup,7,FALSE)</f>
        <v>96.8</v>
      </c>
      <c r="R1010" s="9"/>
      <c r="V1010" s="2">
        <f>-home-VLOOKUP(Table2[[#This Row],[Home/Neutral]],rtg_vlookup,4,FALSE)+VLOOKUP(Table2[[#This Row],[Visitor/Neutral]],rtg_vlookup,4,FALSE)</f>
        <v>-19.875118483412329</v>
      </c>
      <c r="W1010" s="25"/>
      <c r="X1010" s="2"/>
      <c r="Y1010" s="2">
        <f>Table2[[#This Row],[Away EV]]-Table2[[#This Row],[Home EV]]</f>
        <v>-7.7229624806011117</v>
      </c>
      <c r="Z1010" s="33"/>
      <c r="AA1010" s="34"/>
      <c r="AB1010" s="5" t="b">
        <f>IF(VLOOKUP(Table2[[#This Row],[Home/Neutral]],division_lookup,9,FALSE)=VLOOKUP(Table2[[#This Row],[Visitor/Neutral]],division_lookup,9,FALSE),TRUE,FALSE)</f>
        <v>0</v>
      </c>
      <c r="AC1010" s="19" t="str">
        <f>VLOOKUP(Table2[[#This Row],[Home/Neutral]],division_lookup,9,FALSE)</f>
        <v>P</v>
      </c>
      <c r="AD1010" s="19"/>
      <c r="AE1010" s="19" t="str">
        <f>IF(Table2[[#This Row],[Total EV ®]]&lt;Table2[[#This Row],[Total (V)]],"UNDER","OVER")</f>
        <v>OVER</v>
      </c>
      <c r="AF1010" s="30">
        <f>Table2[[#This Row],[(A) Spread]]-Table2[[#This Row],[Spread (V)]]</f>
        <v>0</v>
      </c>
      <c r="AG1010" s="19"/>
      <c r="AH1010" s="2">
        <f>Table2[[#This Row],[EV]]-Table2[[#This Row],[Spread (V)]]</f>
        <v>-7.7229624806011117</v>
      </c>
      <c r="AI1010" s="22">
        <f>Table2[[#This Row],[(A)]]-Table2[[#This Row],[Spread]]</f>
        <v>-19.875118483412329</v>
      </c>
      <c r="AJ1010" s="1">
        <f>Table2[[#This Row],[(A) Err]]^2</f>
        <v>395.02033472967844</v>
      </c>
      <c r="AK1010" s="6">
        <f>Table2[[#This Row],[EV]]-Table2[[#This Row],[Spread]]</f>
        <v>-7.7229624806011117</v>
      </c>
      <c r="AL1010" s="1">
        <f>Table2[[#This Row],[EV Err]]^2</f>
        <v>59.644149476772476</v>
      </c>
    </row>
    <row r="1011" spans="1:38" x14ac:dyDescent="0.25">
      <c r="A1011" t="s">
        <v>176</v>
      </c>
      <c r="B1011" t="s">
        <v>21</v>
      </c>
      <c r="C1011" t="s">
        <v>34</v>
      </c>
      <c r="K1011" s="25">
        <f>(Table2[[#This Row],[Home Pace]]/100)*(VLOOKUP(Table2[[#This Row],[Home/Neutral]],home_lookup,8,FALSE)+VLOOKUP(Table2[[#This Row],[Home/Neutral]],OFR_lookup,2,FALSE)+VLOOKUP(Table2[[#This Row],[Visitor/Neutral]],def_diff_lookup,6,FALSE))</f>
        <v>101.23369117524389</v>
      </c>
      <c r="L1011" s="25"/>
      <c r="M1011" s="25">
        <f>(Table2[[#This Row],[Away Pace]]/100)*(VLOOKUP(Table2[[#This Row],[Visitor/Neutral]],OFR_lookup,2,FALSE)+VLOOKUP(Table2[[#This Row],[Home/Neutral]],def_diff_lookup,6,FALSE))</f>
        <v>96.083658666666679</v>
      </c>
      <c r="N1011" s="25"/>
      <c r="O1011" s="25"/>
      <c r="P1011">
        <f>VLOOKUP(Table2[[#This Row],[Home/Neutral]],pace_lookup,7,FALSE)</f>
        <v>94.2</v>
      </c>
      <c r="Q1011" s="5">
        <f>VLOOKUP(Table2[[#This Row],[Visitor/Neutral]],pace_lookup,7,FALSE)</f>
        <v>98.8</v>
      </c>
      <c r="R1011" s="9"/>
      <c r="V1011" s="2">
        <f>-home-VLOOKUP(Table2[[#This Row],[Home/Neutral]],rtg_vlookup,4,FALSE)+VLOOKUP(Table2[[#This Row],[Visitor/Neutral]],rtg_vlookup,4,FALSE)</f>
        <v>-7.6651184834123312</v>
      </c>
      <c r="W1011" s="25"/>
      <c r="X1011" s="2"/>
      <c r="Y1011" s="2">
        <f>Table2[[#This Row],[Away EV]]-Table2[[#This Row],[Home EV]]</f>
        <v>-5.1500325085772118</v>
      </c>
      <c r="Z1011" s="33"/>
      <c r="AA1011" s="34"/>
      <c r="AB1011" s="5" t="b">
        <f>IF(VLOOKUP(Table2[[#This Row],[Home/Neutral]],division_lookup,9,FALSE)=VLOOKUP(Table2[[#This Row],[Visitor/Neutral]],division_lookup,9,FALSE),TRUE,FALSE)</f>
        <v>0</v>
      </c>
      <c r="AC1011" s="19" t="str">
        <f>VLOOKUP(Table2[[#This Row],[Home/Neutral]],division_lookup,9,FALSE)</f>
        <v>SE</v>
      </c>
      <c r="AD1011" s="19"/>
      <c r="AE1011" s="19" t="str">
        <f>IF(Table2[[#This Row],[Total EV ®]]&lt;Table2[[#This Row],[Total (V)]],"UNDER","OVER")</f>
        <v>OVER</v>
      </c>
      <c r="AF1011" s="30">
        <f>Table2[[#This Row],[(A) Spread]]-Table2[[#This Row],[Spread (V)]]</f>
        <v>0</v>
      </c>
      <c r="AG1011" s="19"/>
      <c r="AH1011" s="2">
        <f>Table2[[#This Row],[EV]]-Table2[[#This Row],[Spread (V)]]</f>
        <v>-5.1500325085772118</v>
      </c>
      <c r="AI1011" s="22">
        <f>Table2[[#This Row],[(A)]]-Table2[[#This Row],[Spread]]</f>
        <v>-7.6651184834123312</v>
      </c>
      <c r="AJ1011" s="1">
        <f>Table2[[#This Row],[(A) Err]]^2</f>
        <v>58.754041364749355</v>
      </c>
      <c r="AK1011" s="6">
        <f>Table2[[#This Row],[EV]]-Table2[[#This Row],[Spread]]</f>
        <v>-5.1500325085772118</v>
      </c>
      <c r="AL1011" s="1">
        <f>Table2[[#This Row],[EV Err]]^2</f>
        <v>26.522834839402091</v>
      </c>
    </row>
    <row r="1012" spans="1:38" x14ac:dyDescent="0.25">
      <c r="A1012" t="s">
        <v>176</v>
      </c>
      <c r="B1012" t="s">
        <v>36</v>
      </c>
      <c r="C1012" t="s">
        <v>29</v>
      </c>
      <c r="K1012" s="25">
        <f>(Table2[[#This Row],[Home Pace]]/100)*(VLOOKUP(Table2[[#This Row],[Home/Neutral]],home_lookup,8,FALSE)+VLOOKUP(Table2[[#This Row],[Home/Neutral]],OFR_lookup,2,FALSE)+VLOOKUP(Table2[[#This Row],[Visitor/Neutral]],def_diff_lookup,6,FALSE))</f>
        <v>110.87543156604042</v>
      </c>
      <c r="L1012" s="25"/>
      <c r="M1012" s="25">
        <f>(Table2[[#This Row],[Away Pace]]/100)*(VLOOKUP(Table2[[#This Row],[Visitor/Neutral]],OFR_lookup,2,FALSE)+VLOOKUP(Table2[[#This Row],[Home/Neutral]],def_diff_lookup,6,FALSE))</f>
        <v>103.36822533333334</v>
      </c>
      <c r="N1012" s="25"/>
      <c r="O1012" s="25"/>
      <c r="P1012">
        <f>VLOOKUP(Table2[[#This Row],[Home/Neutral]],pace_lookup,7,FALSE)</f>
        <v>102.2</v>
      </c>
      <c r="Q1012" s="5">
        <f>VLOOKUP(Table2[[#This Row],[Visitor/Neutral]],pace_lookup,7,FALSE)</f>
        <v>93.8</v>
      </c>
      <c r="R1012" s="9"/>
      <c r="V1012" s="2">
        <f>-home-VLOOKUP(Table2[[#This Row],[Home/Neutral]],rtg_vlookup,4,FALSE)+VLOOKUP(Table2[[#This Row],[Visitor/Neutral]],rtg_vlookup,4,FALSE)</f>
        <v>1.1848815165876694</v>
      </c>
      <c r="W1012" s="25"/>
      <c r="X1012" s="2"/>
      <c r="Y1012" s="2">
        <f>Table2[[#This Row],[Away EV]]-Table2[[#This Row],[Home EV]]</f>
        <v>-7.5072062327070768</v>
      </c>
      <c r="Z1012" s="33"/>
      <c r="AA1012" s="34"/>
      <c r="AB1012" s="5" t="b">
        <f>IF(VLOOKUP(Table2[[#This Row],[Home/Neutral]],division_lookup,9,FALSE)=VLOOKUP(Table2[[#This Row],[Visitor/Neutral]],division_lookup,9,FALSE),TRUE,FALSE)</f>
        <v>1</v>
      </c>
      <c r="AC1012" s="19" t="str">
        <f>VLOOKUP(Table2[[#This Row],[Home/Neutral]],division_lookup,9,FALSE)</f>
        <v>P</v>
      </c>
      <c r="AD1012" s="19"/>
      <c r="AE1012" s="19" t="str">
        <f>IF(Table2[[#This Row],[Total EV ®]]&lt;Table2[[#This Row],[Total (V)]],"UNDER","OVER")</f>
        <v>OVER</v>
      </c>
      <c r="AF1012" s="30">
        <f>Table2[[#This Row],[(A) Spread]]-Table2[[#This Row],[Spread (V)]]</f>
        <v>0</v>
      </c>
      <c r="AG1012" s="19"/>
      <c r="AH1012" s="2">
        <f>Table2[[#This Row],[EV]]-Table2[[#This Row],[Spread (V)]]</f>
        <v>-7.5072062327070768</v>
      </c>
      <c r="AI1012" s="22">
        <f>Table2[[#This Row],[(A)]]-Table2[[#This Row],[Spread]]</f>
        <v>1.1848815165876694</v>
      </c>
      <c r="AJ1012" s="1">
        <f>Table2[[#This Row],[(A) Err]]^2</f>
        <v>1.4039442083510953</v>
      </c>
      <c r="AK1012" s="6">
        <f>Table2[[#This Row],[EV]]-Table2[[#This Row],[Spread]]</f>
        <v>-7.5072062327070768</v>
      </c>
      <c r="AL1012" s="1">
        <f>Table2[[#This Row],[EV Err]]^2</f>
        <v>56.358145420395978</v>
      </c>
    </row>
    <row r="1013" spans="1:38" x14ac:dyDescent="0.25">
      <c r="A1013" t="s">
        <v>176</v>
      </c>
      <c r="B1013" t="s">
        <v>6</v>
      </c>
      <c r="C1013" t="s">
        <v>32</v>
      </c>
      <c r="K1013" s="25">
        <f>(Table2[[#This Row],[Home Pace]]/100)*(VLOOKUP(Table2[[#This Row],[Home/Neutral]],home_lookup,8,FALSE)+VLOOKUP(Table2[[#This Row],[Home/Neutral]],OFR_lookup,2,FALSE)+VLOOKUP(Table2[[#This Row],[Visitor/Neutral]],def_diff_lookup,6,FALSE))</f>
        <v>107.74242787062244</v>
      </c>
      <c r="L1013" s="25"/>
      <c r="M1013" s="25">
        <f>(Table2[[#This Row],[Away Pace]]/100)*(VLOOKUP(Table2[[#This Row],[Visitor/Neutral]],OFR_lookup,2,FALSE)+VLOOKUP(Table2[[#This Row],[Home/Neutral]],def_diff_lookup,6,FALSE))</f>
        <v>104.69413733333334</v>
      </c>
      <c r="N1013" s="25"/>
      <c r="O1013" s="25"/>
      <c r="P1013">
        <f>VLOOKUP(Table2[[#This Row],[Home/Neutral]],pace_lookup,7,FALSE)</f>
        <v>93.1</v>
      </c>
      <c r="Q1013" s="5">
        <f>VLOOKUP(Table2[[#This Row],[Visitor/Neutral]],pace_lookup,7,FALSE)</f>
        <v>98.6</v>
      </c>
      <c r="R1013" s="9"/>
      <c r="V1013" s="2">
        <f>-home-VLOOKUP(Table2[[#This Row],[Home/Neutral]],rtg_vlookup,4,FALSE)+VLOOKUP(Table2[[#This Row],[Visitor/Neutral]],rtg_vlookup,4,FALSE)</f>
        <v>-12.60511848341233</v>
      </c>
      <c r="W1013" s="25"/>
      <c r="X1013" s="2"/>
      <c r="Y1013" s="2">
        <f>Table2[[#This Row],[Away EV]]-Table2[[#This Row],[Home EV]]</f>
        <v>-3.0482905372890912</v>
      </c>
      <c r="Z1013" s="33"/>
      <c r="AA1013" s="34"/>
      <c r="AB1013" s="5" t="b">
        <f>IF(VLOOKUP(Table2[[#This Row],[Home/Neutral]],division_lookup,9,FALSE)=VLOOKUP(Table2[[#This Row],[Visitor/Neutral]],division_lookup,9,FALSE),TRUE,FALSE)</f>
        <v>0</v>
      </c>
      <c r="AC1013" s="19" t="str">
        <f>VLOOKUP(Table2[[#This Row],[Home/Neutral]],division_lookup,9,FALSE)</f>
        <v>SW</v>
      </c>
      <c r="AD1013" s="19"/>
      <c r="AE1013" s="19" t="str">
        <f>IF(Table2[[#This Row],[Total EV ®]]&lt;Table2[[#This Row],[Total (V)]],"UNDER","OVER")</f>
        <v>OVER</v>
      </c>
      <c r="AF1013" s="30">
        <f>Table2[[#This Row],[(A) Spread]]-Table2[[#This Row],[Spread (V)]]</f>
        <v>0</v>
      </c>
      <c r="AG1013" s="19"/>
      <c r="AH1013" s="2">
        <f>Table2[[#This Row],[EV]]-Table2[[#This Row],[Spread (V)]]</f>
        <v>-3.0482905372890912</v>
      </c>
      <c r="AI1013" s="22">
        <f>Table2[[#This Row],[(A)]]-Table2[[#This Row],[Spread]]</f>
        <v>-12.60511848341233</v>
      </c>
      <c r="AJ1013" s="1">
        <f>Table2[[#This Row],[(A) Err]]^2</f>
        <v>158.88901198086316</v>
      </c>
      <c r="AK1013" s="6">
        <f>Table2[[#This Row],[EV]]-Table2[[#This Row],[Spread]]</f>
        <v>-3.0482905372890912</v>
      </c>
      <c r="AL1013" s="1">
        <f>Table2[[#This Row],[EV Err]]^2</f>
        <v>9.2920751997262165</v>
      </c>
    </row>
    <row r="1014" spans="1:38" x14ac:dyDescent="0.25">
      <c r="A1014" t="s">
        <v>176</v>
      </c>
      <c r="B1014" t="s">
        <v>28</v>
      </c>
      <c r="C1014" t="s">
        <v>37</v>
      </c>
      <c r="K1014" s="25">
        <f>(Table2[[#This Row],[Home Pace]]/100)*(VLOOKUP(Table2[[#This Row],[Home/Neutral]],home_lookup,8,FALSE)+VLOOKUP(Table2[[#This Row],[Home/Neutral]],OFR_lookup,2,FALSE)+VLOOKUP(Table2[[#This Row],[Visitor/Neutral]],def_diff_lookup,6,FALSE))</f>
        <v>105.37826553204273</v>
      </c>
      <c r="L1014" s="25"/>
      <c r="M1014" s="25">
        <f>(Table2[[#This Row],[Away Pace]]/100)*(VLOOKUP(Table2[[#This Row],[Visitor/Neutral]],OFR_lookup,2,FALSE)+VLOOKUP(Table2[[#This Row],[Home/Neutral]],def_diff_lookup,6,FALSE))</f>
        <v>90.940154000000007</v>
      </c>
      <c r="N1014" s="25"/>
      <c r="O1014" s="25"/>
      <c r="P1014">
        <f>VLOOKUP(Table2[[#This Row],[Home/Neutral]],pace_lookup,7,FALSE)</f>
        <v>96.3</v>
      </c>
      <c r="Q1014" s="5">
        <f>VLOOKUP(Table2[[#This Row],[Visitor/Neutral]],pace_lookup,7,FALSE)</f>
        <v>92.1</v>
      </c>
      <c r="R1014" s="9"/>
      <c r="V1014" s="2">
        <f>-home-VLOOKUP(Table2[[#This Row],[Home/Neutral]],rtg_vlookup,4,FALSE)+VLOOKUP(Table2[[#This Row],[Visitor/Neutral]],rtg_vlookup,4,FALSE)</f>
        <v>-8.295118483412331</v>
      </c>
      <c r="W1014" s="25"/>
      <c r="X1014" s="2"/>
      <c r="Y1014" s="2">
        <f>Table2[[#This Row],[Away EV]]-Table2[[#This Row],[Home EV]]</f>
        <v>-14.438111532042726</v>
      </c>
      <c r="Z1014" s="33"/>
      <c r="AA1014" s="34"/>
      <c r="AB1014" s="5" t="b">
        <f>IF(VLOOKUP(Table2[[#This Row],[Home/Neutral]],division_lookup,9,FALSE)=VLOOKUP(Table2[[#This Row],[Visitor/Neutral]],division_lookup,9,FALSE),TRUE,FALSE)</f>
        <v>0</v>
      </c>
      <c r="AC1014" s="19" t="str">
        <f>VLOOKUP(Table2[[#This Row],[Home/Neutral]],division_lookup,9,FALSE)</f>
        <v>SE</v>
      </c>
      <c r="AD1014" s="19"/>
      <c r="AE1014" s="19" t="str">
        <f>IF(Table2[[#This Row],[Total EV ®]]&lt;Table2[[#This Row],[Total (V)]],"UNDER","OVER")</f>
        <v>OVER</v>
      </c>
      <c r="AF1014" s="30">
        <f>Table2[[#This Row],[(A) Spread]]-Table2[[#This Row],[Spread (V)]]</f>
        <v>0</v>
      </c>
      <c r="AG1014" s="19"/>
      <c r="AH1014" s="2">
        <f>Table2[[#This Row],[EV]]-Table2[[#This Row],[Spread (V)]]</f>
        <v>-14.438111532042726</v>
      </c>
      <c r="AI1014" s="22">
        <f>Table2[[#This Row],[(A)]]-Table2[[#This Row],[Spread]]</f>
        <v>-8.295118483412331</v>
      </c>
      <c r="AJ1014" s="1">
        <f>Table2[[#This Row],[(A) Err]]^2</f>
        <v>68.808990653848895</v>
      </c>
      <c r="AK1014" s="6">
        <f>Table2[[#This Row],[EV]]-Table2[[#This Row],[Spread]]</f>
        <v>-14.438111532042726</v>
      </c>
      <c r="AL1014" s="1">
        <f>Table2[[#This Row],[EV Err]]^2</f>
        <v>208.45906461170514</v>
      </c>
    </row>
    <row r="1015" spans="1:38" x14ac:dyDescent="0.25">
      <c r="A1015" t="s">
        <v>177</v>
      </c>
      <c r="B1015" t="s">
        <v>11</v>
      </c>
      <c r="C1015" t="s">
        <v>23</v>
      </c>
      <c r="K1015" s="25">
        <f>(Table2[[#This Row],[Home Pace]]/100)*(VLOOKUP(Table2[[#This Row],[Home/Neutral]],home_lookup,8,FALSE)+VLOOKUP(Table2[[#This Row],[Home/Neutral]],OFR_lookup,2,FALSE)+VLOOKUP(Table2[[#This Row],[Visitor/Neutral]],def_diff_lookup,6,FALSE))</f>
        <v>94.143519044072818</v>
      </c>
      <c r="L1015" s="25"/>
      <c r="M1015" s="25">
        <f>(Table2[[#This Row],[Away Pace]]/100)*(VLOOKUP(Table2[[#This Row],[Visitor/Neutral]],OFR_lookup,2,FALSE)+VLOOKUP(Table2[[#This Row],[Home/Neutral]],def_diff_lookup,6,FALSE))</f>
        <v>89.281616666666693</v>
      </c>
      <c r="N1015" s="25"/>
      <c r="O1015" s="25"/>
      <c r="P1015">
        <f>VLOOKUP(Table2[[#This Row],[Home/Neutral]],pace_lookup,7,FALSE)</f>
        <v>99.7</v>
      </c>
      <c r="Q1015" s="5">
        <f>VLOOKUP(Table2[[#This Row],[Visitor/Neutral]],pace_lookup,7,FALSE)</f>
        <v>92.5</v>
      </c>
      <c r="R1015" s="9"/>
      <c r="V1015" s="2">
        <f>-home-VLOOKUP(Table2[[#This Row],[Home/Neutral]],rtg_vlookup,4,FALSE)+VLOOKUP(Table2[[#This Row],[Visitor/Neutral]],rtg_vlookup,4,FALSE)</f>
        <v>-6.6451184834123307</v>
      </c>
      <c r="W1015" s="25"/>
      <c r="X1015" s="2"/>
      <c r="Y1015" s="2">
        <f>Table2[[#This Row],[Away EV]]-Table2[[#This Row],[Home EV]]</f>
        <v>-4.8619023774061247</v>
      </c>
      <c r="Z1015" s="33"/>
      <c r="AA1015" s="34"/>
      <c r="AB1015" s="5" t="b">
        <f>IF(VLOOKUP(Table2[[#This Row],[Home/Neutral]],division_lookup,9,FALSE)=VLOOKUP(Table2[[#This Row],[Visitor/Neutral]],division_lookup,9,FALSE),TRUE,FALSE)</f>
        <v>0</v>
      </c>
      <c r="AC1015" s="19" t="str">
        <f>VLOOKUP(Table2[[#This Row],[Home/Neutral]],division_lookup,9,FALSE)</f>
        <v>SE</v>
      </c>
      <c r="AD1015" s="19"/>
      <c r="AE1015" s="19" t="str">
        <f>IF(Table2[[#This Row],[Total EV ®]]&lt;Table2[[#This Row],[Total (V)]],"UNDER","OVER")</f>
        <v>OVER</v>
      </c>
      <c r="AF1015" s="30">
        <f>Table2[[#This Row],[(A) Spread]]-Table2[[#This Row],[Spread (V)]]</f>
        <v>0</v>
      </c>
      <c r="AG1015" s="19"/>
      <c r="AH1015" s="2">
        <f>Table2[[#This Row],[EV]]-Table2[[#This Row],[Spread (V)]]</f>
        <v>-4.8619023774061247</v>
      </c>
      <c r="AI1015" s="22">
        <f>Table2[[#This Row],[(A)]]-Table2[[#This Row],[Spread]]</f>
        <v>-6.6451184834123307</v>
      </c>
      <c r="AJ1015" s="1">
        <f>Table2[[#This Row],[(A) Err]]^2</f>
        <v>44.157599658588197</v>
      </c>
      <c r="AK1015" s="6">
        <f>Table2[[#This Row],[EV]]-Table2[[#This Row],[Spread]]</f>
        <v>-4.8619023774061247</v>
      </c>
      <c r="AL1015" s="1">
        <f>Table2[[#This Row],[EV Err]]^2</f>
        <v>23.638094727427326</v>
      </c>
    </row>
    <row r="1016" spans="1:38" x14ac:dyDescent="0.25">
      <c r="A1016" t="s">
        <v>177</v>
      </c>
      <c r="B1016" t="s">
        <v>8</v>
      </c>
      <c r="C1016" t="s">
        <v>20</v>
      </c>
      <c r="K1016" s="25">
        <f>(Table2[[#This Row],[Home Pace]]/100)*(VLOOKUP(Table2[[#This Row],[Home/Neutral]],home_lookup,8,FALSE)+VLOOKUP(Table2[[#This Row],[Home/Neutral]],OFR_lookup,2,FALSE)+VLOOKUP(Table2[[#This Row],[Visitor/Neutral]],def_diff_lookup,6,FALSE))</f>
        <v>103.36758036898181</v>
      </c>
      <c r="L1016" s="25"/>
      <c r="M1016" s="25">
        <f>(Table2[[#This Row],[Away Pace]]/100)*(VLOOKUP(Table2[[#This Row],[Visitor/Neutral]],OFR_lookup,2,FALSE)+VLOOKUP(Table2[[#This Row],[Home/Neutral]],def_diff_lookup,6,FALSE))</f>
        <v>95.109276000000023</v>
      </c>
      <c r="N1016" s="25"/>
      <c r="O1016" s="25"/>
      <c r="P1016">
        <f>VLOOKUP(Table2[[#This Row],[Home/Neutral]],pace_lookup,7,FALSE)</f>
        <v>97.2</v>
      </c>
      <c r="Q1016" s="5">
        <f>VLOOKUP(Table2[[#This Row],[Visitor/Neutral]],pace_lookup,7,FALSE)</f>
        <v>90.9</v>
      </c>
      <c r="R1016" s="9"/>
      <c r="V1016" s="2">
        <f>-home-VLOOKUP(Table2[[#This Row],[Home/Neutral]],rtg_vlookup,4,FALSE)+VLOOKUP(Table2[[#This Row],[Visitor/Neutral]],rtg_vlookup,4,FALSE)</f>
        <v>-7.84511848341233</v>
      </c>
      <c r="W1016" s="25"/>
      <c r="X1016" s="2"/>
      <c r="Y1016" s="2">
        <f>Table2[[#This Row],[Away EV]]-Table2[[#This Row],[Home EV]]</f>
        <v>-8.2583043689817828</v>
      </c>
      <c r="Z1016" s="33"/>
      <c r="AA1016" s="34"/>
      <c r="AB1016" s="5" t="b">
        <f>IF(VLOOKUP(Table2[[#This Row],[Home/Neutral]],division_lookup,9,FALSE)=VLOOKUP(Table2[[#This Row],[Visitor/Neutral]],division_lookup,9,FALSE),TRUE,FALSE)</f>
        <v>0</v>
      </c>
      <c r="AC1016" s="19" t="str">
        <f>VLOOKUP(Table2[[#This Row],[Home/Neutral]],division_lookup,9,FALSE)</f>
        <v>C</v>
      </c>
      <c r="AD1016" s="19"/>
      <c r="AE1016" s="19" t="str">
        <f>IF(Table2[[#This Row],[Total EV ®]]&lt;Table2[[#This Row],[Total (V)]],"UNDER","OVER")</f>
        <v>OVER</v>
      </c>
      <c r="AF1016" s="30">
        <f>Table2[[#This Row],[(A) Spread]]-Table2[[#This Row],[Spread (V)]]</f>
        <v>0</v>
      </c>
      <c r="AG1016" s="19"/>
      <c r="AH1016" s="2">
        <f>Table2[[#This Row],[EV]]-Table2[[#This Row],[Spread (V)]]</f>
        <v>-8.2583043689817828</v>
      </c>
      <c r="AI1016" s="22">
        <f>Table2[[#This Row],[(A)]]-Table2[[#This Row],[Spread]]</f>
        <v>-7.84511848341233</v>
      </c>
      <c r="AJ1016" s="1">
        <f>Table2[[#This Row],[(A) Err]]^2</f>
        <v>61.545884018777777</v>
      </c>
      <c r="AK1016" s="6">
        <f>Table2[[#This Row],[EV]]-Table2[[#This Row],[Spread]]</f>
        <v>-8.2583043689817828</v>
      </c>
      <c r="AL1016" s="1">
        <f>Table2[[#This Row],[EV Err]]^2</f>
        <v>68.199591050743607</v>
      </c>
    </row>
    <row r="1017" spans="1:38" x14ac:dyDescent="0.25">
      <c r="A1017" t="s">
        <v>177</v>
      </c>
      <c r="B1017" t="s">
        <v>27</v>
      </c>
      <c r="C1017" t="s">
        <v>4</v>
      </c>
      <c r="K1017" s="25">
        <f>(Table2[[#This Row],[Home Pace]]/100)*(VLOOKUP(Table2[[#This Row],[Home/Neutral]],home_lookup,8,FALSE)+VLOOKUP(Table2[[#This Row],[Home/Neutral]],OFR_lookup,2,FALSE)+VLOOKUP(Table2[[#This Row],[Visitor/Neutral]],def_diff_lookup,6,FALSE))</f>
        <v>98.526156426472568</v>
      </c>
      <c r="L1017" s="25"/>
      <c r="M1017" s="25">
        <f>(Table2[[#This Row],[Away Pace]]/100)*(VLOOKUP(Table2[[#This Row],[Visitor/Neutral]],OFR_lookup,2,FALSE)+VLOOKUP(Table2[[#This Row],[Home/Neutral]],def_diff_lookup,6,FALSE))</f>
        <v>110.549684</v>
      </c>
      <c r="N1017" s="25"/>
      <c r="O1017" s="25"/>
      <c r="P1017">
        <f>VLOOKUP(Table2[[#This Row],[Home/Neutral]],pace_lookup,7,FALSE)</f>
        <v>99</v>
      </c>
      <c r="Q1017" s="5">
        <f>VLOOKUP(Table2[[#This Row],[Visitor/Neutral]],pace_lookup,7,FALSE)</f>
        <v>96.6</v>
      </c>
      <c r="R1017" s="9"/>
      <c r="V1017" s="2">
        <f>-home-VLOOKUP(Table2[[#This Row],[Home/Neutral]],rtg_vlookup,4,FALSE)+VLOOKUP(Table2[[#This Row],[Visitor/Neutral]],rtg_vlookup,4,FALSE)</f>
        <v>12.50488151658767</v>
      </c>
      <c r="W1017" s="25"/>
      <c r="X1017" s="2"/>
      <c r="Y1017" s="2">
        <f>Table2[[#This Row],[Away EV]]-Table2[[#This Row],[Home EV]]</f>
        <v>12.023527573527431</v>
      </c>
      <c r="Z1017" s="33"/>
      <c r="AA1017" s="34"/>
      <c r="AB1017" s="5" t="b">
        <f>IF(VLOOKUP(Table2[[#This Row],[Home/Neutral]],division_lookup,9,FALSE)=VLOOKUP(Table2[[#This Row],[Visitor/Neutral]],division_lookup,9,FALSE),TRUE,FALSE)</f>
        <v>0</v>
      </c>
      <c r="AC1017" s="19" t="str">
        <f>VLOOKUP(Table2[[#This Row],[Home/Neutral]],division_lookup,9,FALSE)</f>
        <v>NW</v>
      </c>
      <c r="AD1017" s="19"/>
      <c r="AE1017" s="19" t="str">
        <f>IF(Table2[[#This Row],[Total EV ®]]&lt;Table2[[#This Row],[Total (V)]],"UNDER","OVER")</f>
        <v>OVER</v>
      </c>
      <c r="AF1017" s="30">
        <f>Table2[[#This Row],[(A) Spread]]-Table2[[#This Row],[Spread (V)]]</f>
        <v>0</v>
      </c>
      <c r="AG1017" s="19"/>
      <c r="AH1017" s="2">
        <f>Table2[[#This Row],[EV]]-Table2[[#This Row],[Spread (V)]]</f>
        <v>12.023527573527431</v>
      </c>
      <c r="AI1017" s="22">
        <f>Table2[[#This Row],[(A)]]-Table2[[#This Row],[Spread]]</f>
        <v>12.50488151658767</v>
      </c>
      <c r="AJ1017" s="1">
        <f>Table2[[#This Row],[(A) Err]]^2</f>
        <v>156.37206174389593</v>
      </c>
      <c r="AK1017" s="6">
        <f>Table2[[#This Row],[EV]]-Table2[[#This Row],[Spread]]</f>
        <v>12.023527573527431</v>
      </c>
      <c r="AL1017" s="1">
        <f>Table2[[#This Row],[EV Err]]^2</f>
        <v>144.56521531137443</v>
      </c>
    </row>
    <row r="1018" spans="1:38" x14ac:dyDescent="0.25">
      <c r="A1018" t="s">
        <v>177</v>
      </c>
      <c r="B1018" t="s">
        <v>10</v>
      </c>
      <c r="C1018" t="s">
        <v>38</v>
      </c>
      <c r="K1018" s="25">
        <f>(Table2[[#This Row],[Home Pace]]/100)*(VLOOKUP(Table2[[#This Row],[Home/Neutral]],home_lookup,8,FALSE)+VLOOKUP(Table2[[#This Row],[Home/Neutral]],OFR_lookup,2,FALSE)+VLOOKUP(Table2[[#This Row],[Visitor/Neutral]],def_diff_lookup,6,FALSE))</f>
        <v>108.30966853790561</v>
      </c>
      <c r="L1018" s="25"/>
      <c r="M1018" s="25">
        <f>(Table2[[#This Row],[Away Pace]]/100)*(VLOOKUP(Table2[[#This Row],[Visitor/Neutral]],OFR_lookup,2,FALSE)+VLOOKUP(Table2[[#This Row],[Home/Neutral]],def_diff_lookup,6,FALSE))</f>
        <v>94.492648000000017</v>
      </c>
      <c r="N1018" s="25"/>
      <c r="O1018" s="25"/>
      <c r="P1018">
        <f>VLOOKUP(Table2[[#This Row],[Home/Neutral]],pace_lookup,7,FALSE)</f>
        <v>100.3</v>
      </c>
      <c r="Q1018" s="5">
        <f>VLOOKUP(Table2[[#This Row],[Visitor/Neutral]],pace_lookup,7,FALSE)</f>
        <v>94.2</v>
      </c>
      <c r="R1018" s="9"/>
      <c r="V1018" s="2">
        <f>-home-VLOOKUP(Table2[[#This Row],[Home/Neutral]],rtg_vlookup,4,FALSE)+VLOOKUP(Table2[[#This Row],[Visitor/Neutral]],rtg_vlookup,4,FALSE)</f>
        <v>-19.895118483412332</v>
      </c>
      <c r="W1018" s="25"/>
      <c r="X1018" s="2"/>
      <c r="Y1018" s="2">
        <f>Table2[[#This Row],[Away EV]]-Table2[[#This Row],[Home EV]]</f>
        <v>-13.817020537905591</v>
      </c>
      <c r="Z1018" s="33"/>
      <c r="AA1018" s="34"/>
      <c r="AB1018" s="5" t="b">
        <f>IF(VLOOKUP(Table2[[#This Row],[Home/Neutral]],division_lookup,9,FALSE)=VLOOKUP(Table2[[#This Row],[Visitor/Neutral]],division_lookup,9,FALSE),TRUE,FALSE)</f>
        <v>0</v>
      </c>
      <c r="AC1018" s="19" t="str">
        <f>VLOOKUP(Table2[[#This Row],[Home/Neutral]],division_lookup,9,FALSE)</f>
        <v>P</v>
      </c>
      <c r="AD1018" s="19"/>
      <c r="AE1018" s="19" t="str">
        <f>IF(Table2[[#This Row],[Total EV ®]]&lt;Table2[[#This Row],[Total (V)]],"UNDER","OVER")</f>
        <v>OVER</v>
      </c>
      <c r="AF1018" s="30">
        <f>Table2[[#This Row],[(A) Spread]]-Table2[[#This Row],[Spread (V)]]</f>
        <v>0</v>
      </c>
      <c r="AG1018" s="19"/>
      <c r="AH1018" s="2">
        <f>Table2[[#This Row],[EV]]-Table2[[#This Row],[Spread (V)]]</f>
        <v>-13.817020537905591</v>
      </c>
      <c r="AI1018" s="22">
        <f>Table2[[#This Row],[(A)]]-Table2[[#This Row],[Spread]]</f>
        <v>-19.895118483412332</v>
      </c>
      <c r="AJ1018" s="1">
        <f>Table2[[#This Row],[(A) Err]]^2</f>
        <v>395.815739469015</v>
      </c>
      <c r="AK1018" s="6">
        <f>Table2[[#This Row],[EV]]-Table2[[#This Row],[Spread]]</f>
        <v>-13.817020537905591</v>
      </c>
      <c r="AL1018" s="1">
        <f>Table2[[#This Row],[EV Err]]^2</f>
        <v>190.91005654490493</v>
      </c>
    </row>
    <row r="1019" spans="1:38" x14ac:dyDescent="0.25">
      <c r="A1019" t="s">
        <v>177</v>
      </c>
      <c r="B1019" t="s">
        <v>31</v>
      </c>
      <c r="C1019" t="s">
        <v>35</v>
      </c>
      <c r="K1019" s="25">
        <f>(Table2[[#This Row],[Home Pace]]/100)*(VLOOKUP(Table2[[#This Row],[Home/Neutral]],home_lookup,8,FALSE)+VLOOKUP(Table2[[#This Row],[Home/Neutral]],OFR_lookup,2,FALSE)+VLOOKUP(Table2[[#This Row],[Visitor/Neutral]],def_diff_lookup,6,FALSE))</f>
        <v>113.7789743021789</v>
      </c>
      <c r="L1019" s="25"/>
      <c r="M1019" s="25">
        <f>(Table2[[#This Row],[Away Pace]]/100)*(VLOOKUP(Table2[[#This Row],[Visitor/Neutral]],OFR_lookup,2,FALSE)+VLOOKUP(Table2[[#This Row],[Home/Neutral]],def_diff_lookup,6,FALSE))</f>
        <v>110.67306133333335</v>
      </c>
      <c r="N1019" s="25"/>
      <c r="O1019" s="25"/>
      <c r="P1019">
        <f>VLOOKUP(Table2[[#This Row],[Home/Neutral]],pace_lookup,7,FALSE)</f>
        <v>96</v>
      </c>
      <c r="Q1019" s="5">
        <f>VLOOKUP(Table2[[#This Row],[Visitor/Neutral]],pace_lookup,7,FALSE)</f>
        <v>102.2</v>
      </c>
      <c r="R1019" s="9"/>
      <c r="V1019" s="2">
        <f>-home-VLOOKUP(Table2[[#This Row],[Home/Neutral]],rtg_vlookup,4,FALSE)+VLOOKUP(Table2[[#This Row],[Visitor/Neutral]],rtg_vlookup,4,FALSE)</f>
        <v>-6.7951184834123302</v>
      </c>
      <c r="W1019" s="25"/>
      <c r="X1019" s="2"/>
      <c r="Y1019" s="2">
        <f>Table2[[#This Row],[Away EV]]-Table2[[#This Row],[Home EV]]</f>
        <v>-3.1059129688455442</v>
      </c>
      <c r="Z1019" s="33"/>
      <c r="AA1019" s="34"/>
      <c r="AB1019" s="5" t="b">
        <f>IF(VLOOKUP(Table2[[#This Row],[Home/Neutral]],division_lookup,9,FALSE)=VLOOKUP(Table2[[#This Row],[Visitor/Neutral]],division_lookup,9,FALSE),TRUE,FALSE)</f>
        <v>1</v>
      </c>
      <c r="AC1019" s="19" t="str">
        <f>VLOOKUP(Table2[[#This Row],[Home/Neutral]],division_lookup,9,FALSE)</f>
        <v>A</v>
      </c>
      <c r="AD1019" s="19"/>
      <c r="AE1019" s="19" t="str">
        <f>IF(Table2[[#This Row],[Total EV ®]]&lt;Table2[[#This Row],[Total (V)]],"UNDER","OVER")</f>
        <v>OVER</v>
      </c>
      <c r="AF1019" s="30">
        <f>Table2[[#This Row],[(A) Spread]]-Table2[[#This Row],[Spread (V)]]</f>
        <v>0</v>
      </c>
      <c r="AG1019" s="19"/>
      <c r="AH1019" s="2">
        <f>Table2[[#This Row],[EV]]-Table2[[#This Row],[Spread (V)]]</f>
        <v>-3.1059129688455442</v>
      </c>
      <c r="AI1019" s="22">
        <f>Table2[[#This Row],[(A)]]-Table2[[#This Row],[Spread]]</f>
        <v>-6.7951184834123302</v>
      </c>
      <c r="AJ1019" s="1">
        <f>Table2[[#This Row],[(A) Err]]^2</f>
        <v>46.173635203611887</v>
      </c>
      <c r="AK1019" s="6">
        <f>Table2[[#This Row],[EV]]-Table2[[#This Row],[Spread]]</f>
        <v>-3.1059129688455442</v>
      </c>
      <c r="AL1019" s="1">
        <f>Table2[[#This Row],[EV Err]]^2</f>
        <v>9.6466953700429432</v>
      </c>
    </row>
    <row r="1020" spans="1:38" x14ac:dyDescent="0.25">
      <c r="A1020" t="s">
        <v>177</v>
      </c>
      <c r="B1020" t="s">
        <v>14</v>
      </c>
      <c r="C1020" t="s">
        <v>18</v>
      </c>
      <c r="K1020" s="25">
        <f>(Table2[[#This Row],[Home Pace]]/100)*(VLOOKUP(Table2[[#This Row],[Home/Neutral]],home_lookup,8,FALSE)+VLOOKUP(Table2[[#This Row],[Home/Neutral]],OFR_lookup,2,FALSE)+VLOOKUP(Table2[[#This Row],[Visitor/Neutral]],def_diff_lookup,6,FALSE))</f>
        <v>103.15916414241451</v>
      </c>
      <c r="L1020" s="25"/>
      <c r="M1020" s="25">
        <f>(Table2[[#This Row],[Away Pace]]/100)*(VLOOKUP(Table2[[#This Row],[Visitor/Neutral]],OFR_lookup,2,FALSE)+VLOOKUP(Table2[[#This Row],[Home/Neutral]],def_diff_lookup,6,FALSE))</f>
        <v>105.81891333333336</v>
      </c>
      <c r="N1020" s="25"/>
      <c r="O1020" s="25"/>
      <c r="P1020">
        <f>VLOOKUP(Table2[[#This Row],[Home/Neutral]],pace_lookup,7,FALSE)</f>
        <v>95.9</v>
      </c>
      <c r="Q1020" s="5">
        <f>VLOOKUP(Table2[[#This Row],[Visitor/Neutral]],pace_lookup,7,FALSE)</f>
        <v>99.5</v>
      </c>
      <c r="R1020" s="9"/>
      <c r="V1020" s="2">
        <f>-home-VLOOKUP(Table2[[#This Row],[Home/Neutral]],rtg_vlookup,4,FALSE)+VLOOKUP(Table2[[#This Row],[Visitor/Neutral]],rtg_vlookup,4,FALSE)</f>
        <v>-5.3651184834123304</v>
      </c>
      <c r="W1020" s="25"/>
      <c r="X1020" s="2"/>
      <c r="Y1020" s="2">
        <f>Table2[[#This Row],[Away EV]]-Table2[[#This Row],[Home EV]]</f>
        <v>2.6597491909188449</v>
      </c>
      <c r="Z1020" s="33"/>
      <c r="AA1020" s="34"/>
      <c r="AB1020" s="5" t="b">
        <f>IF(VLOOKUP(Table2[[#This Row],[Home/Neutral]],division_lookup,9,FALSE)=VLOOKUP(Table2[[#This Row],[Visitor/Neutral]],division_lookup,9,FALSE),TRUE,FALSE)</f>
        <v>0</v>
      </c>
      <c r="AC1020" s="19" t="str">
        <f>VLOOKUP(Table2[[#This Row],[Home/Neutral]],division_lookup,9,FALSE)</f>
        <v>A</v>
      </c>
      <c r="AD1020" s="19"/>
      <c r="AE1020" s="19" t="str">
        <f>IF(Table2[[#This Row],[Total EV ®]]&lt;Table2[[#This Row],[Total (V)]],"UNDER","OVER")</f>
        <v>OVER</v>
      </c>
      <c r="AF1020" s="30">
        <f>Table2[[#This Row],[(A) Spread]]-Table2[[#This Row],[Spread (V)]]</f>
        <v>0</v>
      </c>
      <c r="AG1020" s="19"/>
      <c r="AH1020" s="2">
        <f>Table2[[#This Row],[EV]]-Table2[[#This Row],[Spread (V)]]</f>
        <v>2.6597491909188449</v>
      </c>
      <c r="AI1020" s="22">
        <f>Table2[[#This Row],[(A)]]-Table2[[#This Row],[Spread]]</f>
        <v>-5.3651184834123304</v>
      </c>
      <c r="AJ1020" s="1">
        <f>Table2[[#This Row],[(A) Err]]^2</f>
        <v>28.784496341052623</v>
      </c>
      <c r="AK1020" s="6">
        <f>Table2[[#This Row],[EV]]-Table2[[#This Row],[Spread]]</f>
        <v>2.6597491909188449</v>
      </c>
      <c r="AL1020" s="1">
        <f>Table2[[#This Row],[EV Err]]^2</f>
        <v>7.0742657585934499</v>
      </c>
    </row>
    <row r="1021" spans="1:38" x14ac:dyDescent="0.25">
      <c r="A1021" t="s">
        <v>178</v>
      </c>
      <c r="B1021" t="s">
        <v>35</v>
      </c>
      <c r="C1021" t="s">
        <v>26</v>
      </c>
      <c r="K1021" s="25">
        <f>(Table2[[#This Row],[Home Pace]]/100)*(VLOOKUP(Table2[[#This Row],[Home/Neutral]],home_lookup,8,FALSE)+VLOOKUP(Table2[[#This Row],[Home/Neutral]],OFR_lookup,2,FALSE)+VLOOKUP(Table2[[#This Row],[Visitor/Neutral]],def_diff_lookup,6,FALSE))</f>
        <v>109.40855121209626</v>
      </c>
      <c r="L1021" s="25"/>
      <c r="M1021" s="25">
        <f>(Table2[[#This Row],[Away Pace]]/100)*(VLOOKUP(Table2[[#This Row],[Visitor/Neutral]],OFR_lookup,2,FALSE)+VLOOKUP(Table2[[#This Row],[Home/Neutral]],def_diff_lookup,6,FALSE))</f>
        <v>106.95424</v>
      </c>
      <c r="N1021" s="25"/>
      <c r="O1021" s="25"/>
      <c r="P1021">
        <f>VLOOKUP(Table2[[#This Row],[Home/Neutral]],pace_lookup,7,FALSE)</f>
        <v>102.2</v>
      </c>
      <c r="Q1021" s="5">
        <f>VLOOKUP(Table2[[#This Row],[Visitor/Neutral]],pace_lookup,7,FALSE)</f>
        <v>96</v>
      </c>
      <c r="R1021" s="9"/>
      <c r="V1021" s="2">
        <f>-home-VLOOKUP(Table2[[#This Row],[Home/Neutral]],rtg_vlookup,4,FALSE)+VLOOKUP(Table2[[#This Row],[Visitor/Neutral]],rtg_vlookup,4,FALSE)</f>
        <v>3.3648815165876691</v>
      </c>
      <c r="W1021" s="25"/>
      <c r="X1021" s="2"/>
      <c r="Y1021" s="2">
        <f>Table2[[#This Row],[Away EV]]-Table2[[#This Row],[Home EV]]</f>
        <v>-2.4543112120962576</v>
      </c>
      <c r="Z1021" s="33"/>
      <c r="AA1021" s="34"/>
      <c r="AB1021" s="5" t="b">
        <f>IF(VLOOKUP(Table2[[#This Row],[Home/Neutral]],division_lookup,9,FALSE)=VLOOKUP(Table2[[#This Row],[Visitor/Neutral]],division_lookup,9,FALSE),TRUE,FALSE)</f>
        <v>1</v>
      </c>
      <c r="AC1021" s="19" t="str">
        <f>VLOOKUP(Table2[[#This Row],[Home/Neutral]],division_lookup,9,FALSE)</f>
        <v>A</v>
      </c>
      <c r="AD1021" s="19"/>
      <c r="AE1021" s="19" t="str">
        <f>IF(Table2[[#This Row],[Total EV ®]]&lt;Table2[[#This Row],[Total (V)]],"UNDER","OVER")</f>
        <v>OVER</v>
      </c>
      <c r="AF1021" s="30">
        <f>Table2[[#This Row],[(A) Spread]]-Table2[[#This Row],[Spread (V)]]</f>
        <v>0</v>
      </c>
      <c r="AG1021" s="19"/>
      <c r="AH1021" s="2">
        <f>Table2[[#This Row],[EV]]-Table2[[#This Row],[Spread (V)]]</f>
        <v>-2.4543112120962576</v>
      </c>
      <c r="AI1021" s="22">
        <f>Table2[[#This Row],[(A)]]-Table2[[#This Row],[Spread]]</f>
        <v>3.3648815165876691</v>
      </c>
      <c r="AJ1021" s="1">
        <f>Table2[[#This Row],[(A) Err]]^2</f>
        <v>11.322427620673333</v>
      </c>
      <c r="AK1021" s="6">
        <f>Table2[[#This Row],[EV]]-Table2[[#This Row],[Spread]]</f>
        <v>-2.4543112120962576</v>
      </c>
      <c r="AL1021" s="1">
        <f>Table2[[#This Row],[EV Err]]^2</f>
        <v>6.0236435258214014</v>
      </c>
    </row>
    <row r="1022" spans="1:38" x14ac:dyDescent="0.25">
      <c r="A1022" t="s">
        <v>178</v>
      </c>
      <c r="B1022" t="s">
        <v>25</v>
      </c>
      <c r="C1022" t="s">
        <v>14</v>
      </c>
      <c r="K1022" s="25">
        <f>(Table2[[#This Row],[Home Pace]]/100)*(VLOOKUP(Table2[[#This Row],[Home/Neutral]],home_lookup,8,FALSE)+VLOOKUP(Table2[[#This Row],[Home/Neutral]],OFR_lookup,2,FALSE)+VLOOKUP(Table2[[#This Row],[Visitor/Neutral]],def_diff_lookup,6,FALSE))</f>
        <v>105.05630444427257</v>
      </c>
      <c r="L1022" s="25"/>
      <c r="M1022" s="25">
        <f>(Table2[[#This Row],[Away Pace]]/100)*(VLOOKUP(Table2[[#This Row],[Visitor/Neutral]],OFR_lookup,2,FALSE)+VLOOKUP(Table2[[#This Row],[Home/Neutral]],def_diff_lookup,6,FALSE))</f>
        <v>105.00154933333336</v>
      </c>
      <c r="N1022" s="25"/>
      <c r="O1022" s="25"/>
      <c r="P1022">
        <f>VLOOKUP(Table2[[#This Row],[Home/Neutral]],pace_lookup,7,FALSE)</f>
        <v>94.4</v>
      </c>
      <c r="Q1022" s="5">
        <f>VLOOKUP(Table2[[#This Row],[Visitor/Neutral]],pace_lookup,7,FALSE)</f>
        <v>95.9</v>
      </c>
      <c r="R1022" s="9"/>
      <c r="V1022" s="2">
        <f>-home-VLOOKUP(Table2[[#This Row],[Home/Neutral]],rtg_vlookup,4,FALSE)+VLOOKUP(Table2[[#This Row],[Visitor/Neutral]],rtg_vlookup,4,FALSE)</f>
        <v>2.2548815165876688</v>
      </c>
      <c r="W1022" s="25"/>
      <c r="X1022" s="2"/>
      <c r="Y1022" s="2">
        <f>Table2[[#This Row],[Away EV]]-Table2[[#This Row],[Home EV]]</f>
        <v>-5.4755110939211704E-2</v>
      </c>
      <c r="Z1022" s="33"/>
      <c r="AA1022" s="34"/>
      <c r="AB1022" s="5" t="b">
        <f>IF(VLOOKUP(Table2[[#This Row],[Home/Neutral]],division_lookup,9,FALSE)=VLOOKUP(Table2[[#This Row],[Visitor/Neutral]],division_lookup,9,FALSE),TRUE,FALSE)</f>
        <v>0</v>
      </c>
      <c r="AC1022" s="19" t="str">
        <f>VLOOKUP(Table2[[#This Row],[Home/Neutral]],division_lookup,9,FALSE)</f>
        <v>C</v>
      </c>
      <c r="AD1022" s="19"/>
      <c r="AE1022" s="19" t="str">
        <f>IF(Table2[[#This Row],[Total EV ®]]&lt;Table2[[#This Row],[Total (V)]],"UNDER","OVER")</f>
        <v>OVER</v>
      </c>
      <c r="AF1022" s="30">
        <f>Table2[[#This Row],[(A) Spread]]-Table2[[#This Row],[Spread (V)]]</f>
        <v>0</v>
      </c>
      <c r="AG1022" s="19"/>
      <c r="AH1022" s="2">
        <f>Table2[[#This Row],[EV]]-Table2[[#This Row],[Spread (V)]]</f>
        <v>-5.4755110939211704E-2</v>
      </c>
      <c r="AI1022" s="22">
        <f>Table2[[#This Row],[(A)]]-Table2[[#This Row],[Spread]]</f>
        <v>2.2548815165876688</v>
      </c>
      <c r="AJ1022" s="1">
        <f>Table2[[#This Row],[(A) Err]]^2</f>
        <v>5.0844906538487056</v>
      </c>
      <c r="AK1022" s="6">
        <f>Table2[[#This Row],[EV]]-Table2[[#This Row],[Spread]]</f>
        <v>-5.4755110939211704E-2</v>
      </c>
      <c r="AL1022" s="1">
        <f>Table2[[#This Row],[EV Err]]^2</f>
        <v>2.9981221739653814E-3</v>
      </c>
    </row>
    <row r="1023" spans="1:38" x14ac:dyDescent="0.25">
      <c r="A1023" t="s">
        <v>178</v>
      </c>
      <c r="B1023" t="s">
        <v>24</v>
      </c>
      <c r="C1023" t="s">
        <v>30</v>
      </c>
      <c r="K1023" s="25">
        <f>(Table2[[#This Row],[Home Pace]]/100)*(VLOOKUP(Table2[[#This Row],[Home/Neutral]],home_lookup,8,FALSE)+VLOOKUP(Table2[[#This Row],[Home/Neutral]],OFR_lookup,2,FALSE)+VLOOKUP(Table2[[#This Row],[Visitor/Neutral]],def_diff_lookup,6,FALSE))</f>
        <v>111.11457432830942</v>
      </c>
      <c r="L1023" s="25"/>
      <c r="M1023" s="25">
        <f>(Table2[[#This Row],[Away Pace]]/100)*(VLOOKUP(Table2[[#This Row],[Visitor/Neutral]],OFR_lookup,2,FALSE)+VLOOKUP(Table2[[#This Row],[Home/Neutral]],def_diff_lookup,6,FALSE))</f>
        <v>106.18056533333333</v>
      </c>
      <c r="N1023" s="25"/>
      <c r="O1023" s="25"/>
      <c r="P1023">
        <f>VLOOKUP(Table2[[#This Row],[Home/Neutral]],pace_lookup,7,FALSE)</f>
        <v>99.9</v>
      </c>
      <c r="Q1023" s="5">
        <f>VLOOKUP(Table2[[#This Row],[Visitor/Neutral]],pace_lookup,7,FALSE)</f>
        <v>96.8</v>
      </c>
      <c r="R1023" s="9"/>
      <c r="V1023" s="2">
        <f>-home-VLOOKUP(Table2[[#This Row],[Home/Neutral]],rtg_vlookup,4,FALSE)+VLOOKUP(Table2[[#This Row],[Visitor/Neutral]],rtg_vlookup,4,FALSE)</f>
        <v>-5.4951184834123303</v>
      </c>
      <c r="W1023" s="25"/>
      <c r="X1023" s="2"/>
      <c r="Y1023" s="2">
        <f>Table2[[#This Row],[Away EV]]-Table2[[#This Row],[Home EV]]</f>
        <v>-4.9340089949760824</v>
      </c>
      <c r="Z1023" s="33"/>
      <c r="AA1023" s="34"/>
      <c r="AB1023" s="5" t="b">
        <f>IF(VLOOKUP(Table2[[#This Row],[Home/Neutral]],division_lookup,9,FALSE)=VLOOKUP(Table2[[#This Row],[Visitor/Neutral]],division_lookup,9,FALSE),TRUE,FALSE)</f>
        <v>0</v>
      </c>
      <c r="AC1023" s="19" t="str">
        <f>VLOOKUP(Table2[[#This Row],[Home/Neutral]],division_lookup,9,FALSE)</f>
        <v>P</v>
      </c>
      <c r="AD1023" s="19"/>
      <c r="AE1023" s="19" t="str">
        <f>IF(Table2[[#This Row],[Total EV ®]]&lt;Table2[[#This Row],[Total (V)]],"UNDER","OVER")</f>
        <v>OVER</v>
      </c>
      <c r="AF1023" s="30">
        <f>Table2[[#This Row],[(A) Spread]]-Table2[[#This Row],[Spread (V)]]</f>
        <v>0</v>
      </c>
      <c r="AG1023" s="19"/>
      <c r="AH1023" s="2">
        <f>Table2[[#This Row],[EV]]-Table2[[#This Row],[Spread (V)]]</f>
        <v>-4.9340089949760824</v>
      </c>
      <c r="AI1023" s="22">
        <f>Table2[[#This Row],[(A)]]-Table2[[#This Row],[Spread]]</f>
        <v>-5.4951184834123303</v>
      </c>
      <c r="AJ1023" s="1">
        <f>Table2[[#This Row],[(A) Err]]^2</f>
        <v>30.196327146739829</v>
      </c>
      <c r="AK1023" s="6">
        <f>Table2[[#This Row],[EV]]-Table2[[#This Row],[Spread]]</f>
        <v>-4.9340089949760824</v>
      </c>
      <c r="AL1023" s="1">
        <f>Table2[[#This Row],[EV Err]]^2</f>
        <v>24.344444762504889</v>
      </c>
    </row>
    <row r="1024" spans="1:38" x14ac:dyDescent="0.25">
      <c r="A1024" t="s">
        <v>178</v>
      </c>
      <c r="B1024" t="s">
        <v>21</v>
      </c>
      <c r="C1024" t="s">
        <v>22</v>
      </c>
      <c r="K1024" s="25">
        <f>(Table2[[#This Row],[Home Pace]]/100)*(VLOOKUP(Table2[[#This Row],[Home/Neutral]],home_lookup,8,FALSE)+VLOOKUP(Table2[[#This Row],[Home/Neutral]],OFR_lookup,2,FALSE)+VLOOKUP(Table2[[#This Row],[Visitor/Neutral]],def_diff_lookup,6,FALSE))</f>
        <v>105.2748711752439</v>
      </c>
      <c r="L1024" s="25"/>
      <c r="M1024" s="25">
        <f>(Table2[[#This Row],[Away Pace]]/100)*(VLOOKUP(Table2[[#This Row],[Visitor/Neutral]],OFR_lookup,2,FALSE)+VLOOKUP(Table2[[#This Row],[Home/Neutral]],def_diff_lookup,6,FALSE))</f>
        <v>101.77472133333336</v>
      </c>
      <c r="N1024" s="25"/>
      <c r="O1024" s="25"/>
      <c r="P1024">
        <f>VLOOKUP(Table2[[#This Row],[Home/Neutral]],pace_lookup,7,FALSE)</f>
        <v>94.2</v>
      </c>
      <c r="Q1024" s="5">
        <f>VLOOKUP(Table2[[#This Row],[Visitor/Neutral]],pace_lookup,7,FALSE)</f>
        <v>94.7</v>
      </c>
      <c r="R1024" s="9"/>
      <c r="V1024" s="2">
        <f>-home-VLOOKUP(Table2[[#This Row],[Home/Neutral]],rtg_vlookup,4,FALSE)+VLOOKUP(Table2[[#This Row],[Visitor/Neutral]],rtg_vlookup,4,FALSE)</f>
        <v>-1.7251184834123308</v>
      </c>
      <c r="W1024" s="25"/>
      <c r="X1024" s="2"/>
      <c r="Y1024" s="2">
        <f>Table2[[#This Row],[Away EV]]-Table2[[#This Row],[Home EV]]</f>
        <v>-3.5001498419105417</v>
      </c>
      <c r="Z1024" s="33"/>
      <c r="AA1024" s="34"/>
      <c r="AB1024" s="5" t="b">
        <f>IF(VLOOKUP(Table2[[#This Row],[Home/Neutral]],division_lookup,9,FALSE)=VLOOKUP(Table2[[#This Row],[Visitor/Neutral]],division_lookup,9,FALSE),TRUE,FALSE)</f>
        <v>0</v>
      </c>
      <c r="AC1024" s="19" t="str">
        <f>VLOOKUP(Table2[[#This Row],[Home/Neutral]],division_lookup,9,FALSE)</f>
        <v>SE</v>
      </c>
      <c r="AD1024" s="19"/>
      <c r="AE1024" s="19" t="str">
        <f>IF(Table2[[#This Row],[Total EV ®]]&lt;Table2[[#This Row],[Total (V)]],"UNDER","OVER")</f>
        <v>OVER</v>
      </c>
      <c r="AF1024" s="30">
        <f>Table2[[#This Row],[(A) Spread]]-Table2[[#This Row],[Spread (V)]]</f>
        <v>0</v>
      </c>
      <c r="AG1024" s="19"/>
      <c r="AH1024" s="2">
        <f>Table2[[#This Row],[EV]]-Table2[[#This Row],[Spread (V)]]</f>
        <v>-3.5001498419105417</v>
      </c>
      <c r="AI1024" s="22">
        <f>Table2[[#This Row],[(A)]]-Table2[[#This Row],[Spread]]</f>
        <v>-1.7251184834123308</v>
      </c>
      <c r="AJ1024" s="1">
        <f>Table2[[#This Row],[(A) Err]]^2</f>
        <v>2.9760337818108602</v>
      </c>
      <c r="AK1024" s="6">
        <f>Table2[[#This Row],[EV]]-Table2[[#This Row],[Spread]]</f>
        <v>-3.5001498419105417</v>
      </c>
      <c r="AL1024" s="1">
        <f>Table2[[#This Row],[EV Err]]^2</f>
        <v>12.25104891582639</v>
      </c>
    </row>
    <row r="1025" spans="1:38" x14ac:dyDescent="0.25">
      <c r="A1025" t="s">
        <v>178</v>
      </c>
      <c r="B1025" t="s">
        <v>34</v>
      </c>
      <c r="C1025" t="s">
        <v>17</v>
      </c>
      <c r="K1025" s="25">
        <f>(Table2[[#This Row],[Home Pace]]/100)*(VLOOKUP(Table2[[#This Row],[Home/Neutral]],home_lookup,8,FALSE)+VLOOKUP(Table2[[#This Row],[Home/Neutral]],OFR_lookup,2,FALSE)+VLOOKUP(Table2[[#This Row],[Visitor/Neutral]],def_diff_lookup,6,FALSE))</f>
        <v>108.13831864565556</v>
      </c>
      <c r="L1025" s="25"/>
      <c r="M1025" s="25">
        <f>(Table2[[#This Row],[Away Pace]]/100)*(VLOOKUP(Table2[[#This Row],[Visitor/Neutral]],OFR_lookup,2,FALSE)+VLOOKUP(Table2[[#This Row],[Home/Neutral]],def_diff_lookup,6,FALSE))</f>
        <v>109.82283466666668</v>
      </c>
      <c r="N1025" s="25"/>
      <c r="O1025" s="25"/>
      <c r="P1025">
        <f>VLOOKUP(Table2[[#This Row],[Home/Neutral]],pace_lookup,7,FALSE)</f>
        <v>98.8</v>
      </c>
      <c r="Q1025" s="5">
        <f>VLOOKUP(Table2[[#This Row],[Visitor/Neutral]],pace_lookup,7,FALSE)</f>
        <v>96.7</v>
      </c>
      <c r="R1025" s="9"/>
      <c r="V1025" s="2">
        <f>-home-VLOOKUP(Table2[[#This Row],[Home/Neutral]],rtg_vlookup,4,FALSE)+VLOOKUP(Table2[[#This Row],[Visitor/Neutral]],rtg_vlookup,4,FALSE)</f>
        <v>6.5448815165876697</v>
      </c>
      <c r="W1025" s="25"/>
      <c r="X1025" s="2"/>
      <c r="Y1025" s="2">
        <f>Table2[[#This Row],[Away EV]]-Table2[[#This Row],[Home EV]]</f>
        <v>1.6845160210111203</v>
      </c>
      <c r="Z1025" s="33"/>
      <c r="AA1025" s="34"/>
      <c r="AB1025" s="5" t="b">
        <f>IF(VLOOKUP(Table2[[#This Row],[Home/Neutral]],division_lookup,9,FALSE)=VLOOKUP(Table2[[#This Row],[Visitor/Neutral]],division_lookup,9,FALSE),TRUE,FALSE)</f>
        <v>1</v>
      </c>
      <c r="AC1025" s="19" t="str">
        <f>VLOOKUP(Table2[[#This Row],[Home/Neutral]],division_lookup,9,FALSE)</f>
        <v>SW</v>
      </c>
      <c r="AD1025" s="19"/>
      <c r="AE1025" s="19" t="str">
        <f>IF(Table2[[#This Row],[Total EV ®]]&lt;Table2[[#This Row],[Total (V)]],"UNDER","OVER")</f>
        <v>OVER</v>
      </c>
      <c r="AF1025" s="30">
        <f>Table2[[#This Row],[(A) Spread]]-Table2[[#This Row],[Spread (V)]]</f>
        <v>0</v>
      </c>
      <c r="AG1025" s="19"/>
      <c r="AH1025" s="2">
        <f>Table2[[#This Row],[EV]]-Table2[[#This Row],[Spread (V)]]</f>
        <v>1.6845160210111203</v>
      </c>
      <c r="AI1025" s="22">
        <f>Table2[[#This Row],[(A)]]-Table2[[#This Row],[Spread]]</f>
        <v>6.5448815165876697</v>
      </c>
      <c r="AJ1025" s="1">
        <f>Table2[[#This Row],[(A) Err]]^2</f>
        <v>42.835474066170917</v>
      </c>
      <c r="AK1025" s="6">
        <f>Table2[[#This Row],[EV]]-Table2[[#This Row],[Spread]]</f>
        <v>1.6845160210111203</v>
      </c>
      <c r="AL1025" s="1">
        <f>Table2[[#This Row],[EV Err]]^2</f>
        <v>2.8375942250431372</v>
      </c>
    </row>
    <row r="1026" spans="1:38" x14ac:dyDescent="0.25">
      <c r="A1026" t="s">
        <v>178</v>
      </c>
      <c r="B1026" t="s">
        <v>39</v>
      </c>
      <c r="C1026" t="s">
        <v>37</v>
      </c>
      <c r="K1026" s="25">
        <f>(Table2[[#This Row],[Home Pace]]/100)*(VLOOKUP(Table2[[#This Row],[Home/Neutral]],home_lookup,8,FALSE)+VLOOKUP(Table2[[#This Row],[Home/Neutral]],OFR_lookup,2,FALSE)+VLOOKUP(Table2[[#This Row],[Visitor/Neutral]],def_diff_lookup,6,FALSE))</f>
        <v>104.35427211468578</v>
      </c>
      <c r="L1026" s="25"/>
      <c r="M1026" s="25">
        <f>(Table2[[#This Row],[Away Pace]]/100)*(VLOOKUP(Table2[[#This Row],[Visitor/Neutral]],OFR_lookup,2,FALSE)+VLOOKUP(Table2[[#This Row],[Home/Neutral]],def_diff_lookup,6,FALSE))</f>
        <v>90.976994000000005</v>
      </c>
      <c r="N1026" s="25"/>
      <c r="O1026" s="25"/>
      <c r="P1026">
        <f>VLOOKUP(Table2[[#This Row],[Home/Neutral]],pace_lookup,7,FALSE)</f>
        <v>97.5</v>
      </c>
      <c r="Q1026" s="5">
        <f>VLOOKUP(Table2[[#This Row],[Visitor/Neutral]],pace_lookup,7,FALSE)</f>
        <v>92.1</v>
      </c>
      <c r="R1026" s="9"/>
      <c r="V1026" s="2">
        <f>-home-VLOOKUP(Table2[[#This Row],[Home/Neutral]],rtg_vlookup,4,FALSE)+VLOOKUP(Table2[[#This Row],[Visitor/Neutral]],rtg_vlookup,4,FALSE)</f>
        <v>-0.93511848341233161</v>
      </c>
      <c r="W1026" s="25"/>
      <c r="X1026" s="2"/>
      <c r="Y1026" s="2">
        <f>Table2[[#This Row],[Away EV]]-Table2[[#This Row],[Home EV]]</f>
        <v>-13.37727811468578</v>
      </c>
      <c r="Z1026" s="33"/>
      <c r="AA1026" s="34"/>
      <c r="AB1026" s="5" t="b">
        <f>IF(VLOOKUP(Table2[[#This Row],[Home/Neutral]],division_lookup,9,FALSE)=VLOOKUP(Table2[[#This Row],[Visitor/Neutral]],division_lookup,9,FALSE),TRUE,FALSE)</f>
        <v>0</v>
      </c>
      <c r="AC1026" s="19" t="str">
        <f>VLOOKUP(Table2[[#This Row],[Home/Neutral]],division_lookup,9,FALSE)</f>
        <v>A</v>
      </c>
      <c r="AD1026" s="19"/>
      <c r="AE1026" s="19" t="str">
        <f>IF(Table2[[#This Row],[Total EV ®]]&lt;Table2[[#This Row],[Total (V)]],"UNDER","OVER")</f>
        <v>OVER</v>
      </c>
      <c r="AF1026" s="30">
        <f>Table2[[#This Row],[(A) Spread]]-Table2[[#This Row],[Spread (V)]]</f>
        <v>0</v>
      </c>
      <c r="AG1026" s="19"/>
      <c r="AH1026" s="2">
        <f>Table2[[#This Row],[EV]]-Table2[[#This Row],[Spread (V)]]</f>
        <v>-13.37727811468578</v>
      </c>
      <c r="AI1026" s="22">
        <f>Table2[[#This Row],[(A)]]-Table2[[#This Row],[Spread]]</f>
        <v>-0.93511848341233161</v>
      </c>
      <c r="AJ1026" s="1">
        <f>Table2[[#This Row],[(A) Err]]^2</f>
        <v>0.87444657801937908</v>
      </c>
      <c r="AK1026" s="6">
        <f>Table2[[#This Row],[EV]]-Table2[[#This Row],[Spread]]</f>
        <v>-13.37727811468578</v>
      </c>
      <c r="AL1026" s="1">
        <f>Table2[[#This Row],[EV Err]]^2</f>
        <v>178.95156975765113</v>
      </c>
    </row>
    <row r="1027" spans="1:38" x14ac:dyDescent="0.25">
      <c r="A1027" t="s">
        <v>178</v>
      </c>
      <c r="B1027" t="s">
        <v>36</v>
      </c>
      <c r="C1027" t="s">
        <v>38</v>
      </c>
      <c r="K1027" s="25">
        <f>(Table2[[#This Row],[Home Pace]]/100)*(VLOOKUP(Table2[[#This Row],[Home/Neutral]],home_lookup,8,FALSE)+VLOOKUP(Table2[[#This Row],[Home/Neutral]],OFR_lookup,2,FALSE)+VLOOKUP(Table2[[#This Row],[Visitor/Neutral]],def_diff_lookup,6,FALSE))</f>
        <v>108.61681156604043</v>
      </c>
      <c r="L1027" s="25"/>
      <c r="M1027" s="25">
        <f>(Table2[[#This Row],[Away Pace]]/100)*(VLOOKUP(Table2[[#This Row],[Visitor/Neutral]],OFR_lookup,2,FALSE)+VLOOKUP(Table2[[#This Row],[Home/Neutral]],def_diff_lookup,6,FALSE))</f>
        <v>95.698408000000015</v>
      </c>
      <c r="N1027" s="25"/>
      <c r="O1027" s="25"/>
      <c r="P1027">
        <f>VLOOKUP(Table2[[#This Row],[Home/Neutral]],pace_lookup,7,FALSE)</f>
        <v>102.2</v>
      </c>
      <c r="Q1027" s="5">
        <f>VLOOKUP(Table2[[#This Row],[Visitor/Neutral]],pace_lookup,7,FALSE)</f>
        <v>94.2</v>
      </c>
      <c r="R1027" s="9"/>
      <c r="V1027" s="2">
        <f>-home-VLOOKUP(Table2[[#This Row],[Home/Neutral]],rtg_vlookup,4,FALSE)+VLOOKUP(Table2[[#This Row],[Visitor/Neutral]],rtg_vlookup,4,FALSE)</f>
        <v>-5.2151184834123301</v>
      </c>
      <c r="W1027" s="25"/>
      <c r="X1027" s="2"/>
      <c r="Y1027" s="2">
        <f>Table2[[#This Row],[Away EV]]-Table2[[#This Row],[Home EV]]</f>
        <v>-12.918403566040411</v>
      </c>
      <c r="Z1027" s="33"/>
      <c r="AA1027" s="34"/>
      <c r="AB1027" s="5" t="b">
        <f>IF(VLOOKUP(Table2[[#This Row],[Home/Neutral]],division_lookup,9,FALSE)=VLOOKUP(Table2[[#This Row],[Visitor/Neutral]],division_lookup,9,FALSE),TRUE,FALSE)</f>
        <v>0</v>
      </c>
      <c r="AC1027" s="19" t="str">
        <f>VLOOKUP(Table2[[#This Row],[Home/Neutral]],division_lookup,9,FALSE)</f>
        <v>P</v>
      </c>
      <c r="AD1027" s="19"/>
      <c r="AE1027" s="19" t="str">
        <f>IF(Table2[[#This Row],[Total EV ®]]&lt;Table2[[#This Row],[Total (V)]],"UNDER","OVER")</f>
        <v>OVER</v>
      </c>
      <c r="AF1027" s="30">
        <f>Table2[[#This Row],[(A) Spread]]-Table2[[#This Row],[Spread (V)]]</f>
        <v>0</v>
      </c>
      <c r="AG1027" s="19"/>
      <c r="AH1027" s="2">
        <f>Table2[[#This Row],[EV]]-Table2[[#This Row],[Spread (V)]]</f>
        <v>-12.918403566040411</v>
      </c>
      <c r="AI1027" s="22">
        <f>Table2[[#This Row],[(A)]]-Table2[[#This Row],[Spread]]</f>
        <v>-5.2151184834123301</v>
      </c>
      <c r="AJ1027" s="1">
        <f>Table2[[#This Row],[(A) Err]]^2</f>
        <v>27.197460796028921</v>
      </c>
      <c r="AK1027" s="6">
        <f>Table2[[#This Row],[EV]]-Table2[[#This Row],[Spread]]</f>
        <v>-12.918403566040411</v>
      </c>
      <c r="AL1027" s="1">
        <f>Table2[[#This Row],[EV Err]]^2</f>
        <v>166.8851506950856</v>
      </c>
    </row>
    <row r="1028" spans="1:38" x14ac:dyDescent="0.25">
      <c r="A1028" t="s">
        <v>178</v>
      </c>
      <c r="B1028" t="s">
        <v>28</v>
      </c>
      <c r="C1028" t="s">
        <v>13</v>
      </c>
      <c r="K1028" s="25">
        <f>(Table2[[#This Row],[Home Pace]]/100)*(VLOOKUP(Table2[[#This Row],[Home/Neutral]],home_lookup,8,FALSE)+VLOOKUP(Table2[[#This Row],[Home/Neutral]],OFR_lookup,2,FALSE)+VLOOKUP(Table2[[#This Row],[Visitor/Neutral]],def_diff_lookup,6,FALSE))</f>
        <v>107.66057553204274</v>
      </c>
      <c r="L1028" s="25"/>
      <c r="M1028" s="25">
        <f>(Table2[[#This Row],[Away Pace]]/100)*(VLOOKUP(Table2[[#This Row],[Visitor/Neutral]],OFR_lookup,2,FALSE)+VLOOKUP(Table2[[#This Row],[Home/Neutral]],def_diff_lookup,6,FALSE))</f>
        <v>107.95743000000002</v>
      </c>
      <c r="N1028" s="25"/>
      <c r="O1028" s="25"/>
      <c r="P1028">
        <f>VLOOKUP(Table2[[#This Row],[Home/Neutral]],pace_lookup,7,FALSE)</f>
        <v>96.3</v>
      </c>
      <c r="Q1028" s="5">
        <f>VLOOKUP(Table2[[#This Row],[Visitor/Neutral]],pace_lookup,7,FALSE)</f>
        <v>94.5</v>
      </c>
      <c r="R1028" s="9"/>
      <c r="V1028" s="2">
        <f>-home-VLOOKUP(Table2[[#This Row],[Home/Neutral]],rtg_vlookup,4,FALSE)+VLOOKUP(Table2[[#This Row],[Visitor/Neutral]],rtg_vlookup,4,FALSE)</f>
        <v>4.8248815165876691</v>
      </c>
      <c r="W1028" s="25"/>
      <c r="X1028" s="2"/>
      <c r="Y1028" s="2">
        <f>Table2[[#This Row],[Away EV]]-Table2[[#This Row],[Home EV]]</f>
        <v>0.29685446795727444</v>
      </c>
      <c r="Z1028" s="33"/>
      <c r="AA1028" s="34"/>
      <c r="AB1028" s="5" t="b">
        <f>IF(VLOOKUP(Table2[[#This Row],[Home/Neutral]],division_lookup,9,FALSE)=VLOOKUP(Table2[[#This Row],[Visitor/Neutral]],division_lookup,9,FALSE),TRUE,FALSE)</f>
        <v>0</v>
      </c>
      <c r="AC1028" s="19" t="str">
        <f>VLOOKUP(Table2[[#This Row],[Home/Neutral]],division_lookup,9,FALSE)</f>
        <v>SE</v>
      </c>
      <c r="AD1028" s="19"/>
      <c r="AE1028" s="19" t="str">
        <f>IF(Table2[[#This Row],[Total EV ®]]&lt;Table2[[#This Row],[Total (V)]],"UNDER","OVER")</f>
        <v>OVER</v>
      </c>
      <c r="AF1028" s="30">
        <f>Table2[[#This Row],[(A) Spread]]-Table2[[#This Row],[Spread (V)]]</f>
        <v>0</v>
      </c>
      <c r="AG1028" s="19"/>
      <c r="AH1028" s="2">
        <f>Table2[[#This Row],[EV]]-Table2[[#This Row],[Spread (V)]]</f>
        <v>0.29685446795727444</v>
      </c>
      <c r="AI1028" s="22">
        <f>Table2[[#This Row],[(A)]]-Table2[[#This Row],[Spread]]</f>
        <v>4.8248815165876691</v>
      </c>
      <c r="AJ1028" s="1">
        <f>Table2[[#This Row],[(A) Err]]^2</f>
        <v>23.279481649109325</v>
      </c>
      <c r="AK1028" s="6">
        <f>Table2[[#This Row],[EV]]-Table2[[#This Row],[Spread]]</f>
        <v>0.29685446795727444</v>
      </c>
      <c r="AL1028" s="1">
        <f>Table2[[#This Row],[EV Err]]^2</f>
        <v>8.812257514619648E-2</v>
      </c>
    </row>
    <row r="1029" spans="1:38" x14ac:dyDescent="0.25">
      <c r="A1029" t="s">
        <v>179</v>
      </c>
      <c r="B1029" t="s">
        <v>11</v>
      </c>
      <c r="C1029" t="s">
        <v>32</v>
      </c>
      <c r="K1029" s="25">
        <f>(Table2[[#This Row],[Home Pace]]/100)*(VLOOKUP(Table2[[#This Row],[Home/Neutral]],home_lookup,8,FALSE)+VLOOKUP(Table2[[#This Row],[Home/Neutral]],OFR_lookup,2,FALSE)+VLOOKUP(Table2[[#This Row],[Visitor/Neutral]],def_diff_lookup,6,FALSE))</f>
        <v>103.55519904407282</v>
      </c>
      <c r="L1029" s="25"/>
      <c r="M1029" s="25">
        <f>(Table2[[#This Row],[Away Pace]]/100)*(VLOOKUP(Table2[[#This Row],[Visitor/Neutral]],OFR_lookup,2,FALSE)+VLOOKUP(Table2[[#This Row],[Home/Neutral]],def_diff_lookup,6,FALSE))</f>
        <v>99.271137333333343</v>
      </c>
      <c r="N1029" s="25"/>
      <c r="O1029" s="25"/>
      <c r="P1029">
        <f>VLOOKUP(Table2[[#This Row],[Home/Neutral]],pace_lookup,7,FALSE)</f>
        <v>99.7</v>
      </c>
      <c r="Q1029" s="5">
        <f>VLOOKUP(Table2[[#This Row],[Visitor/Neutral]],pace_lookup,7,FALSE)</f>
        <v>98.6</v>
      </c>
      <c r="R1029" s="9"/>
      <c r="V1029" s="2">
        <f>-home-VLOOKUP(Table2[[#This Row],[Home/Neutral]],rtg_vlookup,4,FALSE)+VLOOKUP(Table2[[#This Row],[Visitor/Neutral]],rtg_vlookup,4,FALSE)</f>
        <v>-11.92511848341233</v>
      </c>
      <c r="W1029" s="25"/>
      <c r="X1029" s="2"/>
      <c r="Y1029" s="2">
        <f>Table2[[#This Row],[Away EV]]-Table2[[#This Row],[Home EV]]</f>
        <v>-4.2840617107394792</v>
      </c>
      <c r="Z1029" s="33"/>
      <c r="AA1029" s="34"/>
      <c r="AB1029" s="5" t="b">
        <f>IF(VLOOKUP(Table2[[#This Row],[Home/Neutral]],division_lookup,9,FALSE)=VLOOKUP(Table2[[#This Row],[Visitor/Neutral]],division_lookup,9,FALSE),TRUE,FALSE)</f>
        <v>0</v>
      </c>
      <c r="AC1029" s="19" t="str">
        <f>VLOOKUP(Table2[[#This Row],[Home/Neutral]],division_lookup,9,FALSE)</f>
        <v>SE</v>
      </c>
      <c r="AD1029" s="19"/>
      <c r="AE1029" s="19" t="str">
        <f>IF(Table2[[#This Row],[Total EV ®]]&lt;Table2[[#This Row],[Total (V)]],"UNDER","OVER")</f>
        <v>OVER</v>
      </c>
      <c r="AF1029" s="30">
        <f>Table2[[#This Row],[(A) Spread]]-Table2[[#This Row],[Spread (V)]]</f>
        <v>0</v>
      </c>
      <c r="AG1029" s="19"/>
      <c r="AH1029" s="2">
        <f>Table2[[#This Row],[EV]]-Table2[[#This Row],[Spread (V)]]</f>
        <v>-4.2840617107394792</v>
      </c>
      <c r="AI1029" s="22">
        <f>Table2[[#This Row],[(A)]]-Table2[[#This Row],[Spread]]</f>
        <v>-11.92511848341233</v>
      </c>
      <c r="AJ1029" s="1">
        <f>Table2[[#This Row],[(A) Err]]^2</f>
        <v>142.20845084342238</v>
      </c>
      <c r="AK1029" s="6">
        <f>Table2[[#This Row],[EV]]-Table2[[#This Row],[Spread]]</f>
        <v>-4.2840617107394792</v>
      </c>
      <c r="AL1029" s="1">
        <f>Table2[[#This Row],[EV Err]]^2</f>
        <v>18.353184741424073</v>
      </c>
    </row>
    <row r="1030" spans="1:38" x14ac:dyDescent="0.25">
      <c r="A1030" t="s">
        <v>179</v>
      </c>
      <c r="B1030" t="s">
        <v>13</v>
      </c>
      <c r="C1030" t="s">
        <v>20</v>
      </c>
      <c r="K1030" s="25">
        <f>(Table2[[#This Row],[Home Pace]]/100)*(VLOOKUP(Table2[[#This Row],[Home/Neutral]],home_lookup,8,FALSE)+VLOOKUP(Table2[[#This Row],[Home/Neutral]],OFR_lookup,2,FALSE)+VLOOKUP(Table2[[#This Row],[Visitor/Neutral]],def_diff_lookup,6,FALSE))</f>
        <v>104.01244108450402</v>
      </c>
      <c r="L1030" s="25"/>
      <c r="M1030" s="25">
        <f>(Table2[[#This Row],[Away Pace]]/100)*(VLOOKUP(Table2[[#This Row],[Visitor/Neutral]],OFR_lookup,2,FALSE)+VLOOKUP(Table2[[#This Row],[Home/Neutral]],def_diff_lookup,6,FALSE))</f>
        <v>96.272796000000014</v>
      </c>
      <c r="N1030" s="25"/>
      <c r="O1030" s="25"/>
      <c r="P1030">
        <f>VLOOKUP(Table2[[#This Row],[Home/Neutral]],pace_lookup,7,FALSE)</f>
        <v>94.5</v>
      </c>
      <c r="Q1030" s="5">
        <f>VLOOKUP(Table2[[#This Row],[Visitor/Neutral]],pace_lookup,7,FALSE)</f>
        <v>90.9</v>
      </c>
      <c r="R1030" s="9"/>
      <c r="V1030" s="2">
        <f>-home-VLOOKUP(Table2[[#This Row],[Home/Neutral]],rtg_vlookup,4,FALSE)+VLOOKUP(Table2[[#This Row],[Visitor/Neutral]],rtg_vlookup,4,FALSE)</f>
        <v>-6.6251184834123311</v>
      </c>
      <c r="W1030" s="25"/>
      <c r="X1030" s="2"/>
      <c r="Y1030" s="2">
        <f>Table2[[#This Row],[Away EV]]-Table2[[#This Row],[Home EV]]</f>
        <v>-7.739645084504005</v>
      </c>
      <c r="Z1030" s="33"/>
      <c r="AA1030" s="34"/>
      <c r="AB1030" s="5" t="b">
        <f>IF(VLOOKUP(Table2[[#This Row],[Home/Neutral]],division_lookup,9,FALSE)=VLOOKUP(Table2[[#This Row],[Visitor/Neutral]],division_lookup,9,FALSE),TRUE,FALSE)</f>
        <v>0</v>
      </c>
      <c r="AC1030" s="19" t="str">
        <f>VLOOKUP(Table2[[#This Row],[Home/Neutral]],division_lookup,9,FALSE)</f>
        <v>C</v>
      </c>
      <c r="AD1030" s="19"/>
      <c r="AE1030" s="19" t="str">
        <f>IF(Table2[[#This Row],[Total EV ®]]&lt;Table2[[#This Row],[Total (V)]],"UNDER","OVER")</f>
        <v>OVER</v>
      </c>
      <c r="AF1030" s="30">
        <f>Table2[[#This Row],[(A) Spread]]-Table2[[#This Row],[Spread (V)]]</f>
        <v>0</v>
      </c>
      <c r="AG1030" s="19"/>
      <c r="AH1030" s="2">
        <f>Table2[[#This Row],[EV]]-Table2[[#This Row],[Spread (V)]]</f>
        <v>-7.739645084504005</v>
      </c>
      <c r="AI1030" s="22">
        <f>Table2[[#This Row],[(A)]]-Table2[[#This Row],[Spread]]</f>
        <v>-6.6251184834123311</v>
      </c>
      <c r="AJ1030" s="1">
        <f>Table2[[#This Row],[(A) Err]]^2</f>
        <v>43.892194919251708</v>
      </c>
      <c r="AK1030" s="6">
        <f>Table2[[#This Row],[EV]]-Table2[[#This Row],[Spread]]</f>
        <v>-7.739645084504005</v>
      </c>
      <c r="AL1030" s="1">
        <f>Table2[[#This Row],[EV Err]]^2</f>
        <v>59.902106034087005</v>
      </c>
    </row>
    <row r="1031" spans="1:38" x14ac:dyDescent="0.25">
      <c r="A1031" t="s">
        <v>179</v>
      </c>
      <c r="B1031" t="s">
        <v>16</v>
      </c>
      <c r="C1031" t="s">
        <v>28</v>
      </c>
      <c r="K1031" s="25">
        <f>(Table2[[#This Row],[Home Pace]]/100)*(VLOOKUP(Table2[[#This Row],[Home/Neutral]],home_lookup,8,FALSE)+VLOOKUP(Table2[[#This Row],[Home/Neutral]],OFR_lookup,2,FALSE)+VLOOKUP(Table2[[#This Row],[Visitor/Neutral]],def_diff_lookup,6,FALSE))</f>
        <v>106.61960601115952</v>
      </c>
      <c r="L1031" s="25"/>
      <c r="M1031" s="25">
        <f>(Table2[[#This Row],[Away Pace]]/100)*(VLOOKUP(Table2[[#This Row],[Visitor/Neutral]],OFR_lookup,2,FALSE)+VLOOKUP(Table2[[#This Row],[Home/Neutral]],def_diff_lookup,6,FALSE))</f>
        <v>101.70307200000001</v>
      </c>
      <c r="N1031" s="25"/>
      <c r="O1031" s="25"/>
      <c r="P1031">
        <f>VLOOKUP(Table2[[#This Row],[Home/Neutral]],pace_lookup,7,FALSE)</f>
        <v>97.5</v>
      </c>
      <c r="Q1031" s="5">
        <f>VLOOKUP(Table2[[#This Row],[Visitor/Neutral]],pace_lookup,7,FALSE)</f>
        <v>96.3</v>
      </c>
      <c r="R1031" s="9"/>
      <c r="V1031" s="2">
        <f>-home-VLOOKUP(Table2[[#This Row],[Home/Neutral]],rtg_vlookup,4,FALSE)+VLOOKUP(Table2[[#This Row],[Visitor/Neutral]],rtg_vlookup,4,FALSE)</f>
        <v>-7.255118483412331</v>
      </c>
      <c r="W1031" s="25"/>
      <c r="X1031" s="2"/>
      <c r="Y1031" s="2">
        <f>Table2[[#This Row],[Away EV]]-Table2[[#This Row],[Home EV]]</f>
        <v>-4.9165340111595128</v>
      </c>
      <c r="Z1031" s="33"/>
      <c r="AA1031" s="34"/>
      <c r="AB1031" s="5" t="b">
        <f>IF(VLOOKUP(Table2[[#This Row],[Home/Neutral]],division_lookup,9,FALSE)=VLOOKUP(Table2[[#This Row],[Visitor/Neutral]],division_lookup,9,FALSE),TRUE,FALSE)</f>
        <v>1</v>
      </c>
      <c r="AC1031" s="19" t="str">
        <f>VLOOKUP(Table2[[#This Row],[Home/Neutral]],division_lookup,9,FALSE)</f>
        <v>SE</v>
      </c>
      <c r="AD1031" s="19"/>
      <c r="AE1031" s="19" t="str">
        <f>IF(Table2[[#This Row],[Total EV ®]]&lt;Table2[[#This Row],[Total (V)]],"UNDER","OVER")</f>
        <v>OVER</v>
      </c>
      <c r="AF1031" s="30">
        <f>Table2[[#This Row],[(A) Spread]]-Table2[[#This Row],[Spread (V)]]</f>
        <v>0</v>
      </c>
      <c r="AG1031" s="19"/>
      <c r="AH1031" s="2">
        <f>Table2[[#This Row],[EV]]-Table2[[#This Row],[Spread (V)]]</f>
        <v>-4.9165340111595128</v>
      </c>
      <c r="AI1031" s="22">
        <f>Table2[[#This Row],[(A)]]-Table2[[#This Row],[Spread]]</f>
        <v>-7.255118483412331</v>
      </c>
      <c r="AJ1031" s="1">
        <f>Table2[[#This Row],[(A) Err]]^2</f>
        <v>52.636744208351239</v>
      </c>
      <c r="AK1031" s="6">
        <f>Table2[[#This Row],[EV]]-Table2[[#This Row],[Spread]]</f>
        <v>-4.9165340111595128</v>
      </c>
      <c r="AL1031" s="1">
        <f>Table2[[#This Row],[EV Err]]^2</f>
        <v>24.172306682888248</v>
      </c>
    </row>
    <row r="1032" spans="1:38" x14ac:dyDescent="0.25">
      <c r="A1032" t="s">
        <v>179</v>
      </c>
      <c r="B1032" t="s">
        <v>27</v>
      </c>
      <c r="C1032" t="s">
        <v>17</v>
      </c>
      <c r="K1032" s="25">
        <f>(Table2[[#This Row],[Home Pace]]/100)*(VLOOKUP(Table2[[#This Row],[Home/Neutral]],home_lookup,8,FALSE)+VLOOKUP(Table2[[#This Row],[Home/Neutral]],OFR_lookup,2,FALSE)+VLOOKUP(Table2[[#This Row],[Visitor/Neutral]],def_diff_lookup,6,FALSE))</f>
        <v>107.80245642647257</v>
      </c>
      <c r="L1032" s="25"/>
      <c r="M1032" s="25">
        <f>(Table2[[#This Row],[Away Pace]]/100)*(VLOOKUP(Table2[[#This Row],[Visitor/Neutral]],OFR_lookup,2,FALSE)+VLOOKUP(Table2[[#This Row],[Home/Neutral]],def_diff_lookup,6,FALSE))</f>
        <v>109.66811466666668</v>
      </c>
      <c r="N1032" s="25"/>
      <c r="O1032" s="25"/>
      <c r="P1032">
        <f>VLOOKUP(Table2[[#This Row],[Home/Neutral]],pace_lookup,7,FALSE)</f>
        <v>99</v>
      </c>
      <c r="Q1032" s="5">
        <f>VLOOKUP(Table2[[#This Row],[Visitor/Neutral]],pace_lookup,7,FALSE)</f>
        <v>96.7</v>
      </c>
      <c r="R1032" s="9"/>
      <c r="V1032" s="2">
        <f>-home-VLOOKUP(Table2[[#This Row],[Home/Neutral]],rtg_vlookup,4,FALSE)+VLOOKUP(Table2[[#This Row],[Visitor/Neutral]],rtg_vlookup,4,FALSE)</f>
        <v>2.1048815165876693</v>
      </c>
      <c r="W1032" s="25"/>
      <c r="X1032" s="2"/>
      <c r="Y1032" s="2">
        <f>Table2[[#This Row],[Away EV]]-Table2[[#This Row],[Home EV]]</f>
        <v>1.865658240194108</v>
      </c>
      <c r="Z1032" s="33"/>
      <c r="AA1032" s="34"/>
      <c r="AB1032" s="5" t="b">
        <f>IF(VLOOKUP(Table2[[#This Row],[Home/Neutral]],division_lookup,9,FALSE)=VLOOKUP(Table2[[#This Row],[Visitor/Neutral]],division_lookup,9,FALSE),TRUE,FALSE)</f>
        <v>0</v>
      </c>
      <c r="AC1032" s="19" t="str">
        <f>VLOOKUP(Table2[[#This Row],[Home/Neutral]],division_lookup,9,FALSE)</f>
        <v>NW</v>
      </c>
      <c r="AD1032" s="19"/>
      <c r="AE1032" s="19" t="str">
        <f>IF(Table2[[#This Row],[Total EV ®]]&lt;Table2[[#This Row],[Total (V)]],"UNDER","OVER")</f>
        <v>OVER</v>
      </c>
      <c r="AF1032" s="30">
        <f>Table2[[#This Row],[(A) Spread]]-Table2[[#This Row],[Spread (V)]]</f>
        <v>0</v>
      </c>
      <c r="AG1032" s="19"/>
      <c r="AH1032" s="2">
        <f>Table2[[#This Row],[EV]]-Table2[[#This Row],[Spread (V)]]</f>
        <v>1.865658240194108</v>
      </c>
      <c r="AI1032" s="22">
        <f>Table2[[#This Row],[(A)]]-Table2[[#This Row],[Spread]]</f>
        <v>2.1048815165876693</v>
      </c>
      <c r="AJ1032" s="1">
        <f>Table2[[#This Row],[(A) Err]]^2</f>
        <v>4.430526198872407</v>
      </c>
      <c r="AK1032" s="6">
        <f>Table2[[#This Row],[EV]]-Table2[[#This Row],[Spread]]</f>
        <v>1.865658240194108</v>
      </c>
      <c r="AL1032" s="1">
        <f>Table2[[#This Row],[EV Err]]^2</f>
        <v>3.4806806692041761</v>
      </c>
    </row>
    <row r="1033" spans="1:38" x14ac:dyDescent="0.25">
      <c r="A1033" t="s">
        <v>179</v>
      </c>
      <c r="B1033" t="s">
        <v>10</v>
      </c>
      <c r="C1033" t="s">
        <v>30</v>
      </c>
      <c r="K1033" s="25">
        <f>(Table2[[#This Row],[Home Pace]]/100)*(VLOOKUP(Table2[[#This Row],[Home/Neutral]],home_lookup,8,FALSE)+VLOOKUP(Table2[[#This Row],[Home/Neutral]],OFR_lookup,2,FALSE)+VLOOKUP(Table2[[#This Row],[Visitor/Neutral]],def_diff_lookup,6,FALSE))</f>
        <v>109.13212853790561</v>
      </c>
      <c r="L1033" s="25"/>
      <c r="M1033" s="25">
        <f>(Table2[[#This Row],[Away Pace]]/100)*(VLOOKUP(Table2[[#This Row],[Visitor/Neutral]],OFR_lookup,2,FALSE)+VLOOKUP(Table2[[#This Row],[Home/Neutral]],def_diff_lookup,6,FALSE))</f>
        <v>103.86704533333334</v>
      </c>
      <c r="N1033" s="25"/>
      <c r="O1033" s="25"/>
      <c r="P1033">
        <f>VLOOKUP(Table2[[#This Row],[Home/Neutral]],pace_lookup,7,FALSE)</f>
        <v>100.3</v>
      </c>
      <c r="Q1033" s="5">
        <f>VLOOKUP(Table2[[#This Row],[Visitor/Neutral]],pace_lookup,7,FALSE)</f>
        <v>96.8</v>
      </c>
      <c r="R1033" s="9"/>
      <c r="V1033" s="2">
        <f>-home-VLOOKUP(Table2[[#This Row],[Home/Neutral]],rtg_vlookup,4,FALSE)+VLOOKUP(Table2[[#This Row],[Visitor/Neutral]],rtg_vlookup,4,FALSE)</f>
        <v>-13.715118483412331</v>
      </c>
      <c r="W1033" s="25"/>
      <c r="X1033" s="2"/>
      <c r="Y1033" s="2">
        <f>Table2[[#This Row],[Away EV]]-Table2[[#This Row],[Home EV]]</f>
        <v>-5.265083204572278</v>
      </c>
      <c r="Z1033" s="33"/>
      <c r="AA1033" s="34"/>
      <c r="AB1033" s="5" t="b">
        <f>IF(VLOOKUP(Table2[[#This Row],[Home/Neutral]],division_lookup,9,FALSE)=VLOOKUP(Table2[[#This Row],[Visitor/Neutral]],division_lookup,9,FALSE),TRUE,FALSE)</f>
        <v>0</v>
      </c>
      <c r="AC1033" s="19" t="str">
        <f>VLOOKUP(Table2[[#This Row],[Home/Neutral]],division_lookup,9,FALSE)</f>
        <v>P</v>
      </c>
      <c r="AD1033" s="19"/>
      <c r="AE1033" s="19" t="str">
        <f>IF(Table2[[#This Row],[Total EV ®]]&lt;Table2[[#This Row],[Total (V)]],"UNDER","OVER")</f>
        <v>OVER</v>
      </c>
      <c r="AF1033" s="30">
        <f>Table2[[#This Row],[(A) Spread]]-Table2[[#This Row],[Spread (V)]]</f>
        <v>0</v>
      </c>
      <c r="AG1033" s="19"/>
      <c r="AH1033" s="2">
        <f>Table2[[#This Row],[EV]]-Table2[[#This Row],[Spread (V)]]</f>
        <v>-5.265083204572278</v>
      </c>
      <c r="AI1033" s="22">
        <f>Table2[[#This Row],[(A)]]-Table2[[#This Row],[Spread]]</f>
        <v>-13.715118483412331</v>
      </c>
      <c r="AJ1033" s="1">
        <f>Table2[[#This Row],[(A) Err]]^2</f>
        <v>188.10447501403857</v>
      </c>
      <c r="AK1033" s="6">
        <f>Table2[[#This Row],[EV]]-Table2[[#This Row],[Spread]]</f>
        <v>-5.265083204572278</v>
      </c>
      <c r="AL1033" s="1">
        <f>Table2[[#This Row],[EV Err]]^2</f>
        <v>27.721101151069089</v>
      </c>
    </row>
    <row r="1034" spans="1:38" x14ac:dyDescent="0.25">
      <c r="A1034" t="s">
        <v>179</v>
      </c>
      <c r="B1034" t="s">
        <v>4</v>
      </c>
      <c r="C1034" t="s">
        <v>8</v>
      </c>
      <c r="K1034" s="25">
        <f>(Table2[[#This Row],[Home Pace]]/100)*(VLOOKUP(Table2[[#This Row],[Home/Neutral]],home_lookup,8,FALSE)+VLOOKUP(Table2[[#This Row],[Home/Neutral]],OFR_lookup,2,FALSE)+VLOOKUP(Table2[[#This Row],[Visitor/Neutral]],def_diff_lookup,6,FALSE))</f>
        <v>100.40772781393446</v>
      </c>
      <c r="L1034" s="25"/>
      <c r="M1034" s="25">
        <f>(Table2[[#This Row],[Away Pace]]/100)*(VLOOKUP(Table2[[#This Row],[Visitor/Neutral]],OFR_lookup,2,FALSE)+VLOOKUP(Table2[[#This Row],[Home/Neutral]],def_diff_lookup,6,FALSE))</f>
        <v>102.157848</v>
      </c>
      <c r="N1034" s="25"/>
      <c r="O1034" s="25"/>
      <c r="P1034">
        <f>VLOOKUP(Table2[[#This Row],[Home/Neutral]],pace_lookup,7,FALSE)</f>
        <v>96.6</v>
      </c>
      <c r="Q1034" s="5">
        <f>VLOOKUP(Table2[[#This Row],[Visitor/Neutral]],pace_lookup,7,FALSE)</f>
        <v>97.2</v>
      </c>
      <c r="R1034" s="9"/>
      <c r="V1034" s="2">
        <f>-home-VLOOKUP(Table2[[#This Row],[Home/Neutral]],rtg_vlookup,4,FALSE)+VLOOKUP(Table2[[#This Row],[Visitor/Neutral]],rtg_vlookup,4,FALSE)</f>
        <v>-10.505118483412332</v>
      </c>
      <c r="W1034" s="25"/>
      <c r="X1034" s="2"/>
      <c r="Y1034" s="2">
        <f>Table2[[#This Row],[Away EV]]-Table2[[#This Row],[Home EV]]</f>
        <v>1.7501201860655442</v>
      </c>
      <c r="Z1034" s="33"/>
      <c r="AA1034" s="34"/>
      <c r="AB1034" s="5" t="b">
        <f>IF(VLOOKUP(Table2[[#This Row],[Home/Neutral]],division_lookup,9,FALSE)=VLOOKUP(Table2[[#This Row],[Visitor/Neutral]],division_lookup,9,FALSE),TRUE,FALSE)</f>
        <v>0</v>
      </c>
      <c r="AC1034" s="19" t="str">
        <f>VLOOKUP(Table2[[#This Row],[Home/Neutral]],division_lookup,9,FALSE)</f>
        <v>P</v>
      </c>
      <c r="AD1034" s="19"/>
      <c r="AE1034" s="19" t="str">
        <f>IF(Table2[[#This Row],[Total EV ®]]&lt;Table2[[#This Row],[Total (V)]],"UNDER","OVER")</f>
        <v>OVER</v>
      </c>
      <c r="AF1034" s="30">
        <f>Table2[[#This Row],[(A) Spread]]-Table2[[#This Row],[Spread (V)]]</f>
        <v>0</v>
      </c>
      <c r="AG1034" s="19"/>
      <c r="AH1034" s="2">
        <f>Table2[[#This Row],[EV]]-Table2[[#This Row],[Spread (V)]]</f>
        <v>1.7501201860655442</v>
      </c>
      <c r="AI1034" s="22">
        <f>Table2[[#This Row],[(A)]]-Table2[[#This Row],[Spread]]</f>
        <v>-10.505118483412332</v>
      </c>
      <c r="AJ1034" s="1">
        <f>Table2[[#This Row],[(A) Err]]^2</f>
        <v>110.35751435053142</v>
      </c>
      <c r="AK1034" s="6">
        <f>Table2[[#This Row],[EV]]-Table2[[#This Row],[Spread]]</f>
        <v>1.7501201860655442</v>
      </c>
      <c r="AL1034" s="1">
        <f>Table2[[#This Row],[EV Err]]^2</f>
        <v>3.062920665674095</v>
      </c>
    </row>
    <row r="1035" spans="1:38" x14ac:dyDescent="0.25">
      <c r="A1035" t="s">
        <v>179</v>
      </c>
      <c r="B1035" t="s">
        <v>23</v>
      </c>
      <c r="C1035" t="s">
        <v>6</v>
      </c>
      <c r="K1035" s="25">
        <f>(Table2[[#This Row],[Home Pace]]/100)*(VLOOKUP(Table2[[#This Row],[Home/Neutral]],home_lookup,8,FALSE)+VLOOKUP(Table2[[#This Row],[Home/Neutral]],OFR_lookup,2,FALSE)+VLOOKUP(Table2[[#This Row],[Visitor/Neutral]],def_diff_lookup,6,FALSE))</f>
        <v>99.806887358713595</v>
      </c>
      <c r="L1035" s="25"/>
      <c r="M1035" s="25">
        <f>(Table2[[#This Row],[Away Pace]]/100)*(VLOOKUP(Table2[[#This Row],[Visitor/Neutral]],OFR_lookup,2,FALSE)+VLOOKUP(Table2[[#This Row],[Home/Neutral]],def_diff_lookup,6,FALSE))</f>
        <v>99.27315066666668</v>
      </c>
      <c r="N1035" s="25"/>
      <c r="O1035" s="25"/>
      <c r="P1035">
        <f>VLOOKUP(Table2[[#This Row],[Home/Neutral]],pace_lookup,7,FALSE)</f>
        <v>92.5</v>
      </c>
      <c r="Q1035" s="5">
        <f>VLOOKUP(Table2[[#This Row],[Visitor/Neutral]],pace_lookup,7,FALSE)</f>
        <v>93.1</v>
      </c>
      <c r="R1035" s="9"/>
      <c r="V1035" s="2">
        <f>-home-VLOOKUP(Table2[[#This Row],[Home/Neutral]],rtg_vlookup,4,FALSE)+VLOOKUP(Table2[[#This Row],[Visitor/Neutral]],rtg_vlookup,4,FALSE)</f>
        <v>1.8748815165876689</v>
      </c>
      <c r="W1035" s="25"/>
      <c r="X1035" s="2"/>
      <c r="Y1035" s="2">
        <f>Table2[[#This Row],[Away EV]]-Table2[[#This Row],[Home EV]]</f>
        <v>-0.5337366920469151</v>
      </c>
      <c r="Z1035" s="33"/>
      <c r="AA1035" s="34"/>
      <c r="AB1035" s="5" t="b">
        <f>IF(VLOOKUP(Table2[[#This Row],[Home/Neutral]],division_lookup,9,FALSE)=VLOOKUP(Table2[[#This Row],[Visitor/Neutral]],division_lookup,9,FALSE),TRUE,FALSE)</f>
        <v>1</v>
      </c>
      <c r="AC1035" s="19" t="str">
        <f>VLOOKUP(Table2[[#This Row],[Home/Neutral]],division_lookup,9,FALSE)</f>
        <v>SW</v>
      </c>
      <c r="AD1035" s="19"/>
      <c r="AE1035" s="19" t="str">
        <f>IF(Table2[[#This Row],[Total EV ®]]&lt;Table2[[#This Row],[Total (V)]],"UNDER","OVER")</f>
        <v>OVER</v>
      </c>
      <c r="AF1035" s="30">
        <f>Table2[[#This Row],[(A) Spread]]-Table2[[#This Row],[Spread (V)]]</f>
        <v>0</v>
      </c>
      <c r="AG1035" s="19"/>
      <c r="AH1035" s="2">
        <f>Table2[[#This Row],[EV]]-Table2[[#This Row],[Spread (V)]]</f>
        <v>-0.5337366920469151</v>
      </c>
      <c r="AI1035" s="22">
        <f>Table2[[#This Row],[(A)]]-Table2[[#This Row],[Spread]]</f>
        <v>1.8748815165876689</v>
      </c>
      <c r="AJ1035" s="1">
        <f>Table2[[#This Row],[(A) Err]]^2</f>
        <v>3.5151807012420773</v>
      </c>
      <c r="AK1035" s="6">
        <f>Table2[[#This Row],[EV]]-Table2[[#This Row],[Spread]]</f>
        <v>-0.5337366920469151</v>
      </c>
      <c r="AL1035" s="1">
        <f>Table2[[#This Row],[EV Err]]^2</f>
        <v>0.28487485643718347</v>
      </c>
    </row>
    <row r="1036" spans="1:38" x14ac:dyDescent="0.25">
      <c r="A1036" t="s">
        <v>179</v>
      </c>
      <c r="B1036" t="s">
        <v>18</v>
      </c>
      <c r="C1036" t="s">
        <v>29</v>
      </c>
      <c r="K1036" s="25">
        <f>(Table2[[#This Row],[Home Pace]]/100)*(VLOOKUP(Table2[[#This Row],[Home/Neutral]],home_lookup,8,FALSE)+VLOOKUP(Table2[[#This Row],[Home/Neutral]],OFR_lookup,2,FALSE)+VLOOKUP(Table2[[#This Row],[Visitor/Neutral]],def_diff_lookup,6,FALSE))</f>
        <v>106.17865616021132</v>
      </c>
      <c r="L1036" s="25"/>
      <c r="M1036" s="25">
        <f>(Table2[[#This Row],[Away Pace]]/100)*(VLOOKUP(Table2[[#This Row],[Visitor/Neutral]],OFR_lookup,2,FALSE)+VLOOKUP(Table2[[#This Row],[Home/Neutral]],def_diff_lookup,6,FALSE))</f>
        <v>96.774085333333332</v>
      </c>
      <c r="N1036" s="25"/>
      <c r="O1036" s="25"/>
      <c r="P1036">
        <f>VLOOKUP(Table2[[#This Row],[Home/Neutral]],pace_lookup,7,FALSE)</f>
        <v>99.5</v>
      </c>
      <c r="Q1036" s="5">
        <f>VLOOKUP(Table2[[#This Row],[Visitor/Neutral]],pace_lookup,7,FALSE)</f>
        <v>93.8</v>
      </c>
      <c r="R1036" s="9"/>
      <c r="V1036" s="2">
        <f>-home-VLOOKUP(Table2[[#This Row],[Home/Neutral]],rtg_vlookup,4,FALSE)+VLOOKUP(Table2[[#This Row],[Visitor/Neutral]],rtg_vlookup,4,FALSE)</f>
        <v>-7.3451184834123309</v>
      </c>
      <c r="W1036" s="25"/>
      <c r="X1036" s="2"/>
      <c r="Y1036" s="2">
        <f>Table2[[#This Row],[Away EV]]-Table2[[#This Row],[Home EV]]</f>
        <v>-9.4045708268779862</v>
      </c>
      <c r="Z1036" s="33"/>
      <c r="AA1036" s="34"/>
      <c r="AB1036" s="5" t="b">
        <f>IF(VLOOKUP(Table2[[#This Row],[Home/Neutral]],division_lookup,9,FALSE)=VLOOKUP(Table2[[#This Row],[Visitor/Neutral]],division_lookup,9,FALSE),TRUE,FALSE)</f>
        <v>0</v>
      </c>
      <c r="AC1036" s="19" t="str">
        <f>VLOOKUP(Table2[[#This Row],[Home/Neutral]],division_lookup,9,FALSE)</f>
        <v>NW</v>
      </c>
      <c r="AD1036" s="19"/>
      <c r="AE1036" s="19" t="str">
        <f>IF(Table2[[#This Row],[Total EV ®]]&lt;Table2[[#This Row],[Total (V)]],"UNDER","OVER")</f>
        <v>OVER</v>
      </c>
      <c r="AF1036" s="30">
        <f>Table2[[#This Row],[(A) Spread]]-Table2[[#This Row],[Spread (V)]]</f>
        <v>0</v>
      </c>
      <c r="AG1036" s="19"/>
      <c r="AH1036" s="2">
        <f>Table2[[#This Row],[EV]]-Table2[[#This Row],[Spread (V)]]</f>
        <v>-9.4045708268779862</v>
      </c>
      <c r="AI1036" s="22">
        <f>Table2[[#This Row],[(A)]]-Table2[[#This Row],[Spread]]</f>
        <v>-7.3451184834123309</v>
      </c>
      <c r="AJ1036" s="1">
        <f>Table2[[#This Row],[(A) Err]]^2</f>
        <v>53.950765535365463</v>
      </c>
      <c r="AK1036" s="6">
        <f>Table2[[#This Row],[EV]]-Table2[[#This Row],[Spread]]</f>
        <v>-9.4045708268779862</v>
      </c>
      <c r="AL1036" s="1">
        <f>Table2[[#This Row],[EV Err]]^2</f>
        <v>88.44595243776449</v>
      </c>
    </row>
    <row r="1037" spans="1:38" x14ac:dyDescent="0.25">
      <c r="A1037" t="s">
        <v>180</v>
      </c>
      <c r="B1037" t="s">
        <v>35</v>
      </c>
      <c r="C1037" t="s">
        <v>37</v>
      </c>
      <c r="K1037" s="25">
        <f>(Table2[[#This Row],[Home Pace]]/100)*(VLOOKUP(Table2[[#This Row],[Home/Neutral]],home_lookup,8,FALSE)+VLOOKUP(Table2[[#This Row],[Home/Neutral]],OFR_lookup,2,FALSE)+VLOOKUP(Table2[[#This Row],[Visitor/Neutral]],def_diff_lookup,6,FALSE))</f>
        <v>104.49273121209625</v>
      </c>
      <c r="L1037" s="25"/>
      <c r="M1037" s="25">
        <f>(Table2[[#This Row],[Away Pace]]/100)*(VLOOKUP(Table2[[#This Row],[Visitor/Neutral]],OFR_lookup,2,FALSE)+VLOOKUP(Table2[[#This Row],[Home/Neutral]],def_diff_lookup,6,FALSE))</f>
        <v>91.483543999999995</v>
      </c>
      <c r="N1037" s="25"/>
      <c r="O1037" s="25"/>
      <c r="P1037">
        <f>VLOOKUP(Table2[[#This Row],[Home/Neutral]],pace_lookup,7,FALSE)</f>
        <v>102.2</v>
      </c>
      <c r="Q1037" s="5">
        <f>VLOOKUP(Table2[[#This Row],[Visitor/Neutral]],pace_lookup,7,FALSE)</f>
        <v>92.1</v>
      </c>
      <c r="R1037" s="9"/>
      <c r="V1037" s="2">
        <f>-home-VLOOKUP(Table2[[#This Row],[Home/Neutral]],rtg_vlookup,4,FALSE)+VLOOKUP(Table2[[#This Row],[Visitor/Neutral]],rtg_vlookup,4,FALSE)</f>
        <v>-3.8951184834123316</v>
      </c>
      <c r="W1037" s="25"/>
      <c r="X1037" s="2"/>
      <c r="Y1037" s="2">
        <f>Table2[[#This Row],[Away EV]]-Table2[[#This Row],[Home EV]]</f>
        <v>-13.009187212096251</v>
      </c>
      <c r="Z1037" s="33"/>
      <c r="AA1037" s="34"/>
      <c r="AB1037" s="5" t="b">
        <f>IF(VLOOKUP(Table2[[#This Row],[Home/Neutral]],division_lookup,9,FALSE)=VLOOKUP(Table2[[#This Row],[Visitor/Neutral]],division_lookup,9,FALSE),TRUE,FALSE)</f>
        <v>0</v>
      </c>
      <c r="AC1037" s="19" t="str">
        <f>VLOOKUP(Table2[[#This Row],[Home/Neutral]],division_lookup,9,FALSE)</f>
        <v>A</v>
      </c>
      <c r="AD1037" s="19"/>
      <c r="AE1037" s="19" t="str">
        <f>IF(Table2[[#This Row],[Total EV ®]]&lt;Table2[[#This Row],[Total (V)]],"UNDER","OVER")</f>
        <v>OVER</v>
      </c>
      <c r="AF1037" s="30">
        <f>Table2[[#This Row],[(A) Spread]]-Table2[[#This Row],[Spread (V)]]</f>
        <v>0</v>
      </c>
      <c r="AG1037" s="19"/>
      <c r="AH1037" s="2">
        <f>Table2[[#This Row],[EV]]-Table2[[#This Row],[Spread (V)]]</f>
        <v>-13.009187212096251</v>
      </c>
      <c r="AI1037" s="22">
        <f>Table2[[#This Row],[(A)]]-Table2[[#This Row],[Spread]]</f>
        <v>-3.8951184834123316</v>
      </c>
      <c r="AJ1037" s="1">
        <f>Table2[[#This Row],[(A) Err]]^2</f>
        <v>15.171947999820382</v>
      </c>
      <c r="AK1037" s="6">
        <f>Table2[[#This Row],[EV]]-Table2[[#This Row],[Spread]]</f>
        <v>-13.009187212096251</v>
      </c>
      <c r="AL1037" s="1">
        <f>Table2[[#This Row],[EV Err]]^2</f>
        <v>169.23895191936862</v>
      </c>
    </row>
    <row r="1038" spans="1:38" x14ac:dyDescent="0.25">
      <c r="A1038" t="s">
        <v>180</v>
      </c>
      <c r="B1038" t="s">
        <v>25</v>
      </c>
      <c r="C1038" t="s">
        <v>36</v>
      </c>
      <c r="K1038" s="25">
        <f>(Table2[[#This Row],[Home Pace]]/100)*(VLOOKUP(Table2[[#This Row],[Home/Neutral]],home_lookup,8,FALSE)+VLOOKUP(Table2[[#This Row],[Home/Neutral]],OFR_lookup,2,FALSE)+VLOOKUP(Table2[[#This Row],[Visitor/Neutral]],def_diff_lookup,6,FALSE))</f>
        <v>105.96254444427257</v>
      </c>
      <c r="L1038" s="25"/>
      <c r="M1038" s="25">
        <f>(Table2[[#This Row],[Away Pace]]/100)*(VLOOKUP(Table2[[#This Row],[Visitor/Neutral]],OFR_lookup,2,FALSE)+VLOOKUP(Table2[[#This Row],[Home/Neutral]],def_diff_lookup,6,FALSE))</f>
        <v>101.45462133333335</v>
      </c>
      <c r="N1038" s="25"/>
      <c r="O1038" s="25"/>
      <c r="P1038">
        <f>VLOOKUP(Table2[[#This Row],[Home/Neutral]],pace_lookup,7,FALSE)</f>
        <v>94.4</v>
      </c>
      <c r="Q1038" s="5">
        <f>VLOOKUP(Table2[[#This Row],[Visitor/Neutral]],pace_lookup,7,FALSE)</f>
        <v>102.2</v>
      </c>
      <c r="R1038" s="9"/>
      <c r="V1038" s="2">
        <f>-home-VLOOKUP(Table2[[#This Row],[Home/Neutral]],rtg_vlookup,4,FALSE)+VLOOKUP(Table2[[#This Row],[Visitor/Neutral]],rtg_vlookup,4,FALSE)</f>
        <v>-8.915118483412332</v>
      </c>
      <c r="W1038" s="25"/>
      <c r="X1038" s="2"/>
      <c r="Y1038" s="2">
        <f>Table2[[#This Row],[Away EV]]-Table2[[#This Row],[Home EV]]</f>
        <v>-4.5079231109392168</v>
      </c>
      <c r="Z1038" s="33"/>
      <c r="AA1038" s="34"/>
      <c r="AB1038" s="5" t="b">
        <f>IF(VLOOKUP(Table2[[#This Row],[Home/Neutral]],division_lookup,9,FALSE)=VLOOKUP(Table2[[#This Row],[Visitor/Neutral]],division_lookup,9,FALSE),TRUE,FALSE)</f>
        <v>0</v>
      </c>
      <c r="AC1038" s="19" t="str">
        <f>VLOOKUP(Table2[[#This Row],[Home/Neutral]],division_lookup,9,FALSE)</f>
        <v>C</v>
      </c>
      <c r="AD1038" s="19"/>
      <c r="AE1038" s="19" t="str">
        <f>IF(Table2[[#This Row],[Total EV ®]]&lt;Table2[[#This Row],[Total (V)]],"UNDER","OVER")</f>
        <v>OVER</v>
      </c>
      <c r="AF1038" s="30">
        <f>Table2[[#This Row],[(A) Spread]]-Table2[[#This Row],[Spread (V)]]</f>
        <v>0</v>
      </c>
      <c r="AG1038" s="19"/>
      <c r="AH1038" s="2">
        <f>Table2[[#This Row],[EV]]-Table2[[#This Row],[Spread (V)]]</f>
        <v>-4.5079231109392168</v>
      </c>
      <c r="AI1038" s="22">
        <f>Table2[[#This Row],[(A)]]-Table2[[#This Row],[Spread]]</f>
        <v>-8.915118483412332</v>
      </c>
      <c r="AJ1038" s="1">
        <f>Table2[[#This Row],[(A) Err]]^2</f>
        <v>79.479337573280205</v>
      </c>
      <c r="AK1038" s="6">
        <f>Table2[[#This Row],[EV]]-Table2[[#This Row],[Spread]]</f>
        <v>-4.5079231109392168</v>
      </c>
      <c r="AL1038" s="1">
        <f>Table2[[#This Row],[EV Err]]^2</f>
        <v>20.321370774139908</v>
      </c>
    </row>
    <row r="1039" spans="1:38" x14ac:dyDescent="0.25">
      <c r="A1039" t="s">
        <v>180</v>
      </c>
      <c r="B1039" t="s">
        <v>24</v>
      </c>
      <c r="C1039" t="s">
        <v>8</v>
      </c>
      <c r="K1039" s="25">
        <f>(Table2[[#This Row],[Home Pace]]/100)*(VLOOKUP(Table2[[#This Row],[Home/Neutral]],home_lookup,8,FALSE)+VLOOKUP(Table2[[#This Row],[Home/Neutral]],OFR_lookup,2,FALSE)+VLOOKUP(Table2[[#This Row],[Visitor/Neutral]],def_diff_lookup,6,FALSE))</f>
        <v>107.21847432830941</v>
      </c>
      <c r="L1039" s="25"/>
      <c r="M1039" s="25">
        <f>(Table2[[#This Row],[Away Pace]]/100)*(VLOOKUP(Table2[[#This Row],[Visitor/Neutral]],OFR_lookup,2,FALSE)+VLOOKUP(Table2[[#This Row],[Home/Neutral]],def_diff_lookup,6,FALSE))</f>
        <v>111.92644799999999</v>
      </c>
      <c r="N1039" s="25"/>
      <c r="O1039" s="25"/>
      <c r="P1039">
        <f>VLOOKUP(Table2[[#This Row],[Home/Neutral]],pace_lookup,7,FALSE)</f>
        <v>99.9</v>
      </c>
      <c r="Q1039" s="5">
        <f>VLOOKUP(Table2[[#This Row],[Visitor/Neutral]],pace_lookup,7,FALSE)</f>
        <v>97.2</v>
      </c>
      <c r="R1039" s="9"/>
      <c r="V1039" s="2">
        <f>-home-VLOOKUP(Table2[[#This Row],[Home/Neutral]],rtg_vlookup,4,FALSE)+VLOOKUP(Table2[[#This Row],[Visitor/Neutral]],rtg_vlookup,4,FALSE)</f>
        <v>3.8748815165876698</v>
      </c>
      <c r="W1039" s="25"/>
      <c r="X1039" s="2"/>
      <c r="Y1039" s="2">
        <f>Table2[[#This Row],[Away EV]]-Table2[[#This Row],[Home EV]]</f>
        <v>4.7079736716905813</v>
      </c>
      <c r="Z1039" s="33"/>
      <c r="AA1039" s="34"/>
      <c r="AB1039" s="5" t="b">
        <f>IF(VLOOKUP(Table2[[#This Row],[Home/Neutral]],division_lookup,9,FALSE)=VLOOKUP(Table2[[#This Row],[Visitor/Neutral]],division_lookup,9,FALSE),TRUE,FALSE)</f>
        <v>0</v>
      </c>
      <c r="AC1039" s="19" t="str">
        <f>VLOOKUP(Table2[[#This Row],[Home/Neutral]],division_lookup,9,FALSE)</f>
        <v>P</v>
      </c>
      <c r="AD1039" s="19"/>
      <c r="AE1039" s="19" t="str">
        <f>IF(Table2[[#This Row],[Total EV ®]]&lt;Table2[[#This Row],[Total (V)]],"UNDER","OVER")</f>
        <v>OVER</v>
      </c>
      <c r="AF1039" s="30">
        <f>Table2[[#This Row],[(A) Spread]]-Table2[[#This Row],[Spread (V)]]</f>
        <v>0</v>
      </c>
      <c r="AG1039" s="19"/>
      <c r="AH1039" s="2">
        <f>Table2[[#This Row],[EV]]-Table2[[#This Row],[Spread (V)]]</f>
        <v>4.7079736716905813</v>
      </c>
      <c r="AI1039" s="22">
        <f>Table2[[#This Row],[(A)]]-Table2[[#This Row],[Spread]]</f>
        <v>3.8748815165876698</v>
      </c>
      <c r="AJ1039" s="1">
        <f>Table2[[#This Row],[(A) Err]]^2</f>
        <v>15.014706767592759</v>
      </c>
      <c r="AK1039" s="6">
        <f>Table2[[#This Row],[EV]]-Table2[[#This Row],[Spread]]</f>
        <v>4.7079736716905813</v>
      </c>
      <c r="AL1039" s="1">
        <f>Table2[[#This Row],[EV Err]]^2</f>
        <v>22.165016093331694</v>
      </c>
    </row>
    <row r="1040" spans="1:38" x14ac:dyDescent="0.25">
      <c r="A1040" t="s">
        <v>180</v>
      </c>
      <c r="B1040" t="s">
        <v>21</v>
      </c>
      <c r="C1040" t="s">
        <v>32</v>
      </c>
      <c r="K1040" s="25">
        <f>(Table2[[#This Row],[Home Pace]]/100)*(VLOOKUP(Table2[[#This Row],[Home/Neutral]],home_lookup,8,FALSE)+VLOOKUP(Table2[[#This Row],[Home/Neutral]],OFR_lookup,2,FALSE)+VLOOKUP(Table2[[#This Row],[Visitor/Neutral]],def_diff_lookup,6,FALSE))</f>
        <v>106.2451311752439</v>
      </c>
      <c r="L1040" s="25"/>
      <c r="M1040" s="25">
        <f>(Table2[[#This Row],[Away Pace]]/100)*(VLOOKUP(Table2[[#This Row],[Visitor/Neutral]],OFR_lookup,2,FALSE)+VLOOKUP(Table2[[#This Row],[Home/Neutral]],def_diff_lookup,6,FALSE))</f>
        <v>103.24471733333334</v>
      </c>
      <c r="N1040" s="25"/>
      <c r="O1040" s="25"/>
      <c r="P1040">
        <f>VLOOKUP(Table2[[#This Row],[Home/Neutral]],pace_lookup,7,FALSE)</f>
        <v>94.2</v>
      </c>
      <c r="Q1040" s="5">
        <f>VLOOKUP(Table2[[#This Row],[Visitor/Neutral]],pace_lookup,7,FALSE)</f>
        <v>98.6</v>
      </c>
      <c r="R1040" s="9"/>
      <c r="V1040" s="2">
        <f>-home-VLOOKUP(Table2[[#This Row],[Home/Neutral]],rtg_vlookup,4,FALSE)+VLOOKUP(Table2[[#This Row],[Visitor/Neutral]],rtg_vlookup,4,FALSE)</f>
        <v>-5.5151184834123308</v>
      </c>
      <c r="W1040" s="25"/>
      <c r="X1040" s="2"/>
      <c r="Y1040" s="2">
        <f>Table2[[#This Row],[Away EV]]-Table2[[#This Row],[Home EV]]</f>
        <v>-3.0004138419105573</v>
      </c>
      <c r="Z1040" s="33"/>
      <c r="AA1040" s="34"/>
      <c r="AB1040" s="5" t="b">
        <f>IF(VLOOKUP(Table2[[#This Row],[Home/Neutral]],division_lookup,9,FALSE)=VLOOKUP(Table2[[#This Row],[Visitor/Neutral]],division_lookup,9,FALSE),TRUE,FALSE)</f>
        <v>0</v>
      </c>
      <c r="AC1040" s="19" t="str">
        <f>VLOOKUP(Table2[[#This Row],[Home/Neutral]],division_lookup,9,FALSE)</f>
        <v>SE</v>
      </c>
      <c r="AD1040" s="19"/>
      <c r="AE1040" s="19" t="str">
        <f>IF(Table2[[#This Row],[Total EV ®]]&lt;Table2[[#This Row],[Total (V)]],"UNDER","OVER")</f>
        <v>OVER</v>
      </c>
      <c r="AF1040" s="30">
        <f>Table2[[#This Row],[(A) Spread]]-Table2[[#This Row],[Spread (V)]]</f>
        <v>0</v>
      </c>
      <c r="AG1040" s="19"/>
      <c r="AH1040" s="2">
        <f>Table2[[#This Row],[EV]]-Table2[[#This Row],[Spread (V)]]</f>
        <v>-3.0004138419105573</v>
      </c>
      <c r="AI1040" s="22">
        <f>Table2[[#This Row],[(A)]]-Table2[[#This Row],[Spread]]</f>
        <v>-5.5151184834123308</v>
      </c>
      <c r="AJ1040" s="1">
        <f>Table2[[#This Row],[(A) Err]]^2</f>
        <v>30.416531886076328</v>
      </c>
      <c r="AK1040" s="6">
        <f>Table2[[#This Row],[EV]]-Table2[[#This Row],[Spread]]</f>
        <v>-3.0004138419105573</v>
      </c>
      <c r="AL1040" s="1">
        <f>Table2[[#This Row],[EV Err]]^2</f>
        <v>9.0024832227284701</v>
      </c>
    </row>
    <row r="1041" spans="1:38" x14ac:dyDescent="0.25">
      <c r="A1041" t="s">
        <v>180</v>
      </c>
      <c r="B1041" t="s">
        <v>34</v>
      </c>
      <c r="C1041" t="s">
        <v>22</v>
      </c>
      <c r="K1041" s="25">
        <f>(Table2[[#This Row],[Home Pace]]/100)*(VLOOKUP(Table2[[#This Row],[Home/Neutral]],home_lookup,8,FALSE)+VLOOKUP(Table2[[#This Row],[Home/Neutral]],OFR_lookup,2,FALSE)+VLOOKUP(Table2[[#This Row],[Visitor/Neutral]],def_diff_lookup,6,FALSE))</f>
        <v>108.87931864565556</v>
      </c>
      <c r="L1041" s="25"/>
      <c r="M1041" s="25">
        <f>(Table2[[#This Row],[Away Pace]]/100)*(VLOOKUP(Table2[[#This Row],[Visitor/Neutral]],OFR_lookup,2,FALSE)+VLOOKUP(Table2[[#This Row],[Home/Neutral]],def_diff_lookup,6,FALSE))</f>
        <v>105.09869133333335</v>
      </c>
      <c r="N1041" s="25"/>
      <c r="O1041" s="25"/>
      <c r="P1041">
        <f>VLOOKUP(Table2[[#This Row],[Home/Neutral]],pace_lookup,7,FALSE)</f>
        <v>98.8</v>
      </c>
      <c r="Q1041" s="5">
        <f>VLOOKUP(Table2[[#This Row],[Visitor/Neutral]],pace_lookup,7,FALSE)</f>
        <v>94.7</v>
      </c>
      <c r="R1041" s="9"/>
      <c r="V1041" s="2">
        <f>-home-VLOOKUP(Table2[[#This Row],[Home/Neutral]],rtg_vlookup,4,FALSE)+VLOOKUP(Table2[[#This Row],[Visitor/Neutral]],rtg_vlookup,4,FALSE)</f>
        <v>3.2148815165876696</v>
      </c>
      <c r="W1041" s="25"/>
      <c r="X1041" s="2"/>
      <c r="Y1041" s="2">
        <f>Table2[[#This Row],[Away EV]]-Table2[[#This Row],[Home EV]]</f>
        <v>-3.7806273123222098</v>
      </c>
      <c r="Z1041" s="33"/>
      <c r="AA1041" s="34"/>
      <c r="AB1041" s="5" t="b">
        <f>IF(VLOOKUP(Table2[[#This Row],[Home/Neutral]],division_lookup,9,FALSE)=VLOOKUP(Table2[[#This Row],[Visitor/Neutral]],division_lookup,9,FALSE),TRUE,FALSE)</f>
        <v>0</v>
      </c>
      <c r="AC1041" s="19" t="str">
        <f>VLOOKUP(Table2[[#This Row],[Home/Neutral]],division_lookup,9,FALSE)</f>
        <v>SW</v>
      </c>
      <c r="AD1041" s="19"/>
      <c r="AE1041" s="19" t="str">
        <f>IF(Table2[[#This Row],[Total EV ®]]&lt;Table2[[#This Row],[Total (V)]],"UNDER","OVER")</f>
        <v>OVER</v>
      </c>
      <c r="AF1041" s="30">
        <f>Table2[[#This Row],[(A) Spread]]-Table2[[#This Row],[Spread (V)]]</f>
        <v>0</v>
      </c>
      <c r="AG1041" s="19"/>
      <c r="AH1041" s="2">
        <f>Table2[[#This Row],[EV]]-Table2[[#This Row],[Spread (V)]]</f>
        <v>-3.7806273123222098</v>
      </c>
      <c r="AI1041" s="22">
        <f>Table2[[#This Row],[(A)]]-Table2[[#This Row],[Spread]]</f>
        <v>3.2148815165876696</v>
      </c>
      <c r="AJ1041" s="1">
        <f>Table2[[#This Row],[(A) Err]]^2</f>
        <v>10.335463165697035</v>
      </c>
      <c r="AK1041" s="6">
        <f>Table2[[#This Row],[EV]]-Table2[[#This Row],[Spread]]</f>
        <v>-3.7806273123222098</v>
      </c>
      <c r="AL1041" s="1">
        <f>Table2[[#This Row],[EV Err]]^2</f>
        <v>14.293142874676656</v>
      </c>
    </row>
    <row r="1042" spans="1:38" x14ac:dyDescent="0.25">
      <c r="A1042" t="s">
        <v>180</v>
      </c>
      <c r="B1042" t="s">
        <v>39</v>
      </c>
      <c r="C1042" t="s">
        <v>26</v>
      </c>
      <c r="K1042" s="25">
        <f>(Table2[[#This Row],[Home Pace]]/100)*(VLOOKUP(Table2[[#This Row],[Home/Neutral]],home_lookup,8,FALSE)+VLOOKUP(Table2[[#This Row],[Home/Neutral]],OFR_lookup,2,FALSE)+VLOOKUP(Table2[[#This Row],[Visitor/Neutral]],def_diff_lookup,6,FALSE))</f>
        <v>109.04402211468579</v>
      </c>
      <c r="L1042" s="25"/>
      <c r="M1042" s="25">
        <f>(Table2[[#This Row],[Away Pace]]/100)*(VLOOKUP(Table2[[#This Row],[Visitor/Neutral]],OFR_lookup,2,FALSE)+VLOOKUP(Table2[[#This Row],[Home/Neutral]],def_diff_lookup,6,FALSE))</f>
        <v>106.42624000000001</v>
      </c>
      <c r="N1042" s="25"/>
      <c r="O1042" s="25"/>
      <c r="P1042">
        <f>VLOOKUP(Table2[[#This Row],[Home/Neutral]],pace_lookup,7,FALSE)</f>
        <v>97.5</v>
      </c>
      <c r="Q1042" s="5">
        <f>VLOOKUP(Table2[[#This Row],[Visitor/Neutral]],pace_lookup,7,FALSE)</f>
        <v>96</v>
      </c>
      <c r="R1042" s="9"/>
      <c r="V1042" s="2">
        <f>-home-VLOOKUP(Table2[[#This Row],[Home/Neutral]],rtg_vlookup,4,FALSE)+VLOOKUP(Table2[[#This Row],[Visitor/Neutral]],rtg_vlookup,4,FALSE)</f>
        <v>6.3248815165876691</v>
      </c>
      <c r="W1042" s="25"/>
      <c r="X1042" s="2"/>
      <c r="Y1042" s="2">
        <f>Table2[[#This Row],[Away EV]]-Table2[[#This Row],[Home EV]]</f>
        <v>-2.6177821146857809</v>
      </c>
      <c r="Z1042" s="33"/>
      <c r="AA1042" s="34"/>
      <c r="AB1042" s="5" t="b">
        <f>IF(VLOOKUP(Table2[[#This Row],[Home/Neutral]],division_lookup,9,FALSE)=VLOOKUP(Table2[[#This Row],[Visitor/Neutral]],division_lookup,9,FALSE),TRUE,FALSE)</f>
        <v>1</v>
      </c>
      <c r="AC1042" s="19" t="str">
        <f>VLOOKUP(Table2[[#This Row],[Home/Neutral]],division_lookup,9,FALSE)</f>
        <v>A</v>
      </c>
      <c r="AD1042" s="19"/>
      <c r="AE1042" s="19" t="str">
        <f>IF(Table2[[#This Row],[Total EV ®]]&lt;Table2[[#This Row],[Total (V)]],"UNDER","OVER")</f>
        <v>OVER</v>
      </c>
      <c r="AF1042" s="30">
        <f>Table2[[#This Row],[(A) Spread]]-Table2[[#This Row],[Spread (V)]]</f>
        <v>0</v>
      </c>
      <c r="AG1042" s="19"/>
      <c r="AH1042" s="2">
        <f>Table2[[#This Row],[EV]]-Table2[[#This Row],[Spread (V)]]</f>
        <v>-2.6177821146857809</v>
      </c>
      <c r="AI1042" s="22">
        <f>Table2[[#This Row],[(A)]]-Table2[[#This Row],[Spread]]</f>
        <v>6.3248815165876691</v>
      </c>
      <c r="AJ1042" s="1">
        <f>Table2[[#This Row],[(A) Err]]^2</f>
        <v>40.004126198872335</v>
      </c>
      <c r="AK1042" s="6">
        <f>Table2[[#This Row],[EV]]-Table2[[#This Row],[Spread]]</f>
        <v>-2.6177821146857809</v>
      </c>
      <c r="AL1042" s="1">
        <f>Table2[[#This Row],[EV Err]]^2</f>
        <v>6.8527831999687594</v>
      </c>
    </row>
    <row r="1043" spans="1:38" x14ac:dyDescent="0.25">
      <c r="A1043" t="s">
        <v>180</v>
      </c>
      <c r="B1043" t="s">
        <v>6</v>
      </c>
      <c r="C1043" t="s">
        <v>29</v>
      </c>
      <c r="K1043" s="25">
        <f>(Table2[[#This Row],[Home Pace]]/100)*(VLOOKUP(Table2[[#This Row],[Home/Neutral]],home_lookup,8,FALSE)+VLOOKUP(Table2[[#This Row],[Home/Neutral]],OFR_lookup,2,FALSE)+VLOOKUP(Table2[[#This Row],[Visitor/Neutral]],def_diff_lookup,6,FALSE))</f>
        <v>106.12248787062244</v>
      </c>
      <c r="L1043" s="25"/>
      <c r="M1043" s="25">
        <f>(Table2[[#This Row],[Away Pace]]/100)*(VLOOKUP(Table2[[#This Row],[Visitor/Neutral]],OFR_lookup,2,FALSE)+VLOOKUP(Table2[[#This Row],[Home/Neutral]],def_diff_lookup,6,FALSE))</f>
        <v>98.537525333333349</v>
      </c>
      <c r="N1043" s="25"/>
      <c r="O1043" s="25"/>
      <c r="P1043">
        <f>VLOOKUP(Table2[[#This Row],[Home/Neutral]],pace_lookup,7,FALSE)</f>
        <v>93.1</v>
      </c>
      <c r="Q1043" s="5">
        <f>VLOOKUP(Table2[[#This Row],[Visitor/Neutral]],pace_lookup,7,FALSE)</f>
        <v>93.8</v>
      </c>
      <c r="R1043" s="9"/>
      <c r="V1043" s="2">
        <f>-home-VLOOKUP(Table2[[#This Row],[Home/Neutral]],rtg_vlookup,4,FALSE)+VLOOKUP(Table2[[#This Row],[Visitor/Neutral]],rtg_vlookup,4,FALSE)</f>
        <v>-12.01511848341233</v>
      </c>
      <c r="W1043" s="25"/>
      <c r="X1043" s="2"/>
      <c r="Y1043" s="2">
        <f>Table2[[#This Row],[Away EV]]-Table2[[#This Row],[Home EV]]</f>
        <v>-7.584962537289087</v>
      </c>
      <c r="Z1043" s="33"/>
      <c r="AA1043" s="34"/>
      <c r="AB1043" s="5" t="b">
        <f>IF(VLOOKUP(Table2[[#This Row],[Home/Neutral]],division_lookup,9,FALSE)=VLOOKUP(Table2[[#This Row],[Visitor/Neutral]],division_lookup,9,FALSE),TRUE,FALSE)</f>
        <v>0</v>
      </c>
      <c r="AC1043" s="19" t="str">
        <f>VLOOKUP(Table2[[#This Row],[Home/Neutral]],division_lookup,9,FALSE)</f>
        <v>SW</v>
      </c>
      <c r="AD1043" s="19"/>
      <c r="AE1043" s="19" t="str">
        <f>IF(Table2[[#This Row],[Total EV ®]]&lt;Table2[[#This Row],[Total (V)]],"UNDER","OVER")</f>
        <v>OVER</v>
      </c>
      <c r="AF1043" s="30">
        <f>Table2[[#This Row],[(A) Spread]]-Table2[[#This Row],[Spread (V)]]</f>
        <v>0</v>
      </c>
      <c r="AG1043" s="19"/>
      <c r="AH1043" s="2">
        <f>Table2[[#This Row],[EV]]-Table2[[#This Row],[Spread (V)]]</f>
        <v>-7.584962537289087</v>
      </c>
      <c r="AI1043" s="22">
        <f>Table2[[#This Row],[(A)]]-Table2[[#This Row],[Spread]]</f>
        <v>-12.01511848341233</v>
      </c>
      <c r="AJ1043" s="1">
        <f>Table2[[#This Row],[(A) Err]]^2</f>
        <v>144.3630721704366</v>
      </c>
      <c r="AK1043" s="6">
        <f>Table2[[#This Row],[EV]]-Table2[[#This Row],[Spread]]</f>
        <v>-7.584962537289087</v>
      </c>
      <c r="AL1043" s="1">
        <f>Table2[[#This Row],[EV Err]]^2</f>
        <v>57.531656692078904</v>
      </c>
    </row>
    <row r="1044" spans="1:38" x14ac:dyDescent="0.25">
      <c r="A1044" t="s">
        <v>180</v>
      </c>
      <c r="B1044" t="s">
        <v>14</v>
      </c>
      <c r="C1044" t="s">
        <v>33</v>
      </c>
      <c r="K1044" s="25">
        <f>(Table2[[#This Row],[Home Pace]]/100)*(VLOOKUP(Table2[[#This Row],[Home/Neutral]],home_lookup,8,FALSE)+VLOOKUP(Table2[[#This Row],[Home/Neutral]],OFR_lookup,2,FALSE)+VLOOKUP(Table2[[#This Row],[Visitor/Neutral]],def_diff_lookup,6,FALSE))</f>
        <v>109.54610414241452</v>
      </c>
      <c r="L1044" s="25"/>
      <c r="M1044" s="25">
        <f>(Table2[[#This Row],[Away Pace]]/100)*(VLOOKUP(Table2[[#This Row],[Visitor/Neutral]],OFR_lookup,2,FALSE)+VLOOKUP(Table2[[#This Row],[Home/Neutral]],def_diff_lookup,6,FALSE))</f>
        <v>103.54273466666668</v>
      </c>
      <c r="N1044" s="25"/>
      <c r="O1044" s="25"/>
      <c r="P1044">
        <f>VLOOKUP(Table2[[#This Row],[Home/Neutral]],pace_lookup,7,FALSE)</f>
        <v>95.9</v>
      </c>
      <c r="Q1044" s="5">
        <f>VLOOKUP(Table2[[#This Row],[Visitor/Neutral]],pace_lookup,7,FALSE)</f>
        <v>98.2</v>
      </c>
      <c r="R1044" s="9"/>
      <c r="V1044" s="2">
        <f>-home-VLOOKUP(Table2[[#This Row],[Home/Neutral]],rtg_vlookup,4,FALSE)+VLOOKUP(Table2[[#This Row],[Visitor/Neutral]],rtg_vlookup,4,FALSE)</f>
        <v>-12.935118483412332</v>
      </c>
      <c r="W1044" s="25"/>
      <c r="X1044" s="2"/>
      <c r="Y1044" s="2">
        <f>Table2[[#This Row],[Away EV]]-Table2[[#This Row],[Home EV]]</f>
        <v>-6.0033694757478457</v>
      </c>
      <c r="Z1044" s="33"/>
      <c r="AA1044" s="34"/>
      <c r="AB1044" s="5" t="b">
        <f>IF(VLOOKUP(Table2[[#This Row],[Home/Neutral]],division_lookup,9,FALSE)=VLOOKUP(Table2[[#This Row],[Visitor/Neutral]],division_lookup,9,FALSE),TRUE,FALSE)</f>
        <v>0</v>
      </c>
      <c r="AC1044" s="19" t="str">
        <f>VLOOKUP(Table2[[#This Row],[Home/Neutral]],division_lookup,9,FALSE)</f>
        <v>A</v>
      </c>
      <c r="AD1044" s="19"/>
      <c r="AE1044" s="19" t="str">
        <f>IF(Table2[[#This Row],[Total EV ®]]&lt;Table2[[#This Row],[Total (V)]],"UNDER","OVER")</f>
        <v>OVER</v>
      </c>
      <c r="AF1044" s="30">
        <f>Table2[[#This Row],[(A) Spread]]-Table2[[#This Row],[Spread (V)]]</f>
        <v>0</v>
      </c>
      <c r="AG1044" s="19"/>
      <c r="AH1044" s="2">
        <f>Table2[[#This Row],[EV]]-Table2[[#This Row],[Spread (V)]]</f>
        <v>-6.0033694757478457</v>
      </c>
      <c r="AI1044" s="22">
        <f>Table2[[#This Row],[(A)]]-Table2[[#This Row],[Spread]]</f>
        <v>-12.935118483412332</v>
      </c>
      <c r="AJ1044" s="1">
        <f>Table2[[#This Row],[(A) Err]]^2</f>
        <v>167.31729017991535</v>
      </c>
      <c r="AK1044" s="6">
        <f>Table2[[#This Row],[EV]]-Table2[[#This Row],[Spread]]</f>
        <v>-6.0033694757478457</v>
      </c>
      <c r="AL1044" s="1">
        <f>Table2[[#This Row],[EV Err]]^2</f>
        <v>36.040445062340964</v>
      </c>
    </row>
    <row r="1045" spans="1:38" x14ac:dyDescent="0.25">
      <c r="A1045" t="s">
        <v>181</v>
      </c>
      <c r="B1045" t="s">
        <v>26</v>
      </c>
      <c r="C1045" t="s">
        <v>28</v>
      </c>
      <c r="K1045" s="25">
        <f>(Table2[[#This Row],[Home Pace]]/100)*(VLOOKUP(Table2[[#This Row],[Home/Neutral]],home_lookup,8,FALSE)+VLOOKUP(Table2[[#This Row],[Home/Neutral]],OFR_lookup,2,FALSE)+VLOOKUP(Table2[[#This Row],[Visitor/Neutral]],def_diff_lookup,6,FALSE))</f>
        <v>109.71216358918159</v>
      </c>
      <c r="L1045" s="25"/>
      <c r="M1045" s="25">
        <f>(Table2[[#This Row],[Away Pace]]/100)*(VLOOKUP(Table2[[#This Row],[Visitor/Neutral]],OFR_lookup,2,FALSE)+VLOOKUP(Table2[[#This Row],[Home/Neutral]],def_diff_lookup,6,FALSE))</f>
        <v>105.092832</v>
      </c>
      <c r="N1045" s="25"/>
      <c r="O1045" s="25"/>
      <c r="P1045">
        <f>VLOOKUP(Table2[[#This Row],[Home/Neutral]],pace_lookup,7,FALSE)</f>
        <v>96</v>
      </c>
      <c r="Q1045" s="5">
        <f>VLOOKUP(Table2[[#This Row],[Visitor/Neutral]],pace_lookup,7,FALSE)</f>
        <v>96.3</v>
      </c>
      <c r="R1045" s="9"/>
      <c r="V1045" s="2">
        <f>-home-VLOOKUP(Table2[[#This Row],[Home/Neutral]],rtg_vlookup,4,FALSE)+VLOOKUP(Table2[[#This Row],[Visitor/Neutral]],rtg_vlookup,4,FALSE)</f>
        <v>-4.4151184834123312</v>
      </c>
      <c r="W1045" s="25"/>
      <c r="X1045" s="2"/>
      <c r="Y1045" s="2">
        <f>Table2[[#This Row],[Away EV]]-Table2[[#This Row],[Home EV]]</f>
        <v>-4.6193315891815843</v>
      </c>
      <c r="Z1045" s="33"/>
      <c r="AA1045" s="34"/>
      <c r="AB1045" s="5" t="b">
        <f>IF(VLOOKUP(Table2[[#This Row],[Home/Neutral]],division_lookup,9,FALSE)=VLOOKUP(Table2[[#This Row],[Visitor/Neutral]],division_lookup,9,FALSE),TRUE,FALSE)</f>
        <v>0</v>
      </c>
      <c r="AC1045" s="19" t="str">
        <f>VLOOKUP(Table2[[#This Row],[Home/Neutral]],division_lookup,9,FALSE)</f>
        <v>A</v>
      </c>
      <c r="AD1045" s="19"/>
      <c r="AE1045" s="19" t="str">
        <f>IF(Table2[[#This Row],[Total EV ®]]&lt;Table2[[#This Row],[Total (V)]],"UNDER","OVER")</f>
        <v>OVER</v>
      </c>
      <c r="AF1045" s="30">
        <f>Table2[[#This Row],[(A) Spread]]-Table2[[#This Row],[Spread (V)]]</f>
        <v>0</v>
      </c>
      <c r="AG1045" s="19"/>
      <c r="AH1045" s="2">
        <f>Table2[[#This Row],[EV]]-Table2[[#This Row],[Spread (V)]]</f>
        <v>-4.6193315891815843</v>
      </c>
      <c r="AI1045" s="22">
        <f>Table2[[#This Row],[(A)]]-Table2[[#This Row],[Spread]]</f>
        <v>-4.4151184834123312</v>
      </c>
      <c r="AJ1045" s="1">
        <f>Table2[[#This Row],[(A) Err]]^2</f>
        <v>19.493271222569202</v>
      </c>
      <c r="AK1045" s="6">
        <f>Table2[[#This Row],[EV]]-Table2[[#This Row],[Spread]]</f>
        <v>-4.6193315891815843</v>
      </c>
      <c r="AL1045" s="1">
        <f>Table2[[#This Row],[EV Err]]^2</f>
        <v>21.33822433081086</v>
      </c>
    </row>
    <row r="1046" spans="1:38" x14ac:dyDescent="0.25">
      <c r="A1046" t="s">
        <v>181</v>
      </c>
      <c r="B1046" t="s">
        <v>16</v>
      </c>
      <c r="C1046" t="s">
        <v>11</v>
      </c>
      <c r="K1046" s="25">
        <f>(Table2[[#This Row],[Home Pace]]/100)*(VLOOKUP(Table2[[#This Row],[Home/Neutral]],home_lookup,8,FALSE)+VLOOKUP(Table2[[#This Row],[Home/Neutral]],OFR_lookup,2,FALSE)+VLOOKUP(Table2[[#This Row],[Visitor/Neutral]],def_diff_lookup,6,FALSE))</f>
        <v>96.109106011159511</v>
      </c>
      <c r="L1046" s="25"/>
      <c r="M1046" s="25">
        <f>(Table2[[#This Row],[Away Pace]]/100)*(VLOOKUP(Table2[[#This Row],[Visitor/Neutral]],OFR_lookup,2,FALSE)+VLOOKUP(Table2[[#This Row],[Home/Neutral]],def_diff_lookup,6,FALSE))</f>
        <v>102.75148466666667</v>
      </c>
      <c r="N1046" s="25"/>
      <c r="O1046" s="25"/>
      <c r="P1046">
        <f>VLOOKUP(Table2[[#This Row],[Home/Neutral]],pace_lookup,7,FALSE)</f>
        <v>97.5</v>
      </c>
      <c r="Q1046" s="5">
        <f>VLOOKUP(Table2[[#This Row],[Visitor/Neutral]],pace_lookup,7,FALSE)</f>
        <v>99.7</v>
      </c>
      <c r="R1046" s="9"/>
      <c r="V1046" s="2">
        <f>-home-VLOOKUP(Table2[[#This Row],[Home/Neutral]],rtg_vlookup,4,FALSE)+VLOOKUP(Table2[[#This Row],[Visitor/Neutral]],rtg_vlookup,4,FALSE)</f>
        <v>0.97488151658766942</v>
      </c>
      <c r="W1046" s="25"/>
      <c r="X1046" s="2"/>
      <c r="Y1046" s="2">
        <f>Table2[[#This Row],[Away EV]]-Table2[[#This Row],[Home EV]]</f>
        <v>6.6423786555071587</v>
      </c>
      <c r="Z1046" s="33"/>
      <c r="AA1046" s="34"/>
      <c r="AB1046" s="5" t="b">
        <f>IF(VLOOKUP(Table2[[#This Row],[Home/Neutral]],division_lookup,9,FALSE)=VLOOKUP(Table2[[#This Row],[Visitor/Neutral]],division_lookup,9,FALSE),TRUE,FALSE)</f>
        <v>1</v>
      </c>
      <c r="AC1046" s="19" t="str">
        <f>VLOOKUP(Table2[[#This Row],[Home/Neutral]],division_lookup,9,FALSE)</f>
        <v>SE</v>
      </c>
      <c r="AD1046" s="19"/>
      <c r="AE1046" s="19" t="str">
        <f>IF(Table2[[#This Row],[Total EV ®]]&lt;Table2[[#This Row],[Total (V)]],"UNDER","OVER")</f>
        <v>OVER</v>
      </c>
      <c r="AF1046" s="30">
        <f>Table2[[#This Row],[(A) Spread]]-Table2[[#This Row],[Spread (V)]]</f>
        <v>0</v>
      </c>
      <c r="AG1046" s="19"/>
      <c r="AH1046" s="2">
        <f>Table2[[#This Row],[EV]]-Table2[[#This Row],[Spread (V)]]</f>
        <v>6.6423786555071587</v>
      </c>
      <c r="AI1046" s="22">
        <f>Table2[[#This Row],[(A)]]-Table2[[#This Row],[Spread]]</f>
        <v>0.97488151658766942</v>
      </c>
      <c r="AJ1046" s="1">
        <f>Table2[[#This Row],[(A) Err]]^2</f>
        <v>0.95039397138427439</v>
      </c>
      <c r="AK1046" s="6">
        <f>Table2[[#This Row],[EV]]-Table2[[#This Row],[Spread]]</f>
        <v>6.6423786555071587</v>
      </c>
      <c r="AL1046" s="1">
        <f>Table2[[#This Row],[EV Err]]^2</f>
        <v>44.121194203137087</v>
      </c>
    </row>
    <row r="1047" spans="1:38" x14ac:dyDescent="0.25">
      <c r="A1047" t="s">
        <v>181</v>
      </c>
      <c r="B1047" t="s">
        <v>17</v>
      </c>
      <c r="C1047" t="s">
        <v>27</v>
      </c>
      <c r="K1047" s="25">
        <f>(Table2[[#This Row],[Home Pace]]/100)*(VLOOKUP(Table2[[#This Row],[Home/Neutral]],home_lookup,8,FALSE)+VLOOKUP(Table2[[#This Row],[Home/Neutral]],OFR_lookup,2,FALSE)+VLOOKUP(Table2[[#This Row],[Visitor/Neutral]],def_diff_lookup,6,FALSE))</f>
        <v>108.89138692873544</v>
      </c>
      <c r="L1047" s="25"/>
      <c r="M1047" s="25">
        <f>(Table2[[#This Row],[Away Pace]]/100)*(VLOOKUP(Table2[[#This Row],[Visitor/Neutral]],OFR_lookup,2,FALSE)+VLOOKUP(Table2[[#This Row],[Home/Neutral]],def_diff_lookup,6,FALSE))</f>
        <v>107.49486</v>
      </c>
      <c r="N1047" s="25"/>
      <c r="O1047" s="25"/>
      <c r="P1047">
        <f>VLOOKUP(Table2[[#This Row],[Home/Neutral]],pace_lookup,7,FALSE)</f>
        <v>96.7</v>
      </c>
      <c r="Q1047" s="5">
        <f>VLOOKUP(Table2[[#This Row],[Visitor/Neutral]],pace_lookup,7,FALSE)</f>
        <v>99</v>
      </c>
      <c r="R1047" s="9"/>
      <c r="V1047" s="2">
        <f>-home-VLOOKUP(Table2[[#This Row],[Home/Neutral]],rtg_vlookup,4,FALSE)+VLOOKUP(Table2[[#This Row],[Visitor/Neutral]],rtg_vlookup,4,FALSE)</f>
        <v>-7.5551184834123308</v>
      </c>
      <c r="W1047" s="25"/>
      <c r="X1047" s="2"/>
      <c r="Y1047" s="2">
        <f>Table2[[#This Row],[Away EV]]-Table2[[#This Row],[Home EV]]</f>
        <v>-1.3965269287354403</v>
      </c>
      <c r="Z1047" s="33"/>
      <c r="AA1047" s="34"/>
      <c r="AB1047" s="5" t="b">
        <f>IF(VLOOKUP(Table2[[#This Row],[Home/Neutral]],division_lookup,9,FALSE)=VLOOKUP(Table2[[#This Row],[Visitor/Neutral]],division_lookup,9,FALSE),TRUE,FALSE)</f>
        <v>0</v>
      </c>
      <c r="AC1047" s="19" t="str">
        <f>VLOOKUP(Table2[[#This Row],[Home/Neutral]],division_lookup,9,FALSE)</f>
        <v>SW</v>
      </c>
      <c r="AD1047" s="19"/>
      <c r="AE1047" s="19" t="str">
        <f>IF(Table2[[#This Row],[Total EV ®]]&lt;Table2[[#This Row],[Total (V)]],"UNDER","OVER")</f>
        <v>OVER</v>
      </c>
      <c r="AF1047" s="30">
        <f>Table2[[#This Row],[(A) Spread]]-Table2[[#This Row],[Spread (V)]]</f>
        <v>0</v>
      </c>
      <c r="AG1047" s="19"/>
      <c r="AH1047" s="2">
        <f>Table2[[#This Row],[EV]]-Table2[[#This Row],[Spread (V)]]</f>
        <v>-1.3965269287354403</v>
      </c>
      <c r="AI1047" s="22">
        <f>Table2[[#This Row],[(A)]]-Table2[[#This Row],[Spread]]</f>
        <v>-7.5551184834123308</v>
      </c>
      <c r="AJ1047" s="1">
        <f>Table2[[#This Row],[(A) Err]]^2</f>
        <v>57.079815298398636</v>
      </c>
      <c r="AK1047" s="6">
        <f>Table2[[#This Row],[EV]]-Table2[[#This Row],[Spread]]</f>
        <v>-1.3965269287354403</v>
      </c>
      <c r="AL1047" s="1">
        <f>Table2[[#This Row],[EV Err]]^2</f>
        <v>1.9502874626832414</v>
      </c>
    </row>
    <row r="1048" spans="1:38" x14ac:dyDescent="0.25">
      <c r="A1048" t="s">
        <v>181</v>
      </c>
      <c r="B1048" t="s">
        <v>33</v>
      </c>
      <c r="C1048" t="s">
        <v>20</v>
      </c>
      <c r="K1048" s="25">
        <f>(Table2[[#This Row],[Home Pace]]/100)*(VLOOKUP(Table2[[#This Row],[Home/Neutral]],home_lookup,8,FALSE)+VLOOKUP(Table2[[#This Row],[Home/Neutral]],OFR_lookup,2,FALSE)+VLOOKUP(Table2[[#This Row],[Visitor/Neutral]],def_diff_lookup,6,FALSE))</f>
        <v>106.08527852057507</v>
      </c>
      <c r="L1048" s="25"/>
      <c r="M1048" s="25">
        <f>(Table2[[#This Row],[Away Pace]]/100)*(VLOOKUP(Table2[[#This Row],[Visitor/Neutral]],OFR_lookup,2,FALSE)+VLOOKUP(Table2[[#This Row],[Home/Neutral]],def_diff_lookup,6,FALSE))</f>
        <v>99.154326000000026</v>
      </c>
      <c r="N1048" s="25"/>
      <c r="O1048" s="25"/>
      <c r="P1048">
        <f>VLOOKUP(Table2[[#This Row],[Home/Neutral]],pace_lookup,7,FALSE)</f>
        <v>98.2</v>
      </c>
      <c r="Q1048" s="5">
        <f>VLOOKUP(Table2[[#This Row],[Visitor/Neutral]],pace_lookup,7,FALSE)</f>
        <v>90.9</v>
      </c>
      <c r="R1048" s="9"/>
      <c r="V1048" s="2">
        <f>-home-VLOOKUP(Table2[[#This Row],[Home/Neutral]],rtg_vlookup,4,FALSE)+VLOOKUP(Table2[[#This Row],[Visitor/Neutral]],rtg_vlookup,4,FALSE)</f>
        <v>4.2548815165876697</v>
      </c>
      <c r="W1048" s="25"/>
      <c r="X1048" s="2"/>
      <c r="Y1048" s="2">
        <f>Table2[[#This Row],[Away EV]]-Table2[[#This Row],[Home EV]]</f>
        <v>-6.9309525205750475</v>
      </c>
      <c r="Z1048" s="33"/>
      <c r="AA1048" s="34"/>
      <c r="AB1048" s="5" t="b">
        <f>IF(VLOOKUP(Table2[[#This Row],[Home/Neutral]],division_lookup,9,FALSE)=VLOOKUP(Table2[[#This Row],[Visitor/Neutral]],division_lookup,9,FALSE),TRUE,FALSE)</f>
        <v>0</v>
      </c>
      <c r="AC1048" s="19" t="str">
        <f>VLOOKUP(Table2[[#This Row],[Home/Neutral]],division_lookup,9,FALSE)</f>
        <v>C</v>
      </c>
      <c r="AD1048" s="19"/>
      <c r="AE1048" s="19" t="str">
        <f>IF(Table2[[#This Row],[Total EV ®]]&lt;Table2[[#This Row],[Total (V)]],"UNDER","OVER")</f>
        <v>OVER</v>
      </c>
      <c r="AF1048" s="30">
        <f>Table2[[#This Row],[(A) Spread]]-Table2[[#This Row],[Spread (V)]]</f>
        <v>0</v>
      </c>
      <c r="AG1048" s="19"/>
      <c r="AH1048" s="2">
        <f>Table2[[#This Row],[EV]]-Table2[[#This Row],[Spread (V)]]</f>
        <v>-6.9309525205750475</v>
      </c>
      <c r="AI1048" s="22">
        <f>Table2[[#This Row],[(A)]]-Table2[[#This Row],[Spread]]</f>
        <v>4.2548815165876697</v>
      </c>
      <c r="AJ1048" s="1">
        <f>Table2[[#This Row],[(A) Err]]^2</f>
        <v>18.10401672019939</v>
      </c>
      <c r="AK1048" s="6">
        <f>Table2[[#This Row],[EV]]-Table2[[#This Row],[Spread]]</f>
        <v>-6.9309525205750475</v>
      </c>
      <c r="AL1048" s="1">
        <f>Table2[[#This Row],[EV Err]]^2</f>
        <v>48.038102842465605</v>
      </c>
    </row>
    <row r="1049" spans="1:38" x14ac:dyDescent="0.25">
      <c r="A1049" t="s">
        <v>181</v>
      </c>
      <c r="B1049" t="s">
        <v>4</v>
      </c>
      <c r="C1049" t="s">
        <v>31</v>
      </c>
      <c r="K1049" s="25">
        <f>(Table2[[#This Row],[Home Pace]]/100)*(VLOOKUP(Table2[[#This Row],[Home/Neutral]],home_lookup,8,FALSE)+VLOOKUP(Table2[[#This Row],[Home/Neutral]],OFR_lookup,2,FALSE)+VLOOKUP(Table2[[#This Row],[Visitor/Neutral]],def_diff_lookup,6,FALSE))</f>
        <v>106.87026781393445</v>
      </c>
      <c r="L1049" s="25"/>
      <c r="M1049" s="25">
        <f>(Table2[[#This Row],[Away Pace]]/100)*(VLOOKUP(Table2[[#This Row],[Visitor/Neutral]],OFR_lookup,2,FALSE)+VLOOKUP(Table2[[#This Row],[Home/Neutral]],def_diff_lookup,6,FALSE))</f>
        <v>98.583039999999997</v>
      </c>
      <c r="N1049" s="25"/>
      <c r="O1049" s="25"/>
      <c r="P1049">
        <f>VLOOKUP(Table2[[#This Row],[Home/Neutral]],pace_lookup,7,FALSE)</f>
        <v>96.6</v>
      </c>
      <c r="Q1049" s="5">
        <f>VLOOKUP(Table2[[#This Row],[Visitor/Neutral]],pace_lookup,7,FALSE)</f>
        <v>96</v>
      </c>
      <c r="R1049" s="9"/>
      <c r="V1049" s="2">
        <f>-home-VLOOKUP(Table2[[#This Row],[Home/Neutral]],rtg_vlookup,4,FALSE)+VLOOKUP(Table2[[#This Row],[Visitor/Neutral]],rtg_vlookup,4,FALSE)</f>
        <v>-19.605118483412333</v>
      </c>
      <c r="W1049" s="25"/>
      <c r="X1049" s="2"/>
      <c r="Y1049" s="2">
        <f>Table2[[#This Row],[Away EV]]-Table2[[#This Row],[Home EV]]</f>
        <v>-8.2872278139344502</v>
      </c>
      <c r="Z1049" s="33"/>
      <c r="AA1049" s="34"/>
      <c r="AB1049" s="5" t="b">
        <f>IF(VLOOKUP(Table2[[#This Row],[Home/Neutral]],division_lookup,9,FALSE)=VLOOKUP(Table2[[#This Row],[Visitor/Neutral]],division_lookup,9,FALSE),TRUE,FALSE)</f>
        <v>0</v>
      </c>
      <c r="AC1049" s="19" t="str">
        <f>VLOOKUP(Table2[[#This Row],[Home/Neutral]],division_lookup,9,FALSE)</f>
        <v>P</v>
      </c>
      <c r="AD1049" s="19"/>
      <c r="AE1049" s="19" t="str">
        <f>IF(Table2[[#This Row],[Total EV ®]]&lt;Table2[[#This Row],[Total (V)]],"UNDER","OVER")</f>
        <v>OVER</v>
      </c>
      <c r="AF1049" s="30">
        <f>Table2[[#This Row],[(A) Spread]]-Table2[[#This Row],[Spread (V)]]</f>
        <v>0</v>
      </c>
      <c r="AG1049" s="19"/>
      <c r="AH1049" s="2">
        <f>Table2[[#This Row],[EV]]-Table2[[#This Row],[Spread (V)]]</f>
        <v>-8.2872278139344502</v>
      </c>
      <c r="AI1049" s="22">
        <f>Table2[[#This Row],[(A)]]-Table2[[#This Row],[Spread]]</f>
        <v>-19.605118483412333</v>
      </c>
      <c r="AJ1049" s="1">
        <f>Table2[[#This Row],[(A) Err]]^2</f>
        <v>384.36067074863593</v>
      </c>
      <c r="AK1049" s="6">
        <f>Table2[[#This Row],[EV]]-Table2[[#This Row],[Spread]]</f>
        <v>-8.2872278139344502</v>
      </c>
      <c r="AL1049" s="1">
        <f>Table2[[#This Row],[EV Err]]^2</f>
        <v>68.678144840048759</v>
      </c>
    </row>
    <row r="1050" spans="1:38" x14ac:dyDescent="0.25">
      <c r="A1050" t="s">
        <v>181</v>
      </c>
      <c r="B1050" t="s">
        <v>18</v>
      </c>
      <c r="C1050" t="s">
        <v>10</v>
      </c>
      <c r="K1050" s="25">
        <f>(Table2[[#This Row],[Home Pace]]/100)*(VLOOKUP(Table2[[#This Row],[Home/Neutral]],home_lookup,8,FALSE)+VLOOKUP(Table2[[#This Row],[Home/Neutral]],OFR_lookup,2,FALSE)+VLOOKUP(Table2[[#This Row],[Visitor/Neutral]],def_diff_lookup,6,FALSE))</f>
        <v>104.43740616021131</v>
      </c>
      <c r="L1050" s="25"/>
      <c r="M1050" s="25">
        <f>(Table2[[#This Row],[Away Pace]]/100)*(VLOOKUP(Table2[[#This Row],[Visitor/Neutral]],OFR_lookup,2,FALSE)+VLOOKUP(Table2[[#This Row],[Home/Neutral]],def_diff_lookup,6,FALSE))</f>
        <v>112.51720866666666</v>
      </c>
      <c r="N1050" s="25"/>
      <c r="O1050" s="25"/>
      <c r="P1050">
        <f>VLOOKUP(Table2[[#This Row],[Home/Neutral]],pace_lookup,7,FALSE)</f>
        <v>99.5</v>
      </c>
      <c r="Q1050" s="5">
        <f>VLOOKUP(Table2[[#This Row],[Visitor/Neutral]],pace_lookup,7,FALSE)</f>
        <v>100.3</v>
      </c>
      <c r="R1050" s="9"/>
      <c r="V1050" s="2">
        <f>-home-VLOOKUP(Table2[[#This Row],[Home/Neutral]],rtg_vlookup,4,FALSE)+VLOOKUP(Table2[[#This Row],[Visitor/Neutral]],rtg_vlookup,4,FALSE)</f>
        <v>3.4248815165876696</v>
      </c>
      <c r="W1050" s="25"/>
      <c r="X1050" s="2"/>
      <c r="Y1050" s="2">
        <f>Table2[[#This Row],[Away EV]]-Table2[[#This Row],[Home EV]]</f>
        <v>8.0798025064553514</v>
      </c>
      <c r="Z1050" s="33"/>
      <c r="AA1050" s="34"/>
      <c r="AB1050" s="5" t="b">
        <f>IF(VLOOKUP(Table2[[#This Row],[Home/Neutral]],division_lookup,9,FALSE)=VLOOKUP(Table2[[#This Row],[Visitor/Neutral]],division_lookup,9,FALSE),TRUE,FALSE)</f>
        <v>0</v>
      </c>
      <c r="AC1050" s="19" t="str">
        <f>VLOOKUP(Table2[[#This Row],[Home/Neutral]],division_lookup,9,FALSE)</f>
        <v>NW</v>
      </c>
      <c r="AD1050" s="19"/>
      <c r="AE1050" s="19" t="str">
        <f>IF(Table2[[#This Row],[Total EV ®]]&lt;Table2[[#This Row],[Total (V)]],"UNDER","OVER")</f>
        <v>OVER</v>
      </c>
      <c r="AF1050" s="30">
        <f>Table2[[#This Row],[(A) Spread]]-Table2[[#This Row],[Spread (V)]]</f>
        <v>0</v>
      </c>
      <c r="AG1050" s="19"/>
      <c r="AH1050" s="2">
        <f>Table2[[#This Row],[EV]]-Table2[[#This Row],[Spread (V)]]</f>
        <v>8.0798025064553514</v>
      </c>
      <c r="AI1050" s="22">
        <f>Table2[[#This Row],[(A)]]-Table2[[#This Row],[Spread]]</f>
        <v>3.4248815165876696</v>
      </c>
      <c r="AJ1050" s="1">
        <f>Table2[[#This Row],[(A) Err]]^2</f>
        <v>11.729813402663856</v>
      </c>
      <c r="AK1050" s="6">
        <f>Table2[[#This Row],[EV]]-Table2[[#This Row],[Spread]]</f>
        <v>8.0798025064553514</v>
      </c>
      <c r="AL1050" s="1">
        <f>Table2[[#This Row],[EV Err]]^2</f>
        <v>65.283208543322175</v>
      </c>
    </row>
    <row r="1051" spans="1:38" x14ac:dyDescent="0.25">
      <c r="A1051" t="s">
        <v>181</v>
      </c>
      <c r="B1051" t="s">
        <v>38</v>
      </c>
      <c r="C1051" t="s">
        <v>39</v>
      </c>
      <c r="K1051" s="25">
        <f>(Table2[[#This Row],[Home Pace]]/100)*(VLOOKUP(Table2[[#This Row],[Home/Neutral]],home_lookup,8,FALSE)+VLOOKUP(Table2[[#This Row],[Home/Neutral]],OFR_lookup,2,FALSE)+VLOOKUP(Table2[[#This Row],[Visitor/Neutral]],def_diff_lookup,6,FALSE))</f>
        <v>108.8414716789148</v>
      </c>
      <c r="L1051" s="25"/>
      <c r="M1051" s="25">
        <f>(Table2[[#This Row],[Away Pace]]/100)*(VLOOKUP(Table2[[#This Row],[Visitor/Neutral]],OFR_lookup,2,FALSE)+VLOOKUP(Table2[[#This Row],[Home/Neutral]],def_diff_lookup,6,FALSE))</f>
        <v>98.641400000000004</v>
      </c>
      <c r="N1051" s="25"/>
      <c r="O1051" s="25"/>
      <c r="P1051">
        <f>VLOOKUP(Table2[[#This Row],[Home/Neutral]],pace_lookup,7,FALSE)</f>
        <v>94.2</v>
      </c>
      <c r="Q1051" s="5">
        <f>VLOOKUP(Table2[[#This Row],[Visitor/Neutral]],pace_lookup,7,FALSE)</f>
        <v>97.5</v>
      </c>
      <c r="R1051" s="9"/>
      <c r="V1051" s="2">
        <f>-home-VLOOKUP(Table2[[#This Row],[Home/Neutral]],rtg_vlookup,4,FALSE)+VLOOKUP(Table2[[#This Row],[Visitor/Neutral]],rtg_vlookup,4,FALSE)</f>
        <v>-3.3051184834123308</v>
      </c>
      <c r="W1051" s="25"/>
      <c r="X1051" s="2"/>
      <c r="Y1051" s="2">
        <f>Table2[[#This Row],[Away EV]]-Table2[[#This Row],[Home EV]]</f>
        <v>-10.200071678914796</v>
      </c>
      <c r="Z1051" s="33"/>
      <c r="AA1051" s="34"/>
      <c r="AB1051" s="5" t="b">
        <f>IF(VLOOKUP(Table2[[#This Row],[Home/Neutral]],division_lookup,9,FALSE)=VLOOKUP(Table2[[#This Row],[Visitor/Neutral]],division_lookup,9,FALSE),TRUE,FALSE)</f>
        <v>0</v>
      </c>
      <c r="AC1051" s="19" t="str">
        <f>VLOOKUP(Table2[[#This Row],[Home/Neutral]],division_lookup,9,FALSE)</f>
        <v>SE</v>
      </c>
      <c r="AD1051" s="19"/>
      <c r="AE1051" s="19" t="str">
        <f>IF(Table2[[#This Row],[Total EV ®]]&lt;Table2[[#This Row],[Total (V)]],"UNDER","OVER")</f>
        <v>OVER</v>
      </c>
      <c r="AF1051" s="30">
        <f>Table2[[#This Row],[(A) Spread]]-Table2[[#This Row],[Spread (V)]]</f>
        <v>0</v>
      </c>
      <c r="AG1051" s="19"/>
      <c r="AH1051" s="2">
        <f>Table2[[#This Row],[EV]]-Table2[[#This Row],[Spread (V)]]</f>
        <v>-10.200071678914796</v>
      </c>
      <c r="AI1051" s="22">
        <f>Table2[[#This Row],[(A)]]-Table2[[#This Row],[Spread]]</f>
        <v>-3.3051184834123308</v>
      </c>
      <c r="AJ1051" s="1">
        <f>Table2[[#This Row],[(A) Err]]^2</f>
        <v>10.923808189393826</v>
      </c>
      <c r="AK1051" s="6">
        <f>Table2[[#This Row],[EV]]-Table2[[#This Row],[Spread]]</f>
        <v>-10.200071678914796</v>
      </c>
      <c r="AL1051" s="1">
        <f>Table2[[#This Row],[EV Err]]^2</f>
        <v>104.0414622549997</v>
      </c>
    </row>
    <row r="1052" spans="1:38" x14ac:dyDescent="0.25">
      <c r="A1052" t="s">
        <v>182</v>
      </c>
      <c r="B1052" t="s">
        <v>35</v>
      </c>
      <c r="C1052" t="s">
        <v>25</v>
      </c>
      <c r="K1052" s="25">
        <f>(Table2[[#This Row],[Home Pace]]/100)*(VLOOKUP(Table2[[#This Row],[Home/Neutral]],home_lookup,8,FALSE)+VLOOKUP(Table2[[#This Row],[Home/Neutral]],OFR_lookup,2,FALSE)+VLOOKUP(Table2[[#This Row],[Visitor/Neutral]],def_diff_lookup,6,FALSE))</f>
        <v>103.84887121209626</v>
      </c>
      <c r="L1052" s="25"/>
      <c r="M1052" s="25">
        <f>(Table2[[#This Row],[Away Pace]]/100)*(VLOOKUP(Table2[[#This Row],[Visitor/Neutral]],OFR_lookup,2,FALSE)+VLOOKUP(Table2[[#This Row],[Home/Neutral]],def_diff_lookup,6,FALSE))</f>
        <v>100.23454933333333</v>
      </c>
      <c r="N1052" s="25"/>
      <c r="O1052" s="25"/>
      <c r="P1052">
        <f>VLOOKUP(Table2[[#This Row],[Home/Neutral]],pace_lookup,7,FALSE)</f>
        <v>102.2</v>
      </c>
      <c r="Q1052" s="5">
        <f>VLOOKUP(Table2[[#This Row],[Visitor/Neutral]],pace_lookup,7,FALSE)</f>
        <v>94.4</v>
      </c>
      <c r="R1052" s="9"/>
      <c r="V1052" s="2">
        <f>-home-VLOOKUP(Table2[[#This Row],[Home/Neutral]],rtg_vlookup,4,FALSE)+VLOOKUP(Table2[[#This Row],[Visitor/Neutral]],rtg_vlookup,4,FALSE)</f>
        <v>3.5748815165876691</v>
      </c>
      <c r="W1052" s="25"/>
      <c r="X1052" s="2"/>
      <c r="Y1052" s="2">
        <f>Table2[[#This Row],[Away EV]]-Table2[[#This Row],[Home EV]]</f>
        <v>-3.6143218787629223</v>
      </c>
      <c r="Z1052" s="33"/>
      <c r="AA1052" s="34"/>
      <c r="AB1052" s="5" t="b">
        <f>IF(VLOOKUP(Table2[[#This Row],[Home/Neutral]],division_lookup,9,FALSE)=VLOOKUP(Table2[[#This Row],[Visitor/Neutral]],division_lookup,9,FALSE),TRUE,FALSE)</f>
        <v>0</v>
      </c>
      <c r="AC1052" s="19" t="str">
        <f>VLOOKUP(Table2[[#This Row],[Home/Neutral]],division_lookup,9,FALSE)</f>
        <v>A</v>
      </c>
      <c r="AD1052" s="19"/>
      <c r="AE1052" s="19" t="str">
        <f>IF(Table2[[#This Row],[Total EV ®]]&lt;Table2[[#This Row],[Total (V)]],"UNDER","OVER")</f>
        <v>OVER</v>
      </c>
      <c r="AF1052" s="30">
        <f>Table2[[#This Row],[(A) Spread]]-Table2[[#This Row],[Spread (V)]]</f>
        <v>0</v>
      </c>
      <c r="AG1052" s="19"/>
      <c r="AH1052" s="2">
        <f>Table2[[#This Row],[EV]]-Table2[[#This Row],[Spread (V)]]</f>
        <v>-3.6143218787629223</v>
      </c>
      <c r="AI1052" s="22">
        <f>Table2[[#This Row],[(A)]]-Table2[[#This Row],[Spread]]</f>
        <v>3.5748815165876691</v>
      </c>
      <c r="AJ1052" s="1">
        <f>Table2[[#This Row],[(A) Err]]^2</f>
        <v>12.779777857640152</v>
      </c>
      <c r="AK1052" s="6">
        <f>Table2[[#This Row],[EV]]-Table2[[#This Row],[Spread]]</f>
        <v>-3.6143218787629223</v>
      </c>
      <c r="AL1052" s="1">
        <f>Table2[[#This Row],[EV Err]]^2</f>
        <v>13.063322643304341</v>
      </c>
    </row>
    <row r="1053" spans="1:38" x14ac:dyDescent="0.25">
      <c r="A1053" t="s">
        <v>182</v>
      </c>
      <c r="B1053" t="s">
        <v>37</v>
      </c>
      <c r="C1053" t="s">
        <v>10</v>
      </c>
      <c r="K1053" s="25">
        <f>(Table2[[#This Row],[Home Pace]]/100)*(VLOOKUP(Table2[[#This Row],[Home/Neutral]],home_lookup,8,FALSE)+VLOOKUP(Table2[[#This Row],[Home/Neutral]],OFR_lookup,2,FALSE)+VLOOKUP(Table2[[#This Row],[Visitor/Neutral]],def_diff_lookup,6,FALSE))</f>
        <v>103.82258809362122</v>
      </c>
      <c r="L1053" s="25"/>
      <c r="M1053" s="25">
        <f>(Table2[[#This Row],[Away Pace]]/100)*(VLOOKUP(Table2[[#This Row],[Visitor/Neutral]],OFR_lookup,2,FALSE)+VLOOKUP(Table2[[#This Row],[Home/Neutral]],def_diff_lookup,6,FALSE))</f>
        <v>113.64056866666665</v>
      </c>
      <c r="N1053" s="25"/>
      <c r="O1053" s="25"/>
      <c r="P1053">
        <f>VLOOKUP(Table2[[#This Row],[Home/Neutral]],pace_lookup,7,FALSE)</f>
        <v>92.1</v>
      </c>
      <c r="Q1053" s="5">
        <f>VLOOKUP(Table2[[#This Row],[Visitor/Neutral]],pace_lookup,7,FALSE)</f>
        <v>100.3</v>
      </c>
      <c r="R1053" s="9"/>
      <c r="V1053" s="2">
        <f>-home-VLOOKUP(Table2[[#This Row],[Home/Neutral]],rtg_vlookup,4,FALSE)+VLOOKUP(Table2[[#This Row],[Visitor/Neutral]],rtg_vlookup,4,FALSE)</f>
        <v>13.23488151658767</v>
      </c>
      <c r="W1053" s="25"/>
      <c r="X1053" s="2"/>
      <c r="Y1053" s="2">
        <f>Table2[[#This Row],[Away EV]]-Table2[[#This Row],[Home EV]]</f>
        <v>9.8179805730454319</v>
      </c>
      <c r="Z1053" s="33"/>
      <c r="AA1053" s="34"/>
      <c r="AB1053" s="5" t="b">
        <f>IF(VLOOKUP(Table2[[#This Row],[Home/Neutral]],division_lookup,9,FALSE)=VLOOKUP(Table2[[#This Row],[Visitor/Neutral]],division_lookup,9,FALSE),TRUE,FALSE)</f>
        <v>0</v>
      </c>
      <c r="AC1053" s="19" t="str">
        <f>VLOOKUP(Table2[[#This Row],[Home/Neutral]],division_lookup,9,FALSE)</f>
        <v>SW</v>
      </c>
      <c r="AD1053" s="19"/>
      <c r="AE1053" s="19" t="str">
        <f>IF(Table2[[#This Row],[Total EV ®]]&lt;Table2[[#This Row],[Total (V)]],"UNDER","OVER")</f>
        <v>OVER</v>
      </c>
      <c r="AF1053" s="30">
        <f>Table2[[#This Row],[(A) Spread]]-Table2[[#This Row],[Spread (V)]]</f>
        <v>0</v>
      </c>
      <c r="AG1053" s="19"/>
      <c r="AH1053" s="2">
        <f>Table2[[#This Row],[EV]]-Table2[[#This Row],[Spread (V)]]</f>
        <v>9.8179805730454319</v>
      </c>
      <c r="AI1053" s="22">
        <f>Table2[[#This Row],[(A)]]-Table2[[#This Row],[Spread]]</f>
        <v>13.23488151658767</v>
      </c>
      <c r="AJ1053" s="1">
        <f>Table2[[#This Row],[(A) Err]]^2</f>
        <v>175.16208875811395</v>
      </c>
      <c r="AK1053" s="6">
        <f>Table2[[#This Row],[EV]]-Table2[[#This Row],[Spread]]</f>
        <v>9.8179805730454319</v>
      </c>
      <c r="AL1053" s="1">
        <f>Table2[[#This Row],[EV Err]]^2</f>
        <v>96.392742532697511</v>
      </c>
    </row>
    <row r="1054" spans="1:38" x14ac:dyDescent="0.25">
      <c r="A1054" t="s">
        <v>182</v>
      </c>
      <c r="B1054" t="s">
        <v>24</v>
      </c>
      <c r="C1054" t="s">
        <v>4</v>
      </c>
      <c r="K1054" s="25">
        <f>(Table2[[#This Row],[Home Pace]]/100)*(VLOOKUP(Table2[[#This Row],[Home/Neutral]],home_lookup,8,FALSE)+VLOOKUP(Table2[[#This Row],[Home/Neutral]],OFR_lookup,2,FALSE)+VLOOKUP(Table2[[#This Row],[Visitor/Neutral]],def_diff_lookup,6,FALSE))</f>
        <v>103.10259432830941</v>
      </c>
      <c r="L1054" s="25"/>
      <c r="M1054" s="25">
        <f>(Table2[[#This Row],[Away Pace]]/100)*(VLOOKUP(Table2[[#This Row],[Visitor/Neutral]],OFR_lookup,2,FALSE)+VLOOKUP(Table2[[#This Row],[Home/Neutral]],def_diff_lookup,6,FALSE))</f>
        <v>114.78076399999999</v>
      </c>
      <c r="N1054" s="25"/>
      <c r="O1054" s="25"/>
      <c r="P1054">
        <f>VLOOKUP(Table2[[#This Row],[Home/Neutral]],pace_lookup,7,FALSE)</f>
        <v>99.9</v>
      </c>
      <c r="Q1054" s="5">
        <f>VLOOKUP(Table2[[#This Row],[Visitor/Neutral]],pace_lookup,7,FALSE)</f>
        <v>96.6</v>
      </c>
      <c r="R1054" s="9"/>
      <c r="V1054" s="2">
        <f>-home-VLOOKUP(Table2[[#This Row],[Home/Neutral]],rtg_vlookup,4,FALSE)+VLOOKUP(Table2[[#This Row],[Visitor/Neutral]],rtg_vlookup,4,FALSE)</f>
        <v>11.65488151658767</v>
      </c>
      <c r="W1054" s="25"/>
      <c r="X1054" s="2"/>
      <c r="Y1054" s="2">
        <f>Table2[[#This Row],[Away EV]]-Table2[[#This Row],[Home EV]]</f>
        <v>11.678169671690583</v>
      </c>
      <c r="Z1054" s="33"/>
      <c r="AA1054" s="34"/>
      <c r="AB1054" s="5" t="b">
        <f>IF(VLOOKUP(Table2[[#This Row],[Home/Neutral]],division_lookup,9,FALSE)=VLOOKUP(Table2[[#This Row],[Visitor/Neutral]],division_lookup,9,FALSE),TRUE,FALSE)</f>
        <v>1</v>
      </c>
      <c r="AC1054" s="19" t="str">
        <f>VLOOKUP(Table2[[#This Row],[Home/Neutral]],division_lookup,9,FALSE)</f>
        <v>P</v>
      </c>
      <c r="AD1054" s="19"/>
      <c r="AE1054" s="19" t="str">
        <f>IF(Table2[[#This Row],[Total EV ®]]&lt;Table2[[#This Row],[Total (V)]],"UNDER","OVER")</f>
        <v>OVER</v>
      </c>
      <c r="AF1054" s="30">
        <f>Table2[[#This Row],[(A) Spread]]-Table2[[#This Row],[Spread (V)]]</f>
        <v>0</v>
      </c>
      <c r="AG1054" s="19"/>
      <c r="AH1054" s="2">
        <f>Table2[[#This Row],[EV]]-Table2[[#This Row],[Spread (V)]]</f>
        <v>11.678169671690583</v>
      </c>
      <c r="AI1054" s="22">
        <f>Table2[[#This Row],[(A)]]-Table2[[#This Row],[Spread]]</f>
        <v>11.65488151658767</v>
      </c>
      <c r="AJ1054" s="1">
        <f>Table2[[#This Row],[(A) Err]]^2</f>
        <v>135.83626316569692</v>
      </c>
      <c r="AK1054" s="6">
        <f>Table2[[#This Row],[EV]]-Table2[[#This Row],[Spread]]</f>
        <v>11.678169671690583</v>
      </c>
      <c r="AL1054" s="1">
        <f>Table2[[#This Row],[EV Err]]^2</f>
        <v>136.37964688079373</v>
      </c>
    </row>
    <row r="1055" spans="1:38" x14ac:dyDescent="0.25">
      <c r="A1055" t="s">
        <v>182</v>
      </c>
      <c r="B1055" t="s">
        <v>21</v>
      </c>
      <c r="C1055" t="s">
        <v>36</v>
      </c>
      <c r="K1055" s="25">
        <f>(Table2[[#This Row],[Home Pace]]/100)*(VLOOKUP(Table2[[#This Row],[Home/Neutral]],home_lookup,8,FALSE)+VLOOKUP(Table2[[#This Row],[Home/Neutral]],OFR_lookup,2,FALSE)+VLOOKUP(Table2[[#This Row],[Visitor/Neutral]],def_diff_lookup,6,FALSE))</f>
        <v>104.16331117524389</v>
      </c>
      <c r="L1055" s="25"/>
      <c r="M1055" s="25">
        <f>(Table2[[#This Row],[Away Pace]]/100)*(VLOOKUP(Table2[[#This Row],[Visitor/Neutral]],OFR_lookup,2,FALSE)+VLOOKUP(Table2[[#This Row],[Home/Neutral]],def_diff_lookup,6,FALSE))</f>
        <v>101.37286133333336</v>
      </c>
      <c r="N1055" s="25"/>
      <c r="O1055" s="25"/>
      <c r="P1055">
        <f>VLOOKUP(Table2[[#This Row],[Home/Neutral]],pace_lookup,7,FALSE)</f>
        <v>94.2</v>
      </c>
      <c r="Q1055" s="5">
        <f>VLOOKUP(Table2[[#This Row],[Visitor/Neutral]],pace_lookup,7,FALSE)</f>
        <v>102.2</v>
      </c>
      <c r="R1055" s="9"/>
      <c r="V1055" s="2">
        <f>-home-VLOOKUP(Table2[[#This Row],[Home/Neutral]],rtg_vlookup,4,FALSE)+VLOOKUP(Table2[[#This Row],[Visitor/Neutral]],rtg_vlookup,4,FALSE)</f>
        <v>-8.8351184834123302</v>
      </c>
      <c r="W1055" s="25"/>
      <c r="X1055" s="2"/>
      <c r="Y1055" s="2">
        <f>Table2[[#This Row],[Away EV]]-Table2[[#This Row],[Home EV]]</f>
        <v>-2.7904498419105295</v>
      </c>
      <c r="Z1055" s="33"/>
      <c r="AA1055" s="34"/>
      <c r="AB1055" s="5" t="b">
        <f>IF(VLOOKUP(Table2[[#This Row],[Home/Neutral]],division_lookup,9,FALSE)=VLOOKUP(Table2[[#This Row],[Visitor/Neutral]],division_lookup,9,FALSE),TRUE,FALSE)</f>
        <v>0</v>
      </c>
      <c r="AC1055" s="19" t="str">
        <f>VLOOKUP(Table2[[#This Row],[Home/Neutral]],division_lookup,9,FALSE)</f>
        <v>SE</v>
      </c>
      <c r="AD1055" s="19"/>
      <c r="AE1055" s="19" t="str">
        <f>IF(Table2[[#This Row],[Total EV ®]]&lt;Table2[[#This Row],[Total (V)]],"UNDER","OVER")</f>
        <v>OVER</v>
      </c>
      <c r="AF1055" s="30">
        <f>Table2[[#This Row],[(A) Spread]]-Table2[[#This Row],[Spread (V)]]</f>
        <v>0</v>
      </c>
      <c r="AG1055" s="19"/>
      <c r="AH1055" s="2">
        <f>Table2[[#This Row],[EV]]-Table2[[#This Row],[Spread (V)]]</f>
        <v>-2.7904498419105295</v>
      </c>
      <c r="AI1055" s="22">
        <f>Table2[[#This Row],[(A)]]-Table2[[#This Row],[Spread]]</f>
        <v>-8.8351184834123302</v>
      </c>
      <c r="AJ1055" s="1">
        <f>Table2[[#This Row],[(A) Err]]^2</f>
        <v>78.059318615934188</v>
      </c>
      <c r="AK1055" s="6">
        <f>Table2[[#This Row],[EV]]-Table2[[#This Row],[Spread]]</f>
        <v>-2.7904498419105295</v>
      </c>
      <c r="AL1055" s="1">
        <f>Table2[[#This Row],[EV Err]]^2</f>
        <v>7.7866103202184993</v>
      </c>
    </row>
    <row r="1056" spans="1:38" x14ac:dyDescent="0.25">
      <c r="A1056" t="s">
        <v>182</v>
      </c>
      <c r="B1056" t="s">
        <v>22</v>
      </c>
      <c r="C1056" t="s">
        <v>6</v>
      </c>
      <c r="K1056" s="25">
        <f>(Table2[[#This Row],[Home Pace]]/100)*(VLOOKUP(Table2[[#This Row],[Home/Neutral]],home_lookup,8,FALSE)+VLOOKUP(Table2[[#This Row],[Home/Neutral]],OFR_lookup,2,FALSE)+VLOOKUP(Table2[[#This Row],[Visitor/Neutral]],def_diff_lookup,6,FALSE))</f>
        <v>108.74730922968976</v>
      </c>
      <c r="L1056" s="25"/>
      <c r="M1056" s="25">
        <f>(Table2[[#This Row],[Away Pace]]/100)*(VLOOKUP(Table2[[#This Row],[Visitor/Neutral]],OFR_lookup,2,FALSE)+VLOOKUP(Table2[[#This Row],[Home/Neutral]],def_diff_lookup,6,FALSE))</f>
        <v>107.10286066666667</v>
      </c>
      <c r="N1056" s="25"/>
      <c r="O1056" s="25"/>
      <c r="P1056">
        <f>VLOOKUP(Table2[[#This Row],[Home/Neutral]],pace_lookup,7,FALSE)</f>
        <v>94.7</v>
      </c>
      <c r="Q1056" s="5">
        <f>VLOOKUP(Table2[[#This Row],[Visitor/Neutral]],pace_lookup,7,FALSE)</f>
        <v>93.1</v>
      </c>
      <c r="R1056" s="9"/>
      <c r="V1056" s="2">
        <f>-home-VLOOKUP(Table2[[#This Row],[Home/Neutral]],rtg_vlookup,4,FALSE)+VLOOKUP(Table2[[#This Row],[Visitor/Neutral]],rtg_vlookup,4,FALSE)</f>
        <v>3.3648815165876691</v>
      </c>
      <c r="W1056" s="25"/>
      <c r="X1056" s="2"/>
      <c r="Y1056" s="2">
        <f>Table2[[#This Row],[Away EV]]-Table2[[#This Row],[Home EV]]</f>
        <v>-1.6444485630230901</v>
      </c>
      <c r="Z1056" s="33"/>
      <c r="AA1056" s="34"/>
      <c r="AB1056" s="5" t="b">
        <f>IF(VLOOKUP(Table2[[#This Row],[Home/Neutral]],division_lookup,9,FALSE)=VLOOKUP(Table2[[#This Row],[Visitor/Neutral]],division_lookup,9,FALSE),TRUE,FALSE)</f>
        <v>0</v>
      </c>
      <c r="AC1056" s="19" t="str">
        <f>VLOOKUP(Table2[[#This Row],[Home/Neutral]],division_lookup,9,FALSE)</f>
        <v>NW</v>
      </c>
      <c r="AD1056" s="19"/>
      <c r="AE1056" s="19" t="str">
        <f>IF(Table2[[#This Row],[Total EV ®]]&lt;Table2[[#This Row],[Total (V)]],"UNDER","OVER")</f>
        <v>OVER</v>
      </c>
      <c r="AF1056" s="30">
        <f>Table2[[#This Row],[(A) Spread]]-Table2[[#This Row],[Spread (V)]]</f>
        <v>0</v>
      </c>
      <c r="AG1056" s="19"/>
      <c r="AH1056" s="2">
        <f>Table2[[#This Row],[EV]]-Table2[[#This Row],[Spread (V)]]</f>
        <v>-1.6444485630230901</v>
      </c>
      <c r="AI1056" s="22">
        <f>Table2[[#This Row],[(A)]]-Table2[[#This Row],[Spread]]</f>
        <v>3.3648815165876691</v>
      </c>
      <c r="AJ1056" s="1">
        <f>Table2[[#This Row],[(A) Err]]^2</f>
        <v>11.322427620673333</v>
      </c>
      <c r="AK1056" s="6">
        <f>Table2[[#This Row],[EV]]-Table2[[#This Row],[Spread]]</f>
        <v>-1.6444485630230901</v>
      </c>
      <c r="AL1056" s="1">
        <f>Table2[[#This Row],[EV Err]]^2</f>
        <v>2.704211076428706</v>
      </c>
    </row>
    <row r="1057" spans="1:38" x14ac:dyDescent="0.25">
      <c r="A1057" t="s">
        <v>182</v>
      </c>
      <c r="B1057" t="s">
        <v>34</v>
      </c>
      <c r="C1057" t="s">
        <v>23</v>
      </c>
      <c r="K1057" s="25">
        <f>(Table2[[#This Row],[Home Pace]]/100)*(VLOOKUP(Table2[[#This Row],[Home/Neutral]],home_lookup,8,FALSE)+VLOOKUP(Table2[[#This Row],[Home/Neutral]],OFR_lookup,2,FALSE)+VLOOKUP(Table2[[#This Row],[Visitor/Neutral]],def_diff_lookup,6,FALSE))</f>
        <v>100.57023864565556</v>
      </c>
      <c r="L1057" s="25"/>
      <c r="M1057" s="25">
        <f>(Table2[[#This Row],[Away Pace]]/100)*(VLOOKUP(Table2[[#This Row],[Visitor/Neutral]],OFR_lookup,2,FALSE)+VLOOKUP(Table2[[#This Row],[Home/Neutral]],def_diff_lookup,6,FALSE))</f>
        <v>96.256116666666685</v>
      </c>
      <c r="N1057" s="25"/>
      <c r="O1057" s="25"/>
      <c r="P1057">
        <f>VLOOKUP(Table2[[#This Row],[Home/Neutral]],pace_lookup,7,FALSE)</f>
        <v>98.8</v>
      </c>
      <c r="Q1057" s="5">
        <f>VLOOKUP(Table2[[#This Row],[Visitor/Neutral]],pace_lookup,7,FALSE)</f>
        <v>92.5</v>
      </c>
      <c r="R1057" s="9"/>
      <c r="V1057" s="2">
        <f>-home-VLOOKUP(Table2[[#This Row],[Home/Neutral]],rtg_vlookup,4,FALSE)+VLOOKUP(Table2[[#This Row],[Visitor/Neutral]],rtg_vlookup,4,FALSE)</f>
        <v>4.704881516587669</v>
      </c>
      <c r="W1057" s="25"/>
      <c r="X1057" s="2"/>
      <c r="Y1057" s="2">
        <f>Table2[[#This Row],[Away EV]]-Table2[[#This Row],[Home EV]]</f>
        <v>-4.3141219789888794</v>
      </c>
      <c r="Z1057" s="33"/>
      <c r="AA1057" s="34"/>
      <c r="AB1057" s="5" t="b">
        <f>IF(VLOOKUP(Table2[[#This Row],[Home/Neutral]],division_lookup,9,FALSE)=VLOOKUP(Table2[[#This Row],[Visitor/Neutral]],division_lookup,9,FALSE),TRUE,FALSE)</f>
        <v>1</v>
      </c>
      <c r="AC1057" s="19" t="str">
        <f>VLOOKUP(Table2[[#This Row],[Home/Neutral]],division_lookup,9,FALSE)</f>
        <v>SW</v>
      </c>
      <c r="AD1057" s="19"/>
      <c r="AE1057" s="19" t="str">
        <f>IF(Table2[[#This Row],[Total EV ®]]&lt;Table2[[#This Row],[Total (V)]],"UNDER","OVER")</f>
        <v>OVER</v>
      </c>
      <c r="AF1057" s="30">
        <f>Table2[[#This Row],[(A) Spread]]-Table2[[#This Row],[Spread (V)]]</f>
        <v>0</v>
      </c>
      <c r="AG1057" s="19"/>
      <c r="AH1057" s="2">
        <f>Table2[[#This Row],[EV]]-Table2[[#This Row],[Spread (V)]]</f>
        <v>-4.3141219789888794</v>
      </c>
      <c r="AI1057" s="22">
        <f>Table2[[#This Row],[(A)]]-Table2[[#This Row],[Spread]]</f>
        <v>4.704881516587669</v>
      </c>
      <c r="AJ1057" s="1">
        <f>Table2[[#This Row],[(A) Err]]^2</f>
        <v>22.135910085128284</v>
      </c>
      <c r="AK1057" s="6">
        <f>Table2[[#This Row],[EV]]-Table2[[#This Row],[Spread]]</f>
        <v>-4.3141219789888794</v>
      </c>
      <c r="AL1057" s="1">
        <f>Table2[[#This Row],[EV Err]]^2</f>
        <v>18.611648449594924</v>
      </c>
    </row>
    <row r="1058" spans="1:38" x14ac:dyDescent="0.25">
      <c r="A1058" t="s">
        <v>182</v>
      </c>
      <c r="B1058" t="s">
        <v>32</v>
      </c>
      <c r="C1058" t="s">
        <v>30</v>
      </c>
      <c r="K1058" s="25">
        <f>(Table2[[#This Row],[Home Pace]]/100)*(VLOOKUP(Table2[[#This Row],[Home/Neutral]],home_lookup,8,FALSE)+VLOOKUP(Table2[[#This Row],[Home/Neutral]],OFR_lookup,2,FALSE)+VLOOKUP(Table2[[#This Row],[Visitor/Neutral]],def_diff_lookup,6,FALSE))</f>
        <v>111.12123112001841</v>
      </c>
      <c r="L1058" s="25"/>
      <c r="M1058" s="25">
        <f>(Table2[[#This Row],[Away Pace]]/100)*(VLOOKUP(Table2[[#This Row],[Visitor/Neutral]],OFR_lookup,2,FALSE)+VLOOKUP(Table2[[#This Row],[Home/Neutral]],def_diff_lookup,6,FALSE))</f>
        <v>107.24536533333334</v>
      </c>
      <c r="N1058" s="25"/>
      <c r="O1058" s="25"/>
      <c r="P1058">
        <f>VLOOKUP(Table2[[#This Row],[Home/Neutral]],pace_lookup,7,FALSE)</f>
        <v>98.6</v>
      </c>
      <c r="Q1058" s="5">
        <f>VLOOKUP(Table2[[#This Row],[Visitor/Neutral]],pace_lookup,7,FALSE)</f>
        <v>96.8</v>
      </c>
      <c r="R1058" s="9"/>
      <c r="V1058" s="2">
        <f>-home-VLOOKUP(Table2[[#This Row],[Home/Neutral]],rtg_vlookup,4,FALSE)+VLOOKUP(Table2[[#This Row],[Visitor/Neutral]],rtg_vlookup,4,FALSE)</f>
        <v>-2.3551184834123307</v>
      </c>
      <c r="W1058" s="25"/>
      <c r="X1058" s="2"/>
      <c r="Y1058" s="2">
        <f>Table2[[#This Row],[Away EV]]-Table2[[#This Row],[Home EV]]</f>
        <v>-3.8758657866850683</v>
      </c>
      <c r="Z1058" s="33"/>
      <c r="AA1058" s="34"/>
      <c r="AB1058" s="5" t="b">
        <f>IF(VLOOKUP(Table2[[#This Row],[Home/Neutral]],division_lookup,9,FALSE)=VLOOKUP(Table2[[#This Row],[Visitor/Neutral]],division_lookup,9,FALSE),TRUE,FALSE)</f>
        <v>0</v>
      </c>
      <c r="AC1058" s="19" t="str">
        <f>VLOOKUP(Table2[[#This Row],[Home/Neutral]],division_lookup,9,FALSE)</f>
        <v>NW</v>
      </c>
      <c r="AD1058" s="19"/>
      <c r="AE1058" s="19" t="str">
        <f>IF(Table2[[#This Row],[Total EV ®]]&lt;Table2[[#This Row],[Total (V)]],"UNDER","OVER")</f>
        <v>OVER</v>
      </c>
      <c r="AF1058" s="30">
        <f>Table2[[#This Row],[(A) Spread]]-Table2[[#This Row],[Spread (V)]]</f>
        <v>0</v>
      </c>
      <c r="AG1058" s="19"/>
      <c r="AH1058" s="2">
        <f>Table2[[#This Row],[EV]]-Table2[[#This Row],[Spread (V)]]</f>
        <v>-3.8758657866850683</v>
      </c>
      <c r="AI1058" s="22">
        <f>Table2[[#This Row],[(A)]]-Table2[[#This Row],[Spread]]</f>
        <v>-2.3551184834123307</v>
      </c>
      <c r="AJ1058" s="1">
        <f>Table2[[#This Row],[(A) Err]]^2</f>
        <v>5.5465830709103967</v>
      </c>
      <c r="AK1058" s="6">
        <f>Table2[[#This Row],[EV]]-Table2[[#This Row],[Spread]]</f>
        <v>-3.8758657866850683</v>
      </c>
      <c r="AL1058" s="1">
        <f>Table2[[#This Row],[EV Err]]^2</f>
        <v>15.022335596395864</v>
      </c>
    </row>
    <row r="1059" spans="1:38" x14ac:dyDescent="0.25">
      <c r="A1059" t="s">
        <v>182</v>
      </c>
      <c r="B1059" t="s">
        <v>14</v>
      </c>
      <c r="C1059" t="s">
        <v>13</v>
      </c>
      <c r="K1059" s="25">
        <f>(Table2[[#This Row],[Home Pace]]/100)*(VLOOKUP(Table2[[#This Row],[Home/Neutral]],home_lookup,8,FALSE)+VLOOKUP(Table2[[#This Row],[Home/Neutral]],OFR_lookup,2,FALSE)+VLOOKUP(Table2[[#This Row],[Visitor/Neutral]],def_diff_lookup,6,FALSE))</f>
        <v>106.50607414241452</v>
      </c>
      <c r="L1059" s="25"/>
      <c r="M1059" s="25">
        <f>(Table2[[#This Row],[Away Pace]]/100)*(VLOOKUP(Table2[[#This Row],[Visitor/Neutral]],OFR_lookup,2,FALSE)+VLOOKUP(Table2[[#This Row],[Home/Neutral]],def_diff_lookup,6,FALSE))</f>
        <v>106.92738000000001</v>
      </c>
      <c r="N1059" s="25"/>
      <c r="O1059" s="25"/>
      <c r="P1059">
        <f>VLOOKUP(Table2[[#This Row],[Home/Neutral]],pace_lookup,7,FALSE)</f>
        <v>95.9</v>
      </c>
      <c r="Q1059" s="5">
        <f>VLOOKUP(Table2[[#This Row],[Visitor/Neutral]],pace_lookup,7,FALSE)</f>
        <v>94.5</v>
      </c>
      <c r="R1059" s="9"/>
      <c r="V1059" s="2">
        <f>-home-VLOOKUP(Table2[[#This Row],[Home/Neutral]],rtg_vlookup,4,FALSE)+VLOOKUP(Table2[[#This Row],[Visitor/Neutral]],rtg_vlookup,4,FALSE)</f>
        <v>-2.0551184834123308</v>
      </c>
      <c r="W1059" s="25"/>
      <c r="X1059" s="2"/>
      <c r="Y1059" s="2">
        <f>Table2[[#This Row],[Away EV]]-Table2[[#This Row],[Home EV]]</f>
        <v>0.42130585758549444</v>
      </c>
      <c r="Z1059" s="33"/>
      <c r="AA1059" s="34"/>
      <c r="AB1059" s="5" t="b">
        <f>IF(VLOOKUP(Table2[[#This Row],[Home/Neutral]],division_lookup,9,FALSE)=VLOOKUP(Table2[[#This Row],[Visitor/Neutral]],division_lookup,9,FALSE),TRUE,FALSE)</f>
        <v>0</v>
      </c>
      <c r="AC1059" s="19" t="str">
        <f>VLOOKUP(Table2[[#This Row],[Home/Neutral]],division_lookup,9,FALSE)</f>
        <v>A</v>
      </c>
      <c r="AD1059" s="19"/>
      <c r="AE1059" s="19" t="str">
        <f>IF(Table2[[#This Row],[Total EV ®]]&lt;Table2[[#This Row],[Total (V)]],"UNDER","OVER")</f>
        <v>OVER</v>
      </c>
      <c r="AF1059" s="30">
        <f>Table2[[#This Row],[(A) Spread]]-Table2[[#This Row],[Spread (V)]]</f>
        <v>0</v>
      </c>
      <c r="AG1059" s="19"/>
      <c r="AH1059" s="2">
        <f>Table2[[#This Row],[EV]]-Table2[[#This Row],[Spread (V)]]</f>
        <v>0.42130585758549444</v>
      </c>
      <c r="AI1059" s="22">
        <f>Table2[[#This Row],[(A)]]-Table2[[#This Row],[Spread]]</f>
        <v>-2.0551184834123308</v>
      </c>
      <c r="AJ1059" s="1">
        <f>Table2[[#This Row],[(A) Err]]^2</f>
        <v>4.2235119808629991</v>
      </c>
      <c r="AK1059" s="6">
        <f>Table2[[#This Row],[EV]]-Table2[[#This Row],[Spread]]</f>
        <v>0.42130585758549444</v>
      </c>
      <c r="AL1059" s="1">
        <f>Table2[[#This Row],[EV Err]]^2</f>
        <v>0.17749862563584892</v>
      </c>
    </row>
    <row r="1060" spans="1:38" x14ac:dyDescent="0.25">
      <c r="A1060" t="s">
        <v>183</v>
      </c>
      <c r="B1060" t="s">
        <v>26</v>
      </c>
      <c r="C1060" t="s">
        <v>33</v>
      </c>
      <c r="K1060" s="25">
        <f>(Table2[[#This Row],[Home Pace]]/100)*(VLOOKUP(Table2[[#This Row],[Home/Neutral]],home_lookup,8,FALSE)+VLOOKUP(Table2[[#This Row],[Home/Neutral]],OFR_lookup,2,FALSE)+VLOOKUP(Table2[[#This Row],[Visitor/Neutral]],def_diff_lookup,6,FALSE))</f>
        <v>109.2321635891816</v>
      </c>
      <c r="L1060" s="25"/>
      <c r="M1060" s="25">
        <f>(Table2[[#This Row],[Away Pace]]/100)*(VLOOKUP(Table2[[#This Row],[Visitor/Neutral]],OFR_lookup,2,FALSE)+VLOOKUP(Table2[[#This Row],[Home/Neutral]],def_diff_lookup,6,FALSE))</f>
        <v>103.40525466666666</v>
      </c>
      <c r="N1060" s="25"/>
      <c r="O1060" s="25"/>
      <c r="P1060">
        <f>VLOOKUP(Table2[[#This Row],[Home/Neutral]],pace_lookup,7,FALSE)</f>
        <v>96</v>
      </c>
      <c r="Q1060" s="5">
        <f>VLOOKUP(Table2[[#This Row],[Visitor/Neutral]],pace_lookup,7,FALSE)</f>
        <v>98.2</v>
      </c>
      <c r="R1060" s="9"/>
      <c r="V1060" s="2">
        <f>-home-VLOOKUP(Table2[[#This Row],[Home/Neutral]],rtg_vlookup,4,FALSE)+VLOOKUP(Table2[[#This Row],[Visitor/Neutral]],rtg_vlookup,4,FALSE)</f>
        <v>-7.7451184834123312</v>
      </c>
      <c r="W1060" s="25"/>
      <c r="X1060" s="2"/>
      <c r="Y1060" s="2">
        <f>Table2[[#This Row],[Away EV]]-Table2[[#This Row],[Home EV]]</f>
        <v>-5.8269089225149315</v>
      </c>
      <c r="Z1060" s="33"/>
      <c r="AA1060" s="34"/>
      <c r="AB1060" s="5" t="b">
        <f>IF(VLOOKUP(Table2[[#This Row],[Home/Neutral]],division_lookup,9,FALSE)=VLOOKUP(Table2[[#This Row],[Visitor/Neutral]],division_lookup,9,FALSE),TRUE,FALSE)</f>
        <v>0</v>
      </c>
      <c r="AC1060" s="19" t="str">
        <f>VLOOKUP(Table2[[#This Row],[Home/Neutral]],division_lookup,9,FALSE)</f>
        <v>A</v>
      </c>
      <c r="AD1060" s="19"/>
      <c r="AE1060" s="19" t="str">
        <f>IF(Table2[[#This Row],[Total EV ®]]&lt;Table2[[#This Row],[Total (V)]],"UNDER","OVER")</f>
        <v>OVER</v>
      </c>
      <c r="AF1060" s="30">
        <f>Table2[[#This Row],[(A) Spread]]-Table2[[#This Row],[Spread (V)]]</f>
        <v>0</v>
      </c>
      <c r="AG1060" s="19"/>
      <c r="AH1060" s="2">
        <f>Table2[[#This Row],[EV]]-Table2[[#This Row],[Spread (V)]]</f>
        <v>-5.8269089225149315</v>
      </c>
      <c r="AI1060" s="22">
        <f>Table2[[#This Row],[(A)]]-Table2[[#This Row],[Spread]]</f>
        <v>-7.7451184834123312</v>
      </c>
      <c r="AJ1060" s="1">
        <f>Table2[[#This Row],[(A) Err]]^2</f>
        <v>59.986860322095332</v>
      </c>
      <c r="AK1060" s="6">
        <f>Table2[[#This Row],[EV]]-Table2[[#This Row],[Spread]]</f>
        <v>-5.8269089225149315</v>
      </c>
      <c r="AL1060" s="1">
        <f>Table2[[#This Row],[EV Err]]^2</f>
        <v>33.952867591284118</v>
      </c>
    </row>
    <row r="1061" spans="1:38" x14ac:dyDescent="0.25">
      <c r="A1061" t="s">
        <v>183</v>
      </c>
      <c r="B1061" t="s">
        <v>13</v>
      </c>
      <c r="C1061" t="s">
        <v>25</v>
      </c>
      <c r="K1061" s="25">
        <f>(Table2[[#This Row],[Home Pace]]/100)*(VLOOKUP(Table2[[#This Row],[Home/Neutral]],home_lookup,8,FALSE)+VLOOKUP(Table2[[#This Row],[Home/Neutral]],OFR_lookup,2,FALSE)+VLOOKUP(Table2[[#This Row],[Visitor/Neutral]],def_diff_lookup,6,FALSE))</f>
        <v>101.90509108450401</v>
      </c>
      <c r="L1061" s="25"/>
      <c r="M1061" s="25">
        <f>(Table2[[#This Row],[Away Pace]]/100)*(VLOOKUP(Table2[[#This Row],[Visitor/Neutral]],OFR_lookup,2,FALSE)+VLOOKUP(Table2[[#This Row],[Home/Neutral]],def_diff_lookup,6,FALSE))</f>
        <v>96.21310933333335</v>
      </c>
      <c r="N1061" s="25"/>
      <c r="O1061" s="25"/>
      <c r="P1061">
        <f>VLOOKUP(Table2[[#This Row],[Home/Neutral]],pace_lookup,7,FALSE)</f>
        <v>94.5</v>
      </c>
      <c r="Q1061" s="5">
        <f>VLOOKUP(Table2[[#This Row],[Visitor/Neutral]],pace_lookup,7,FALSE)</f>
        <v>94.4</v>
      </c>
      <c r="R1061" s="9"/>
      <c r="V1061" s="2">
        <f>-home-VLOOKUP(Table2[[#This Row],[Home/Neutral]],rtg_vlookup,4,FALSE)+VLOOKUP(Table2[[#This Row],[Visitor/Neutral]],rtg_vlookup,4,FALSE)</f>
        <v>-8.3751184834123311</v>
      </c>
      <c r="W1061" s="25"/>
      <c r="X1061" s="2"/>
      <c r="Y1061" s="2">
        <f>Table2[[#This Row],[Away EV]]-Table2[[#This Row],[Home EV]]</f>
        <v>-5.6919817511706583</v>
      </c>
      <c r="Z1061" s="33"/>
      <c r="AA1061" s="34"/>
      <c r="AB1061" s="5" t="b">
        <f>IF(VLOOKUP(Table2[[#This Row],[Home/Neutral]],division_lookup,9,FALSE)=VLOOKUP(Table2[[#This Row],[Visitor/Neutral]],division_lookup,9,FALSE),TRUE,FALSE)</f>
        <v>1</v>
      </c>
      <c r="AC1061" s="19" t="str">
        <f>VLOOKUP(Table2[[#This Row],[Home/Neutral]],division_lookup,9,FALSE)</f>
        <v>C</v>
      </c>
      <c r="AD1061" s="19"/>
      <c r="AE1061" s="19" t="str">
        <f>IF(Table2[[#This Row],[Total EV ®]]&lt;Table2[[#This Row],[Total (V)]],"UNDER","OVER")</f>
        <v>OVER</v>
      </c>
      <c r="AF1061" s="30">
        <f>Table2[[#This Row],[(A) Spread]]-Table2[[#This Row],[Spread (V)]]</f>
        <v>0</v>
      </c>
      <c r="AG1061" s="19"/>
      <c r="AH1061" s="2">
        <f>Table2[[#This Row],[EV]]-Table2[[#This Row],[Spread (V)]]</f>
        <v>-5.6919817511706583</v>
      </c>
      <c r="AI1061" s="22">
        <f>Table2[[#This Row],[(A)]]-Table2[[#This Row],[Spread]]</f>
        <v>-8.3751184834123311</v>
      </c>
      <c r="AJ1061" s="1">
        <f>Table2[[#This Row],[(A) Err]]^2</f>
        <v>70.142609611194871</v>
      </c>
      <c r="AK1061" s="6">
        <f>Table2[[#This Row],[EV]]-Table2[[#This Row],[Spread]]</f>
        <v>-5.6919817511706583</v>
      </c>
      <c r="AL1061" s="1">
        <f>Table2[[#This Row],[EV Err]]^2</f>
        <v>32.398656255659795</v>
      </c>
    </row>
    <row r="1062" spans="1:38" x14ac:dyDescent="0.25">
      <c r="A1062" t="s">
        <v>183</v>
      </c>
      <c r="B1062" t="s">
        <v>27</v>
      </c>
      <c r="C1062" t="s">
        <v>8</v>
      </c>
      <c r="K1062" s="25">
        <f>(Table2[[#This Row],[Home Pace]]/100)*(VLOOKUP(Table2[[#This Row],[Home/Neutral]],home_lookup,8,FALSE)+VLOOKUP(Table2[[#This Row],[Home/Neutral]],OFR_lookup,2,FALSE)+VLOOKUP(Table2[[#This Row],[Visitor/Neutral]],def_diff_lookup,6,FALSE))</f>
        <v>102.60495642647258</v>
      </c>
      <c r="L1062" s="25"/>
      <c r="M1062" s="25">
        <f>(Table2[[#This Row],[Away Pace]]/100)*(VLOOKUP(Table2[[#This Row],[Visitor/Neutral]],OFR_lookup,2,FALSE)+VLOOKUP(Table2[[#This Row],[Home/Neutral]],def_diff_lookup,6,FALSE))</f>
        <v>107.669088</v>
      </c>
      <c r="N1062" s="25"/>
      <c r="O1062" s="25"/>
      <c r="P1062">
        <f>VLOOKUP(Table2[[#This Row],[Home/Neutral]],pace_lookup,7,FALSE)</f>
        <v>99</v>
      </c>
      <c r="Q1062" s="5">
        <f>VLOOKUP(Table2[[#This Row],[Visitor/Neutral]],pace_lookup,7,FALSE)</f>
        <v>97.2</v>
      </c>
      <c r="R1062" s="9"/>
      <c r="V1062" s="2">
        <f>-home-VLOOKUP(Table2[[#This Row],[Home/Neutral]],rtg_vlookup,4,FALSE)+VLOOKUP(Table2[[#This Row],[Visitor/Neutral]],rtg_vlookup,4,FALSE)</f>
        <v>4.7248815165876694</v>
      </c>
      <c r="W1062" s="25"/>
      <c r="X1062" s="2"/>
      <c r="Y1062" s="2">
        <f>Table2[[#This Row],[Away EV]]-Table2[[#This Row],[Home EV]]</f>
        <v>5.0641315735274191</v>
      </c>
      <c r="Z1062" s="33"/>
      <c r="AA1062" s="34"/>
      <c r="AB1062" s="5" t="b">
        <f>IF(VLOOKUP(Table2[[#This Row],[Home/Neutral]],division_lookup,9,FALSE)=VLOOKUP(Table2[[#This Row],[Visitor/Neutral]],division_lookup,9,FALSE),TRUE,FALSE)</f>
        <v>0</v>
      </c>
      <c r="AC1062" s="19" t="str">
        <f>VLOOKUP(Table2[[#This Row],[Home/Neutral]],division_lookup,9,FALSE)</f>
        <v>NW</v>
      </c>
      <c r="AD1062" s="19"/>
      <c r="AE1062" s="19" t="str">
        <f>IF(Table2[[#This Row],[Total EV ®]]&lt;Table2[[#This Row],[Total (V)]],"UNDER","OVER")</f>
        <v>OVER</v>
      </c>
      <c r="AF1062" s="30">
        <f>Table2[[#This Row],[(A) Spread]]-Table2[[#This Row],[Spread (V)]]</f>
        <v>0</v>
      </c>
      <c r="AG1062" s="19"/>
      <c r="AH1062" s="2">
        <f>Table2[[#This Row],[EV]]-Table2[[#This Row],[Spread (V)]]</f>
        <v>5.0641315735274191</v>
      </c>
      <c r="AI1062" s="22">
        <f>Table2[[#This Row],[(A)]]-Table2[[#This Row],[Spread]]</f>
        <v>4.7248815165876694</v>
      </c>
      <c r="AJ1062" s="1">
        <f>Table2[[#This Row],[(A) Err]]^2</f>
        <v>22.324505345791795</v>
      </c>
      <c r="AK1062" s="6">
        <f>Table2[[#This Row],[EV]]-Table2[[#This Row],[Spread]]</f>
        <v>5.0641315735274191</v>
      </c>
      <c r="AL1062" s="1">
        <f>Table2[[#This Row],[EV Err]]^2</f>
        <v>25.645428593997295</v>
      </c>
    </row>
    <row r="1063" spans="1:38" x14ac:dyDescent="0.25">
      <c r="A1063" t="s">
        <v>183</v>
      </c>
      <c r="B1063" t="s">
        <v>18</v>
      </c>
      <c r="C1063" t="s">
        <v>39</v>
      </c>
      <c r="K1063" s="25">
        <f>(Table2[[#This Row],[Home Pace]]/100)*(VLOOKUP(Table2[[#This Row],[Home/Neutral]],home_lookup,8,FALSE)+VLOOKUP(Table2[[#This Row],[Home/Neutral]],OFR_lookup,2,FALSE)+VLOOKUP(Table2[[#This Row],[Visitor/Neutral]],def_diff_lookup,6,FALSE))</f>
        <v>105.88015616021131</v>
      </c>
      <c r="L1063" s="25"/>
      <c r="M1063" s="25">
        <f>(Table2[[#This Row],[Away Pace]]/100)*(VLOOKUP(Table2[[#This Row],[Visitor/Neutral]],OFR_lookup,2,FALSE)+VLOOKUP(Table2[[#This Row],[Home/Neutral]],def_diff_lookup,6,FALSE))</f>
        <v>93.483649999999997</v>
      </c>
      <c r="N1063" s="25"/>
      <c r="O1063" s="25"/>
      <c r="P1063">
        <f>VLOOKUP(Table2[[#This Row],[Home/Neutral]],pace_lookup,7,FALSE)</f>
        <v>99.5</v>
      </c>
      <c r="Q1063" s="5">
        <f>VLOOKUP(Table2[[#This Row],[Visitor/Neutral]],pace_lookup,7,FALSE)</f>
        <v>97.5</v>
      </c>
      <c r="R1063" s="9"/>
      <c r="V1063" s="2">
        <f>-home-VLOOKUP(Table2[[#This Row],[Home/Neutral]],rtg_vlookup,4,FALSE)+VLOOKUP(Table2[[#This Row],[Visitor/Neutral]],rtg_vlookup,4,FALSE)</f>
        <v>-14.32511848341233</v>
      </c>
      <c r="W1063" s="25"/>
      <c r="X1063" s="2"/>
      <c r="Y1063" s="2">
        <f>Table2[[#This Row],[Away EV]]-Table2[[#This Row],[Home EV]]</f>
        <v>-12.396506160211317</v>
      </c>
      <c r="Z1063" s="33"/>
      <c r="AA1063" s="34"/>
      <c r="AB1063" s="5" t="b">
        <f>IF(VLOOKUP(Table2[[#This Row],[Home/Neutral]],division_lookup,9,FALSE)=VLOOKUP(Table2[[#This Row],[Visitor/Neutral]],division_lookup,9,FALSE),TRUE,FALSE)</f>
        <v>0</v>
      </c>
      <c r="AC1063" s="19" t="str">
        <f>VLOOKUP(Table2[[#This Row],[Home/Neutral]],division_lookup,9,FALSE)</f>
        <v>NW</v>
      </c>
      <c r="AD1063" s="19"/>
      <c r="AE1063" s="19" t="str">
        <f>IF(Table2[[#This Row],[Total EV ®]]&lt;Table2[[#This Row],[Total (V)]],"UNDER","OVER")</f>
        <v>OVER</v>
      </c>
      <c r="AF1063" s="30">
        <f>Table2[[#This Row],[(A) Spread]]-Table2[[#This Row],[Spread (V)]]</f>
        <v>0</v>
      </c>
      <c r="AG1063" s="19"/>
      <c r="AH1063" s="2">
        <f>Table2[[#This Row],[EV]]-Table2[[#This Row],[Spread (V)]]</f>
        <v>-12.396506160211317</v>
      </c>
      <c r="AI1063" s="22">
        <f>Table2[[#This Row],[(A)]]-Table2[[#This Row],[Spread]]</f>
        <v>-14.32511848341233</v>
      </c>
      <c r="AJ1063" s="1">
        <f>Table2[[#This Row],[(A) Err]]^2</f>
        <v>205.20901956380158</v>
      </c>
      <c r="AK1063" s="6">
        <f>Table2[[#This Row],[EV]]-Table2[[#This Row],[Spread]]</f>
        <v>-12.396506160211317</v>
      </c>
      <c r="AL1063" s="1">
        <f>Table2[[#This Row],[EV Err]]^2</f>
        <v>153.67336498015712</v>
      </c>
    </row>
    <row r="1064" spans="1:38" x14ac:dyDescent="0.25">
      <c r="A1064" t="s">
        <v>183</v>
      </c>
      <c r="B1064" t="s">
        <v>38</v>
      </c>
      <c r="C1064" t="s">
        <v>16</v>
      </c>
      <c r="K1064" s="25">
        <f>(Table2[[#This Row],[Home Pace]]/100)*(VLOOKUP(Table2[[#This Row],[Home/Neutral]],home_lookup,8,FALSE)+VLOOKUP(Table2[[#This Row],[Home/Neutral]],OFR_lookup,2,FALSE)+VLOOKUP(Table2[[#This Row],[Visitor/Neutral]],def_diff_lookup,6,FALSE))</f>
        <v>104.3292916789148</v>
      </c>
      <c r="L1064" s="25"/>
      <c r="M1064" s="25">
        <f>(Table2[[#This Row],[Away Pace]]/100)*(VLOOKUP(Table2[[#This Row],[Visitor/Neutral]],OFR_lookup,2,FALSE)+VLOOKUP(Table2[[#This Row],[Home/Neutral]],def_diff_lookup,6,FALSE))</f>
        <v>105.5639</v>
      </c>
      <c r="N1064" s="25"/>
      <c r="O1064" s="25"/>
      <c r="P1064">
        <f>VLOOKUP(Table2[[#This Row],[Home/Neutral]],pace_lookup,7,FALSE)</f>
        <v>94.2</v>
      </c>
      <c r="Q1064" s="5">
        <f>VLOOKUP(Table2[[#This Row],[Visitor/Neutral]],pace_lookup,7,FALSE)</f>
        <v>97.5</v>
      </c>
      <c r="R1064" s="9"/>
      <c r="V1064" s="2">
        <f>-home-VLOOKUP(Table2[[#This Row],[Home/Neutral]],rtg_vlookup,4,FALSE)+VLOOKUP(Table2[[#This Row],[Visitor/Neutral]],rtg_vlookup,4,FALSE)</f>
        <v>8.584881516587668</v>
      </c>
      <c r="W1064" s="25"/>
      <c r="X1064" s="2"/>
      <c r="Y1064" s="2">
        <f>Table2[[#This Row],[Away EV]]-Table2[[#This Row],[Home EV]]</f>
        <v>1.2346083210852044</v>
      </c>
      <c r="Z1064" s="33"/>
      <c r="AA1064" s="34"/>
      <c r="AB1064" s="5" t="b">
        <f>IF(VLOOKUP(Table2[[#This Row],[Home/Neutral]],division_lookup,9,FALSE)=VLOOKUP(Table2[[#This Row],[Visitor/Neutral]],division_lookup,9,FALSE),TRUE,FALSE)</f>
        <v>1</v>
      </c>
      <c r="AC1064" s="19" t="str">
        <f>VLOOKUP(Table2[[#This Row],[Home/Neutral]],division_lookup,9,FALSE)</f>
        <v>SE</v>
      </c>
      <c r="AD1064" s="19"/>
      <c r="AE1064" s="19" t="str">
        <f>IF(Table2[[#This Row],[Total EV ®]]&lt;Table2[[#This Row],[Total (V)]],"UNDER","OVER")</f>
        <v>OVER</v>
      </c>
      <c r="AF1064" s="30">
        <f>Table2[[#This Row],[(A) Spread]]-Table2[[#This Row],[Spread (V)]]</f>
        <v>0</v>
      </c>
      <c r="AG1064" s="19"/>
      <c r="AH1064" s="2">
        <f>Table2[[#This Row],[EV]]-Table2[[#This Row],[Spread (V)]]</f>
        <v>1.2346083210852044</v>
      </c>
      <c r="AI1064" s="22">
        <f>Table2[[#This Row],[(A)]]-Table2[[#This Row],[Spread]]</f>
        <v>8.584881516587668</v>
      </c>
      <c r="AJ1064" s="1">
        <f>Table2[[#This Row],[(A) Err]]^2</f>
        <v>73.70019065384858</v>
      </c>
      <c r="AK1064" s="6">
        <f>Table2[[#This Row],[EV]]-Table2[[#This Row],[Spread]]</f>
        <v>1.2346083210852044</v>
      </c>
      <c r="AL1064" s="1">
        <f>Table2[[#This Row],[EV Err]]^2</f>
        <v>1.5242577064928271</v>
      </c>
    </row>
    <row r="1065" spans="1:38" x14ac:dyDescent="0.25">
      <c r="A1065" t="s">
        <v>183</v>
      </c>
      <c r="B1065" t="s">
        <v>29</v>
      </c>
      <c r="C1065" t="s">
        <v>30</v>
      </c>
      <c r="K1065" s="25">
        <f>(Table2[[#This Row],[Home Pace]]/100)*(VLOOKUP(Table2[[#This Row],[Home/Neutral]],home_lookup,8,FALSE)+VLOOKUP(Table2[[#This Row],[Home/Neutral]],OFR_lookup,2,FALSE)+VLOOKUP(Table2[[#This Row],[Visitor/Neutral]],def_diff_lookup,6,FALSE))</f>
        <v>110.77142926898524</v>
      </c>
      <c r="L1065" s="25"/>
      <c r="M1065" s="25">
        <f>(Table2[[#This Row],[Away Pace]]/100)*(VLOOKUP(Table2[[#This Row],[Visitor/Neutral]],OFR_lookup,2,FALSE)+VLOOKUP(Table2[[#This Row],[Home/Neutral]],def_diff_lookup,6,FALSE))</f>
        <v>105.56104533333334</v>
      </c>
      <c r="N1065" s="25"/>
      <c r="O1065" s="25"/>
      <c r="P1065">
        <f>VLOOKUP(Table2[[#This Row],[Home/Neutral]],pace_lookup,7,FALSE)</f>
        <v>93.8</v>
      </c>
      <c r="Q1065" s="5">
        <f>VLOOKUP(Table2[[#This Row],[Visitor/Neutral]],pace_lookup,7,FALSE)</f>
        <v>96.8</v>
      </c>
      <c r="R1065" s="9"/>
      <c r="V1065" s="2">
        <f>-home-VLOOKUP(Table2[[#This Row],[Home/Neutral]],rtg_vlookup,4,FALSE)+VLOOKUP(Table2[[#This Row],[Visitor/Neutral]],rtg_vlookup,4,FALSE)</f>
        <v>-2.9451184834123305</v>
      </c>
      <c r="W1065" s="25"/>
      <c r="X1065" s="2"/>
      <c r="Y1065" s="2">
        <f>Table2[[#This Row],[Away EV]]-Table2[[#This Row],[Home EV]]</f>
        <v>-5.2103839356519046</v>
      </c>
      <c r="Z1065" s="33"/>
      <c r="AA1065" s="34"/>
      <c r="AB1065" s="5" t="b">
        <f>IF(VLOOKUP(Table2[[#This Row],[Home/Neutral]],division_lookup,9,FALSE)=VLOOKUP(Table2[[#This Row],[Visitor/Neutral]],division_lookup,9,FALSE),TRUE,FALSE)</f>
        <v>0</v>
      </c>
      <c r="AC1065" s="19" t="str">
        <f>VLOOKUP(Table2[[#This Row],[Home/Neutral]],division_lookup,9,FALSE)</f>
        <v>P</v>
      </c>
      <c r="AD1065" s="19"/>
      <c r="AE1065" s="19" t="str">
        <f>IF(Table2[[#This Row],[Total EV ®]]&lt;Table2[[#This Row],[Total (V)]],"UNDER","OVER")</f>
        <v>OVER</v>
      </c>
      <c r="AF1065" s="30">
        <f>Table2[[#This Row],[(A) Spread]]-Table2[[#This Row],[Spread (V)]]</f>
        <v>0</v>
      </c>
      <c r="AG1065" s="19"/>
      <c r="AH1065" s="2">
        <f>Table2[[#This Row],[EV]]-Table2[[#This Row],[Spread (V)]]</f>
        <v>-5.2103839356519046</v>
      </c>
      <c r="AI1065" s="22">
        <f>Table2[[#This Row],[(A)]]-Table2[[#This Row],[Spread]]</f>
        <v>-2.9451184834123305</v>
      </c>
      <c r="AJ1065" s="1">
        <f>Table2[[#This Row],[(A) Err]]^2</f>
        <v>8.6737228813369462</v>
      </c>
      <c r="AK1065" s="6">
        <f>Table2[[#This Row],[EV]]-Table2[[#This Row],[Spread]]</f>
        <v>-5.2103839356519046</v>
      </c>
      <c r="AL1065" s="1">
        <f>Table2[[#This Row],[EV Err]]^2</f>
        <v>27.148100756899431</v>
      </c>
    </row>
    <row r="1066" spans="1:38" x14ac:dyDescent="0.25">
      <c r="A1066" t="s">
        <v>183</v>
      </c>
      <c r="B1066" t="s">
        <v>20</v>
      </c>
      <c r="C1066" t="s">
        <v>31</v>
      </c>
      <c r="K1066" s="25">
        <f>(Table2[[#This Row],[Home Pace]]/100)*(VLOOKUP(Table2[[#This Row],[Home/Neutral]],home_lookup,8,FALSE)+VLOOKUP(Table2[[#This Row],[Home/Neutral]],OFR_lookup,2,FALSE)+VLOOKUP(Table2[[#This Row],[Visitor/Neutral]],def_diff_lookup,6,FALSE))</f>
        <v>108.20108528915178</v>
      </c>
      <c r="L1066" s="25"/>
      <c r="M1066" s="25">
        <f>(Table2[[#This Row],[Away Pace]]/100)*(VLOOKUP(Table2[[#This Row],[Visitor/Neutral]],OFR_lookup,2,FALSE)+VLOOKUP(Table2[[#This Row],[Home/Neutral]],def_diff_lookup,6,FALSE))</f>
        <v>103.02784000000001</v>
      </c>
      <c r="N1066" s="25"/>
      <c r="O1066" s="25"/>
      <c r="P1066">
        <f>VLOOKUP(Table2[[#This Row],[Home/Neutral]],pace_lookup,7,FALSE)</f>
        <v>90.9</v>
      </c>
      <c r="Q1066" s="5">
        <f>VLOOKUP(Table2[[#This Row],[Visitor/Neutral]],pace_lookup,7,FALSE)</f>
        <v>96</v>
      </c>
      <c r="R1066" s="9"/>
      <c r="V1066" s="2">
        <f>-home-VLOOKUP(Table2[[#This Row],[Home/Neutral]],rtg_vlookup,4,FALSE)+VLOOKUP(Table2[[#This Row],[Visitor/Neutral]],rtg_vlookup,4,FALSE)</f>
        <v>-6.7051184834123312</v>
      </c>
      <c r="W1066" s="25"/>
      <c r="X1066" s="2"/>
      <c r="Y1066" s="2">
        <f>Table2[[#This Row],[Away EV]]-Table2[[#This Row],[Home EV]]</f>
        <v>-5.1732452891517653</v>
      </c>
      <c r="Z1066" s="33"/>
      <c r="AA1066" s="34"/>
      <c r="AB1066" s="5" t="b">
        <f>IF(VLOOKUP(Table2[[#This Row],[Home/Neutral]],division_lookup,9,FALSE)=VLOOKUP(Table2[[#This Row],[Visitor/Neutral]],division_lookup,9,FALSE),TRUE,FALSE)</f>
        <v>0</v>
      </c>
      <c r="AC1066" s="19" t="str">
        <f>VLOOKUP(Table2[[#This Row],[Home/Neutral]],division_lookup,9,FALSE)</f>
        <v>NW</v>
      </c>
      <c r="AD1066" s="19"/>
      <c r="AE1066" s="19" t="str">
        <f>IF(Table2[[#This Row],[Total EV ®]]&lt;Table2[[#This Row],[Total (V)]],"UNDER","OVER")</f>
        <v>OVER</v>
      </c>
      <c r="AF1066" s="30">
        <f>Table2[[#This Row],[(A) Spread]]-Table2[[#This Row],[Spread (V)]]</f>
        <v>0</v>
      </c>
      <c r="AG1066" s="19"/>
      <c r="AH1066" s="2">
        <f>Table2[[#This Row],[EV]]-Table2[[#This Row],[Spread (V)]]</f>
        <v>-5.1732452891517653</v>
      </c>
      <c r="AI1066" s="22">
        <f>Table2[[#This Row],[(A)]]-Table2[[#This Row],[Spread]]</f>
        <v>-6.7051184834123312</v>
      </c>
      <c r="AJ1066" s="1">
        <f>Table2[[#This Row],[(A) Err]]^2</f>
        <v>44.958613876597681</v>
      </c>
      <c r="AK1066" s="6">
        <f>Table2[[#This Row],[EV]]-Table2[[#This Row],[Spread]]</f>
        <v>-5.1732452891517653</v>
      </c>
      <c r="AL1066" s="1">
        <f>Table2[[#This Row],[EV Err]]^2</f>
        <v>26.762466821730932</v>
      </c>
    </row>
    <row r="1067" spans="1:38" x14ac:dyDescent="0.25">
      <c r="A1067" t="s">
        <v>183</v>
      </c>
      <c r="B1067" t="s">
        <v>28</v>
      </c>
      <c r="C1067" t="s">
        <v>11</v>
      </c>
      <c r="K1067" s="25">
        <f>(Table2[[#This Row],[Home Pace]]/100)*(VLOOKUP(Table2[[#This Row],[Home/Neutral]],home_lookup,8,FALSE)+VLOOKUP(Table2[[#This Row],[Home/Neutral]],OFR_lookup,2,FALSE)+VLOOKUP(Table2[[#This Row],[Visitor/Neutral]],def_diff_lookup,6,FALSE))</f>
        <v>100.81364553204274</v>
      </c>
      <c r="L1067" s="25"/>
      <c r="M1067" s="25">
        <f>(Table2[[#This Row],[Away Pace]]/100)*(VLOOKUP(Table2[[#This Row],[Visitor/Neutral]],OFR_lookup,2,FALSE)+VLOOKUP(Table2[[#This Row],[Home/Neutral]],def_diff_lookup,6,FALSE))</f>
        <v>107.48723466666668</v>
      </c>
      <c r="N1067" s="25"/>
      <c r="O1067" s="25"/>
      <c r="P1067">
        <f>VLOOKUP(Table2[[#This Row],[Home/Neutral]],pace_lookup,7,FALSE)</f>
        <v>96.3</v>
      </c>
      <c r="Q1067" s="5">
        <f>VLOOKUP(Table2[[#This Row],[Visitor/Neutral]],pace_lookup,7,FALSE)</f>
        <v>99.7</v>
      </c>
      <c r="R1067" s="9"/>
      <c r="V1067" s="2">
        <f>-home-VLOOKUP(Table2[[#This Row],[Home/Neutral]],rtg_vlookup,4,FALSE)+VLOOKUP(Table2[[#This Row],[Visitor/Neutral]],rtg_vlookup,4,FALSE)</f>
        <v>5.5048815165876697</v>
      </c>
      <c r="W1067" s="25"/>
      <c r="X1067" s="2"/>
      <c r="Y1067" s="2">
        <f>Table2[[#This Row],[Away EV]]-Table2[[#This Row],[Home EV]]</f>
        <v>6.6735891346239384</v>
      </c>
      <c r="Z1067" s="33"/>
      <c r="AA1067" s="34"/>
      <c r="AB1067" s="5" t="b">
        <f>IF(VLOOKUP(Table2[[#This Row],[Home/Neutral]],division_lookup,9,FALSE)=VLOOKUP(Table2[[#This Row],[Visitor/Neutral]],division_lookup,9,FALSE),TRUE,FALSE)</f>
        <v>1</v>
      </c>
      <c r="AC1067" s="19" t="str">
        <f>VLOOKUP(Table2[[#This Row],[Home/Neutral]],division_lookup,9,FALSE)</f>
        <v>SE</v>
      </c>
      <c r="AD1067" s="19"/>
      <c r="AE1067" s="19" t="str">
        <f>IF(Table2[[#This Row],[Total EV ®]]&lt;Table2[[#This Row],[Total (V)]],"UNDER","OVER")</f>
        <v>OVER</v>
      </c>
      <c r="AF1067" s="30">
        <f>Table2[[#This Row],[(A) Spread]]-Table2[[#This Row],[Spread (V)]]</f>
        <v>0</v>
      </c>
      <c r="AG1067" s="19"/>
      <c r="AH1067" s="2">
        <f>Table2[[#This Row],[EV]]-Table2[[#This Row],[Spread (V)]]</f>
        <v>6.6735891346239384</v>
      </c>
      <c r="AI1067" s="22">
        <f>Table2[[#This Row],[(A)]]-Table2[[#This Row],[Spread]]</f>
        <v>5.5048815165876697</v>
      </c>
      <c r="AJ1067" s="1">
        <f>Table2[[#This Row],[(A) Err]]^2</f>
        <v>30.303720511668562</v>
      </c>
      <c r="AK1067" s="6">
        <f>Table2[[#This Row],[EV]]-Table2[[#This Row],[Spread]]</f>
        <v>6.6735891346239384</v>
      </c>
      <c r="AL1067" s="1">
        <f>Table2[[#This Row],[EV Err]]^2</f>
        <v>44.536791937770687</v>
      </c>
    </row>
    <row r="1068" spans="1:38" x14ac:dyDescent="0.25">
      <c r="A1068" t="s">
        <v>184</v>
      </c>
      <c r="B1068" t="s">
        <v>35</v>
      </c>
      <c r="C1068" t="s">
        <v>36</v>
      </c>
      <c r="K1068" s="25">
        <f>(Table2[[#This Row],[Home Pace]]/100)*(VLOOKUP(Table2[[#This Row],[Home/Neutral]],home_lookup,8,FALSE)+VLOOKUP(Table2[[#This Row],[Home/Neutral]],OFR_lookup,2,FALSE)+VLOOKUP(Table2[[#This Row],[Visitor/Neutral]],def_diff_lookup,6,FALSE))</f>
        <v>110.53275121209624</v>
      </c>
      <c r="L1068" s="25"/>
      <c r="M1068" s="25">
        <f>(Table2[[#This Row],[Away Pace]]/100)*(VLOOKUP(Table2[[#This Row],[Visitor/Neutral]],OFR_lookup,2,FALSE)+VLOOKUP(Table2[[#This Row],[Home/Neutral]],def_diff_lookup,6,FALSE))</f>
        <v>108.87434133333335</v>
      </c>
      <c r="N1068" s="25"/>
      <c r="O1068" s="25"/>
      <c r="P1068">
        <f>VLOOKUP(Table2[[#This Row],[Home/Neutral]],pace_lookup,7,FALSE)</f>
        <v>102.2</v>
      </c>
      <c r="Q1068" s="5">
        <f>VLOOKUP(Table2[[#This Row],[Visitor/Neutral]],pace_lookup,7,FALSE)</f>
        <v>102.2</v>
      </c>
      <c r="R1068" s="9"/>
      <c r="V1068" s="2">
        <f>-home-VLOOKUP(Table2[[#This Row],[Home/Neutral]],rtg_vlookup,4,FALSE)+VLOOKUP(Table2[[#This Row],[Visitor/Neutral]],rtg_vlookup,4,FALSE)</f>
        <v>-2.6151184834123313</v>
      </c>
      <c r="W1068" s="25"/>
      <c r="X1068" s="2"/>
      <c r="Y1068" s="2">
        <f>Table2[[#This Row],[Away EV]]-Table2[[#This Row],[Home EV]]</f>
        <v>-1.658409878762896</v>
      </c>
      <c r="Z1068" s="33"/>
      <c r="AA1068" s="34"/>
      <c r="AB1068" s="5" t="b">
        <f>IF(VLOOKUP(Table2[[#This Row],[Home/Neutral]],division_lookup,9,FALSE)=VLOOKUP(Table2[[#This Row],[Visitor/Neutral]],division_lookup,9,FALSE),TRUE,FALSE)</f>
        <v>0</v>
      </c>
      <c r="AC1068" s="19" t="str">
        <f>VLOOKUP(Table2[[#This Row],[Home/Neutral]],division_lookup,9,FALSE)</f>
        <v>A</v>
      </c>
      <c r="AD1068" s="19"/>
      <c r="AE1068" s="19" t="str">
        <f>IF(Table2[[#This Row],[Total EV ®]]&lt;Table2[[#This Row],[Total (V)]],"UNDER","OVER")</f>
        <v>OVER</v>
      </c>
      <c r="AF1068" s="30">
        <f>Table2[[#This Row],[(A) Spread]]-Table2[[#This Row],[Spread (V)]]</f>
        <v>0</v>
      </c>
      <c r="AG1068" s="19"/>
      <c r="AH1068" s="2">
        <f>Table2[[#This Row],[EV]]-Table2[[#This Row],[Spread (V)]]</f>
        <v>-1.658409878762896</v>
      </c>
      <c r="AI1068" s="22">
        <f>Table2[[#This Row],[(A)]]-Table2[[#This Row],[Spread]]</f>
        <v>-2.6151184834123313</v>
      </c>
      <c r="AJ1068" s="1">
        <f>Table2[[#This Row],[(A) Err]]^2</f>
        <v>6.8388446822848117</v>
      </c>
      <c r="AK1068" s="6">
        <f>Table2[[#This Row],[EV]]-Table2[[#This Row],[Spread]]</f>
        <v>-1.658409878762896</v>
      </c>
      <c r="AL1068" s="1">
        <f>Table2[[#This Row],[EV Err]]^2</f>
        <v>2.7503233259783637</v>
      </c>
    </row>
    <row r="1069" spans="1:38" x14ac:dyDescent="0.25">
      <c r="A1069" t="s">
        <v>184</v>
      </c>
      <c r="B1069" t="s">
        <v>37</v>
      </c>
      <c r="C1069" t="s">
        <v>4</v>
      </c>
      <c r="K1069" s="25">
        <f>(Table2[[#This Row],[Home Pace]]/100)*(VLOOKUP(Table2[[#This Row],[Home/Neutral]],home_lookup,8,FALSE)+VLOOKUP(Table2[[#This Row],[Home/Neutral]],OFR_lookup,2,FALSE)+VLOOKUP(Table2[[#This Row],[Visitor/Neutral]],def_diff_lookup,6,FALSE))</f>
        <v>96.767728093621216</v>
      </c>
      <c r="L1069" s="25"/>
      <c r="M1069" s="25">
        <f>(Table2[[#This Row],[Away Pace]]/100)*(VLOOKUP(Table2[[#This Row],[Visitor/Neutral]],OFR_lookup,2,FALSE)+VLOOKUP(Table2[[#This Row],[Home/Neutral]],def_diff_lookup,6,FALSE))</f>
        <v>107.999444</v>
      </c>
      <c r="N1069" s="25"/>
      <c r="O1069" s="25"/>
      <c r="P1069">
        <f>VLOOKUP(Table2[[#This Row],[Home/Neutral]],pace_lookup,7,FALSE)</f>
        <v>92.1</v>
      </c>
      <c r="Q1069" s="5">
        <f>VLOOKUP(Table2[[#This Row],[Visitor/Neutral]],pace_lookup,7,FALSE)</f>
        <v>96.6</v>
      </c>
      <c r="R1069" s="9"/>
      <c r="V1069" s="2">
        <f>-home-VLOOKUP(Table2[[#This Row],[Home/Neutral]],rtg_vlookup,4,FALSE)+VLOOKUP(Table2[[#This Row],[Visitor/Neutral]],rtg_vlookup,4,FALSE)</f>
        <v>19.39488151658767</v>
      </c>
      <c r="W1069" s="25"/>
      <c r="X1069" s="2"/>
      <c r="Y1069" s="2">
        <f>Table2[[#This Row],[Away EV]]-Table2[[#This Row],[Home EV]]</f>
        <v>11.231715906378781</v>
      </c>
      <c r="Z1069" s="33"/>
      <c r="AA1069" s="34"/>
      <c r="AB1069" s="5" t="b">
        <f>IF(VLOOKUP(Table2[[#This Row],[Home/Neutral]],division_lookup,9,FALSE)=VLOOKUP(Table2[[#This Row],[Visitor/Neutral]],division_lookup,9,FALSE),TRUE,FALSE)</f>
        <v>0</v>
      </c>
      <c r="AC1069" s="19" t="str">
        <f>VLOOKUP(Table2[[#This Row],[Home/Neutral]],division_lookup,9,FALSE)</f>
        <v>SW</v>
      </c>
      <c r="AD1069" s="19"/>
      <c r="AE1069" s="19" t="str">
        <f>IF(Table2[[#This Row],[Total EV ®]]&lt;Table2[[#This Row],[Total (V)]],"UNDER","OVER")</f>
        <v>OVER</v>
      </c>
      <c r="AF1069" s="30">
        <f>Table2[[#This Row],[(A) Spread]]-Table2[[#This Row],[Spread (V)]]</f>
        <v>0</v>
      </c>
      <c r="AG1069" s="19"/>
      <c r="AH1069" s="2">
        <f>Table2[[#This Row],[EV]]-Table2[[#This Row],[Spread (V)]]</f>
        <v>11.231715906378781</v>
      </c>
      <c r="AI1069" s="22">
        <f>Table2[[#This Row],[(A)]]-Table2[[#This Row],[Spread]]</f>
        <v>19.39488151658767</v>
      </c>
      <c r="AJ1069" s="1">
        <f>Table2[[#This Row],[(A) Err]]^2</f>
        <v>376.16142904247403</v>
      </c>
      <c r="AK1069" s="6">
        <f>Table2[[#This Row],[EV]]-Table2[[#This Row],[Spread]]</f>
        <v>11.231715906378781</v>
      </c>
      <c r="AL1069" s="1">
        <f>Table2[[#This Row],[EV Err]]^2</f>
        <v>126.15144220160212</v>
      </c>
    </row>
    <row r="1070" spans="1:38" x14ac:dyDescent="0.25">
      <c r="A1070" t="s">
        <v>184</v>
      </c>
      <c r="B1070" t="s">
        <v>21</v>
      </c>
      <c r="C1070" t="s">
        <v>14</v>
      </c>
      <c r="K1070" s="25">
        <f>(Table2[[#This Row],[Home Pace]]/100)*(VLOOKUP(Table2[[#This Row],[Home/Neutral]],home_lookup,8,FALSE)+VLOOKUP(Table2[[#This Row],[Home/Neutral]],OFR_lookup,2,FALSE)+VLOOKUP(Table2[[#This Row],[Visitor/Neutral]],def_diff_lookup,6,FALSE))</f>
        <v>103.25899117524391</v>
      </c>
      <c r="L1070" s="25"/>
      <c r="M1070" s="25">
        <f>(Table2[[#This Row],[Away Pace]]/100)*(VLOOKUP(Table2[[#This Row],[Visitor/Neutral]],OFR_lookup,2,FALSE)+VLOOKUP(Table2[[#This Row],[Home/Neutral]],def_diff_lookup,6,FALSE))</f>
        <v>104.92482933333336</v>
      </c>
      <c r="N1070" s="25"/>
      <c r="O1070" s="25"/>
      <c r="P1070">
        <f>VLOOKUP(Table2[[#This Row],[Home/Neutral]],pace_lookup,7,FALSE)</f>
        <v>94.2</v>
      </c>
      <c r="Q1070" s="5">
        <f>VLOOKUP(Table2[[#This Row],[Visitor/Neutral]],pace_lookup,7,FALSE)</f>
        <v>95.9</v>
      </c>
      <c r="R1070" s="9"/>
      <c r="V1070" s="2">
        <f>-home-VLOOKUP(Table2[[#This Row],[Home/Neutral]],rtg_vlookup,4,FALSE)+VLOOKUP(Table2[[#This Row],[Visitor/Neutral]],rtg_vlookup,4,FALSE)</f>
        <v>2.3348815165876688</v>
      </c>
      <c r="W1070" s="25"/>
      <c r="X1070" s="2"/>
      <c r="Y1070" s="2">
        <f>Table2[[#This Row],[Away EV]]-Table2[[#This Row],[Home EV]]</f>
        <v>1.665838158089457</v>
      </c>
      <c r="Z1070" s="33"/>
      <c r="AA1070" s="34"/>
      <c r="AB1070" s="5" t="b">
        <f>IF(VLOOKUP(Table2[[#This Row],[Home/Neutral]],division_lookup,9,FALSE)=VLOOKUP(Table2[[#This Row],[Visitor/Neutral]],division_lookup,9,FALSE),TRUE,FALSE)</f>
        <v>0</v>
      </c>
      <c r="AC1070" s="19" t="str">
        <f>VLOOKUP(Table2[[#This Row],[Home/Neutral]],division_lookup,9,FALSE)</f>
        <v>SE</v>
      </c>
      <c r="AD1070" s="19"/>
      <c r="AE1070" s="19" t="str">
        <f>IF(Table2[[#This Row],[Total EV ®]]&lt;Table2[[#This Row],[Total (V)]],"UNDER","OVER")</f>
        <v>OVER</v>
      </c>
      <c r="AF1070" s="30">
        <f>Table2[[#This Row],[(A) Spread]]-Table2[[#This Row],[Spread (V)]]</f>
        <v>0</v>
      </c>
      <c r="AG1070" s="19"/>
      <c r="AH1070" s="2">
        <f>Table2[[#This Row],[EV]]-Table2[[#This Row],[Spread (V)]]</f>
        <v>1.665838158089457</v>
      </c>
      <c r="AI1070" s="22">
        <f>Table2[[#This Row],[(A)]]-Table2[[#This Row],[Spread]]</f>
        <v>2.3348815165876688</v>
      </c>
      <c r="AJ1070" s="1">
        <f>Table2[[#This Row],[(A) Err]]^2</f>
        <v>5.4516716965027321</v>
      </c>
      <c r="AK1070" s="6">
        <f>Table2[[#This Row],[EV]]-Table2[[#This Row],[Spread]]</f>
        <v>1.665838158089457</v>
      </c>
      <c r="AL1070" s="1">
        <f>Table2[[#This Row],[EV Err]]^2</f>
        <v>2.7750167689468745</v>
      </c>
    </row>
    <row r="1071" spans="1:38" x14ac:dyDescent="0.25">
      <c r="A1071" t="s">
        <v>184</v>
      </c>
      <c r="B1071" t="s">
        <v>32</v>
      </c>
      <c r="C1071" t="s">
        <v>31</v>
      </c>
      <c r="K1071" s="25">
        <f>(Table2[[#This Row],[Home Pace]]/100)*(VLOOKUP(Table2[[#This Row],[Home/Neutral]],home_lookup,8,FALSE)+VLOOKUP(Table2[[#This Row],[Home/Neutral]],OFR_lookup,2,FALSE)+VLOOKUP(Table2[[#This Row],[Visitor/Neutral]],def_diff_lookup,6,FALSE))</f>
        <v>113.87217112001839</v>
      </c>
      <c r="L1071" s="25"/>
      <c r="M1071" s="25">
        <f>(Table2[[#This Row],[Away Pace]]/100)*(VLOOKUP(Table2[[#This Row],[Visitor/Neutral]],OFR_lookup,2,FALSE)+VLOOKUP(Table2[[#This Row],[Home/Neutral]],def_diff_lookup,6,FALSE))</f>
        <v>109.28704</v>
      </c>
      <c r="N1071" s="25"/>
      <c r="O1071" s="25"/>
      <c r="P1071">
        <f>VLOOKUP(Table2[[#This Row],[Home/Neutral]],pace_lookup,7,FALSE)</f>
        <v>98.6</v>
      </c>
      <c r="Q1071" s="5">
        <f>VLOOKUP(Table2[[#This Row],[Visitor/Neutral]],pace_lookup,7,FALSE)</f>
        <v>96</v>
      </c>
      <c r="R1071" s="9"/>
      <c r="V1071" s="2">
        <f>-home-VLOOKUP(Table2[[#This Row],[Home/Neutral]],rtg_vlookup,4,FALSE)+VLOOKUP(Table2[[#This Row],[Visitor/Neutral]],rtg_vlookup,4,FALSE)</f>
        <v>-2.0851184834123311</v>
      </c>
      <c r="W1071" s="25"/>
      <c r="X1071" s="2"/>
      <c r="Y1071" s="2">
        <f>Table2[[#This Row],[Away EV]]-Table2[[#This Row],[Home EV]]</f>
        <v>-4.5851311200183886</v>
      </c>
      <c r="Z1071" s="33"/>
      <c r="AA1071" s="34"/>
      <c r="AB1071" s="5" t="b">
        <f>IF(VLOOKUP(Table2[[#This Row],[Home/Neutral]],division_lookup,9,FALSE)=VLOOKUP(Table2[[#This Row],[Visitor/Neutral]],division_lookup,9,FALSE),TRUE,FALSE)</f>
        <v>0</v>
      </c>
      <c r="AC1071" s="19" t="str">
        <f>VLOOKUP(Table2[[#This Row],[Home/Neutral]],division_lookup,9,FALSE)</f>
        <v>NW</v>
      </c>
      <c r="AD1071" s="19"/>
      <c r="AE1071" s="19" t="str">
        <f>IF(Table2[[#This Row],[Total EV ®]]&lt;Table2[[#This Row],[Total (V)]],"UNDER","OVER")</f>
        <v>OVER</v>
      </c>
      <c r="AF1071" s="30">
        <f>Table2[[#This Row],[(A) Spread]]-Table2[[#This Row],[Spread (V)]]</f>
        <v>0</v>
      </c>
      <c r="AG1071" s="19"/>
      <c r="AH1071" s="2">
        <f>Table2[[#This Row],[EV]]-Table2[[#This Row],[Spread (V)]]</f>
        <v>-4.5851311200183886</v>
      </c>
      <c r="AI1071" s="22">
        <f>Table2[[#This Row],[(A)]]-Table2[[#This Row],[Spread]]</f>
        <v>-2.0851184834123311</v>
      </c>
      <c r="AJ1071" s="1">
        <f>Table2[[#This Row],[(A) Err]]^2</f>
        <v>4.3477190898677396</v>
      </c>
      <c r="AK1071" s="6">
        <f>Table2[[#This Row],[EV]]-Table2[[#This Row],[Spread]]</f>
        <v>-4.5851311200183886</v>
      </c>
      <c r="AL1071" s="1">
        <f>Table2[[#This Row],[EV Err]]^2</f>
        <v>21.023427387761082</v>
      </c>
    </row>
    <row r="1072" spans="1:38" x14ac:dyDescent="0.25">
      <c r="A1072" t="s">
        <v>184</v>
      </c>
      <c r="B1072" t="s">
        <v>6</v>
      </c>
      <c r="C1072" t="s">
        <v>23</v>
      </c>
      <c r="K1072" s="25">
        <f>(Table2[[#This Row],[Home Pace]]/100)*(VLOOKUP(Table2[[#This Row],[Home/Neutral]],home_lookup,8,FALSE)+VLOOKUP(Table2[[#This Row],[Home/Neutral]],OFR_lookup,2,FALSE)+VLOOKUP(Table2[[#This Row],[Visitor/Neutral]],def_diff_lookup,6,FALSE))</f>
        <v>98.953787870622449</v>
      </c>
      <c r="L1072" s="25"/>
      <c r="M1072" s="25">
        <f>(Table2[[#This Row],[Away Pace]]/100)*(VLOOKUP(Table2[[#This Row],[Visitor/Neutral]],OFR_lookup,2,FALSE)+VLOOKUP(Table2[[#This Row],[Home/Neutral]],def_diff_lookup,6,FALSE))</f>
        <v>94.369116666666685</v>
      </c>
      <c r="N1072" s="25"/>
      <c r="O1072" s="25"/>
      <c r="P1072">
        <f>VLOOKUP(Table2[[#This Row],[Home/Neutral]],pace_lookup,7,FALSE)</f>
        <v>93.1</v>
      </c>
      <c r="Q1072" s="5">
        <f>VLOOKUP(Table2[[#This Row],[Visitor/Neutral]],pace_lookup,7,FALSE)</f>
        <v>92.5</v>
      </c>
      <c r="R1072" s="9"/>
      <c r="V1072" s="2">
        <f>-home-VLOOKUP(Table2[[#This Row],[Home/Neutral]],rtg_vlookup,4,FALSE)+VLOOKUP(Table2[[#This Row],[Visitor/Neutral]],rtg_vlookup,4,FALSE)</f>
        <v>-7.3251184834123304</v>
      </c>
      <c r="W1072" s="25"/>
      <c r="X1072" s="2"/>
      <c r="Y1072" s="2">
        <f>Table2[[#This Row],[Away EV]]-Table2[[#This Row],[Home EV]]</f>
        <v>-4.5846712039557644</v>
      </c>
      <c r="Z1072" s="33"/>
      <c r="AA1072" s="34"/>
      <c r="AB1072" s="5" t="b">
        <f>IF(VLOOKUP(Table2[[#This Row],[Home/Neutral]],division_lookup,9,FALSE)=VLOOKUP(Table2[[#This Row],[Visitor/Neutral]],division_lookup,9,FALSE),TRUE,FALSE)</f>
        <v>1</v>
      </c>
      <c r="AC1072" s="19" t="str">
        <f>VLOOKUP(Table2[[#This Row],[Home/Neutral]],division_lookup,9,FALSE)</f>
        <v>SW</v>
      </c>
      <c r="AD1072" s="19"/>
      <c r="AE1072" s="19" t="str">
        <f>IF(Table2[[#This Row],[Total EV ®]]&lt;Table2[[#This Row],[Total (V)]],"UNDER","OVER")</f>
        <v>OVER</v>
      </c>
      <c r="AF1072" s="30">
        <f>Table2[[#This Row],[(A) Spread]]-Table2[[#This Row],[Spread (V)]]</f>
        <v>0</v>
      </c>
      <c r="AG1072" s="19"/>
      <c r="AH1072" s="2">
        <f>Table2[[#This Row],[EV]]-Table2[[#This Row],[Spread (V)]]</f>
        <v>-4.5846712039557644</v>
      </c>
      <c r="AI1072" s="22">
        <f>Table2[[#This Row],[(A)]]-Table2[[#This Row],[Spread]]</f>
        <v>-7.3251184834123304</v>
      </c>
      <c r="AJ1072" s="1">
        <f>Table2[[#This Row],[(A) Err]]^2</f>
        <v>53.657360796028961</v>
      </c>
      <c r="AK1072" s="6">
        <f>Table2[[#This Row],[EV]]-Table2[[#This Row],[Spread]]</f>
        <v>-4.5846712039557644</v>
      </c>
      <c r="AL1072" s="1">
        <f>Table2[[#This Row],[EV Err]]^2</f>
        <v>21.019210048381197</v>
      </c>
    </row>
    <row r="1073" spans="1:38" x14ac:dyDescent="0.25">
      <c r="A1073" t="s">
        <v>185</v>
      </c>
      <c r="B1073" t="s">
        <v>26</v>
      </c>
      <c r="C1073" t="s">
        <v>36</v>
      </c>
      <c r="K1073" s="25">
        <f>(Table2[[#This Row],[Home Pace]]/100)*(VLOOKUP(Table2[[#This Row],[Home/Neutral]],home_lookup,8,FALSE)+VLOOKUP(Table2[[#This Row],[Home/Neutral]],OFR_lookup,2,FALSE)+VLOOKUP(Table2[[#This Row],[Visitor/Neutral]],def_diff_lookup,6,FALSE))</f>
        <v>109.58736358918158</v>
      </c>
      <c r="L1073" s="25"/>
      <c r="M1073" s="25">
        <f>(Table2[[#This Row],[Away Pace]]/100)*(VLOOKUP(Table2[[#This Row],[Visitor/Neutral]],OFR_lookup,2,FALSE)+VLOOKUP(Table2[[#This Row],[Home/Neutral]],def_diff_lookup,6,FALSE))</f>
        <v>107.01430133333335</v>
      </c>
      <c r="N1073" s="25"/>
      <c r="O1073" s="25"/>
      <c r="P1073">
        <f>VLOOKUP(Table2[[#This Row],[Home/Neutral]],pace_lookup,7,FALSE)</f>
        <v>96</v>
      </c>
      <c r="Q1073" s="5">
        <f>VLOOKUP(Table2[[#This Row],[Visitor/Neutral]],pace_lookup,7,FALSE)</f>
        <v>102.2</v>
      </c>
      <c r="R1073" s="9"/>
      <c r="V1073" s="2">
        <f>-home-VLOOKUP(Table2[[#This Row],[Home/Neutral]],rtg_vlookup,4,FALSE)+VLOOKUP(Table2[[#This Row],[Visitor/Neutral]],rtg_vlookup,4,FALSE)</f>
        <v>-8.7051184834123312</v>
      </c>
      <c r="W1073" s="25"/>
      <c r="X1073" s="2"/>
      <c r="Y1073" s="2">
        <f>Table2[[#This Row],[Away EV]]-Table2[[#This Row],[Home EV]]</f>
        <v>-2.5730622558482281</v>
      </c>
      <c r="Z1073" s="33"/>
      <c r="AA1073" s="34"/>
      <c r="AB1073" s="5" t="b">
        <f>IF(VLOOKUP(Table2[[#This Row],[Home/Neutral]],division_lookup,9,FALSE)=VLOOKUP(Table2[[#This Row],[Visitor/Neutral]],division_lookup,9,FALSE),TRUE,FALSE)</f>
        <v>0</v>
      </c>
      <c r="AC1073" s="19" t="str">
        <f>VLOOKUP(Table2[[#This Row],[Home/Neutral]],division_lookup,9,FALSE)</f>
        <v>A</v>
      </c>
      <c r="AD1073" s="19"/>
      <c r="AE1073" s="19" t="str">
        <f>IF(Table2[[#This Row],[Total EV ®]]&lt;Table2[[#This Row],[Total (V)]],"UNDER","OVER")</f>
        <v>OVER</v>
      </c>
      <c r="AF1073" s="30">
        <f>Table2[[#This Row],[(A) Spread]]-Table2[[#This Row],[Spread (V)]]</f>
        <v>0</v>
      </c>
      <c r="AG1073" s="19"/>
      <c r="AH1073" s="2">
        <f>Table2[[#This Row],[EV]]-Table2[[#This Row],[Spread (V)]]</f>
        <v>-2.5730622558482281</v>
      </c>
      <c r="AI1073" s="22">
        <f>Table2[[#This Row],[(A)]]-Table2[[#This Row],[Spread]]</f>
        <v>-8.7051184834123312</v>
      </c>
      <c r="AJ1073" s="1">
        <f>Table2[[#This Row],[(A) Err]]^2</f>
        <v>75.779087810247006</v>
      </c>
      <c r="AK1073" s="6">
        <f>Table2[[#This Row],[EV]]-Table2[[#This Row],[Spread]]</f>
        <v>-2.5730622558482281</v>
      </c>
      <c r="AL1073" s="1">
        <f>Table2[[#This Row],[EV Err]]^2</f>
        <v>6.6206493724707727</v>
      </c>
    </row>
    <row r="1074" spans="1:38" x14ac:dyDescent="0.25">
      <c r="A1074" t="s">
        <v>185</v>
      </c>
      <c r="B1074" t="s">
        <v>13</v>
      </c>
      <c r="C1074" t="s">
        <v>39</v>
      </c>
      <c r="K1074" s="25">
        <f>(Table2[[#This Row],[Home Pace]]/100)*(VLOOKUP(Table2[[#This Row],[Home/Neutral]],home_lookup,8,FALSE)+VLOOKUP(Table2[[#This Row],[Home/Neutral]],OFR_lookup,2,FALSE)+VLOOKUP(Table2[[#This Row],[Visitor/Neutral]],def_diff_lookup,6,FALSE))</f>
        <v>108.246041084504</v>
      </c>
      <c r="L1074" s="25"/>
      <c r="M1074" s="25">
        <f>(Table2[[#This Row],[Away Pace]]/100)*(VLOOKUP(Table2[[#This Row],[Visitor/Neutral]],OFR_lookup,2,FALSE)+VLOOKUP(Table2[[#This Row],[Home/Neutral]],def_diff_lookup,6,FALSE))</f>
        <v>96.886400000000009</v>
      </c>
      <c r="N1074" s="25"/>
      <c r="O1074" s="25"/>
      <c r="P1074">
        <f>VLOOKUP(Table2[[#This Row],[Home/Neutral]],pace_lookup,7,FALSE)</f>
        <v>94.5</v>
      </c>
      <c r="Q1074" s="5">
        <f>VLOOKUP(Table2[[#This Row],[Visitor/Neutral]],pace_lookup,7,FALSE)</f>
        <v>97.5</v>
      </c>
      <c r="R1074" s="9"/>
      <c r="V1074" s="2">
        <f>-home-VLOOKUP(Table2[[#This Row],[Home/Neutral]],rtg_vlookup,4,FALSE)+VLOOKUP(Table2[[#This Row],[Visitor/Neutral]],rtg_vlookup,4,FALSE)</f>
        <v>-17.635118483412331</v>
      </c>
      <c r="W1074" s="25"/>
      <c r="X1074" s="2"/>
      <c r="Y1074" s="2">
        <f>Table2[[#This Row],[Away EV]]-Table2[[#This Row],[Home EV]]</f>
        <v>-11.359641084503991</v>
      </c>
      <c r="Z1074" s="33"/>
      <c r="AA1074" s="34"/>
      <c r="AB1074" s="5" t="b">
        <f>IF(VLOOKUP(Table2[[#This Row],[Home/Neutral]],division_lookup,9,FALSE)=VLOOKUP(Table2[[#This Row],[Visitor/Neutral]],division_lookup,9,FALSE),TRUE,FALSE)</f>
        <v>0</v>
      </c>
      <c r="AC1074" s="19" t="str">
        <f>VLOOKUP(Table2[[#This Row],[Home/Neutral]],division_lookup,9,FALSE)</f>
        <v>C</v>
      </c>
      <c r="AD1074" s="19"/>
      <c r="AE1074" s="19" t="str">
        <f>IF(Table2[[#This Row],[Total EV ®]]&lt;Table2[[#This Row],[Total (V)]],"UNDER","OVER")</f>
        <v>OVER</v>
      </c>
      <c r="AF1074" s="30">
        <f>Table2[[#This Row],[(A) Spread]]-Table2[[#This Row],[Spread (V)]]</f>
        <v>0</v>
      </c>
      <c r="AG1074" s="19"/>
      <c r="AH1074" s="2">
        <f>Table2[[#This Row],[EV]]-Table2[[#This Row],[Spread (V)]]</f>
        <v>-11.359641084503991</v>
      </c>
      <c r="AI1074" s="22">
        <f>Table2[[#This Row],[(A)]]-Table2[[#This Row],[Spread]]</f>
        <v>-17.635118483412331</v>
      </c>
      <c r="AJ1074" s="1">
        <f>Table2[[#This Row],[(A) Err]]^2</f>
        <v>310.99740392399121</v>
      </c>
      <c r="AK1074" s="6">
        <f>Table2[[#This Row],[EV]]-Table2[[#This Row],[Spread]]</f>
        <v>-11.359641084503991</v>
      </c>
      <c r="AL1074" s="1">
        <f>Table2[[#This Row],[EV Err]]^2</f>
        <v>129.04144556875102</v>
      </c>
    </row>
    <row r="1075" spans="1:38" x14ac:dyDescent="0.25">
      <c r="A1075" t="s">
        <v>185</v>
      </c>
      <c r="B1075" t="s">
        <v>16</v>
      </c>
      <c r="C1075" t="s">
        <v>8</v>
      </c>
      <c r="K1075" s="25">
        <f>(Table2[[#This Row],[Home Pace]]/100)*(VLOOKUP(Table2[[#This Row],[Home/Neutral]],home_lookup,8,FALSE)+VLOOKUP(Table2[[#This Row],[Home/Neutral]],OFR_lookup,2,FALSE)+VLOOKUP(Table2[[#This Row],[Visitor/Neutral]],def_diff_lookup,6,FALSE))</f>
        <v>101.79335601115952</v>
      </c>
      <c r="L1075" s="25"/>
      <c r="M1075" s="25">
        <f>(Table2[[#This Row],[Away Pace]]/100)*(VLOOKUP(Table2[[#This Row],[Visitor/Neutral]],OFR_lookup,2,FALSE)+VLOOKUP(Table2[[#This Row],[Home/Neutral]],def_diff_lookup,6,FALSE))</f>
        <v>106.35688800000001</v>
      </c>
      <c r="N1075" s="25"/>
      <c r="O1075" s="25"/>
      <c r="P1075">
        <f>VLOOKUP(Table2[[#This Row],[Home/Neutral]],pace_lookup,7,FALSE)</f>
        <v>97.5</v>
      </c>
      <c r="Q1075" s="5">
        <f>VLOOKUP(Table2[[#This Row],[Visitor/Neutral]],pace_lookup,7,FALSE)</f>
        <v>97.2</v>
      </c>
      <c r="R1075" s="9"/>
      <c r="V1075" s="2">
        <f>-home-VLOOKUP(Table2[[#This Row],[Home/Neutral]],rtg_vlookup,4,FALSE)+VLOOKUP(Table2[[#This Row],[Visitor/Neutral]],rtg_vlookup,4,FALSE)</f>
        <v>1.5148815165876695</v>
      </c>
      <c r="W1075" s="25"/>
      <c r="X1075" s="2"/>
      <c r="Y1075" s="2">
        <f>Table2[[#This Row],[Away EV]]-Table2[[#This Row],[Home EV]]</f>
        <v>4.563531988840495</v>
      </c>
      <c r="Z1075" s="33"/>
      <c r="AA1075" s="34"/>
      <c r="AB1075" s="5" t="b">
        <f>IF(VLOOKUP(Table2[[#This Row],[Home/Neutral]],division_lookup,9,FALSE)=VLOOKUP(Table2[[#This Row],[Visitor/Neutral]],division_lookup,9,FALSE),TRUE,FALSE)</f>
        <v>0</v>
      </c>
      <c r="AC1075" s="19" t="str">
        <f>VLOOKUP(Table2[[#This Row],[Home/Neutral]],division_lookup,9,FALSE)</f>
        <v>SE</v>
      </c>
      <c r="AD1075" s="19"/>
      <c r="AE1075" s="19" t="str">
        <f>IF(Table2[[#This Row],[Total EV ®]]&lt;Table2[[#This Row],[Total (V)]],"UNDER","OVER")</f>
        <v>OVER</v>
      </c>
      <c r="AF1075" s="30">
        <f>Table2[[#This Row],[(A) Spread]]-Table2[[#This Row],[Spread (V)]]</f>
        <v>0</v>
      </c>
      <c r="AG1075" s="19"/>
      <c r="AH1075" s="2">
        <f>Table2[[#This Row],[EV]]-Table2[[#This Row],[Spread (V)]]</f>
        <v>4.563531988840495</v>
      </c>
      <c r="AI1075" s="22">
        <f>Table2[[#This Row],[(A)]]-Table2[[#This Row],[Spread]]</f>
        <v>1.5148815165876695</v>
      </c>
      <c r="AJ1075" s="1">
        <f>Table2[[#This Row],[(A) Err]]^2</f>
        <v>2.2948660092989575</v>
      </c>
      <c r="AK1075" s="6">
        <f>Table2[[#This Row],[EV]]-Table2[[#This Row],[Spread]]</f>
        <v>4.563531988840495</v>
      </c>
      <c r="AL1075" s="1">
        <f>Table2[[#This Row],[EV Err]]^2</f>
        <v>20.825824213170485</v>
      </c>
    </row>
    <row r="1076" spans="1:38" x14ac:dyDescent="0.25">
      <c r="A1076" t="s">
        <v>185</v>
      </c>
      <c r="B1076" t="s">
        <v>10</v>
      </c>
      <c r="C1076" t="s">
        <v>29</v>
      </c>
      <c r="K1076" s="25">
        <f>(Table2[[#This Row],[Home Pace]]/100)*(VLOOKUP(Table2[[#This Row],[Home/Neutral]],home_lookup,8,FALSE)+VLOOKUP(Table2[[#This Row],[Home/Neutral]],OFR_lookup,2,FALSE)+VLOOKUP(Table2[[#This Row],[Visitor/Neutral]],def_diff_lookup,6,FALSE))</f>
        <v>110.5262985379056</v>
      </c>
      <c r="L1076" s="25"/>
      <c r="M1076" s="25">
        <f>(Table2[[#This Row],[Away Pace]]/100)*(VLOOKUP(Table2[[#This Row],[Visitor/Neutral]],OFR_lookup,2,FALSE)+VLOOKUP(Table2[[#This Row],[Home/Neutral]],def_diff_lookup,6,FALSE))</f>
        <v>102.16758533333334</v>
      </c>
      <c r="N1076" s="25"/>
      <c r="O1076" s="25"/>
      <c r="P1076">
        <f>VLOOKUP(Table2[[#This Row],[Home/Neutral]],pace_lookup,7,FALSE)</f>
        <v>100.3</v>
      </c>
      <c r="Q1076" s="5">
        <f>VLOOKUP(Table2[[#This Row],[Visitor/Neutral]],pace_lookup,7,FALSE)</f>
        <v>93.8</v>
      </c>
      <c r="R1076" s="9"/>
      <c r="V1076" s="2">
        <f>-home-VLOOKUP(Table2[[#This Row],[Home/Neutral]],rtg_vlookup,4,FALSE)+VLOOKUP(Table2[[#This Row],[Visitor/Neutral]],rtg_vlookup,4,FALSE)</f>
        <v>-13.49511848341233</v>
      </c>
      <c r="W1076" s="25"/>
      <c r="X1076" s="2"/>
      <c r="Y1076" s="2">
        <f>Table2[[#This Row],[Away EV]]-Table2[[#This Row],[Home EV]]</f>
        <v>-8.3587132045722683</v>
      </c>
      <c r="Z1076" s="33"/>
      <c r="AA1076" s="34"/>
      <c r="AB1076" s="5" t="b">
        <f>IF(VLOOKUP(Table2[[#This Row],[Home/Neutral]],division_lookup,9,FALSE)=VLOOKUP(Table2[[#This Row],[Visitor/Neutral]],division_lookup,9,FALSE),TRUE,FALSE)</f>
        <v>1</v>
      </c>
      <c r="AC1076" s="19" t="str">
        <f>VLOOKUP(Table2[[#This Row],[Home/Neutral]],division_lookup,9,FALSE)</f>
        <v>P</v>
      </c>
      <c r="AD1076" s="19"/>
      <c r="AE1076" s="19" t="str">
        <f>IF(Table2[[#This Row],[Total EV ®]]&lt;Table2[[#This Row],[Total (V)]],"UNDER","OVER")</f>
        <v>OVER</v>
      </c>
      <c r="AF1076" s="30">
        <f>Table2[[#This Row],[(A) Spread]]-Table2[[#This Row],[Spread (V)]]</f>
        <v>0</v>
      </c>
      <c r="AG1076" s="19"/>
      <c r="AH1076" s="2">
        <f>Table2[[#This Row],[EV]]-Table2[[#This Row],[Spread (V)]]</f>
        <v>-8.3587132045722683</v>
      </c>
      <c r="AI1076" s="22">
        <f>Table2[[#This Row],[(A)]]-Table2[[#This Row],[Spread]]</f>
        <v>-13.49511848341233</v>
      </c>
      <c r="AJ1076" s="1">
        <f>Table2[[#This Row],[(A) Err]]^2</f>
        <v>182.11822288133712</v>
      </c>
      <c r="AK1076" s="6">
        <f>Table2[[#This Row],[EV]]-Table2[[#This Row],[Spread]]</f>
        <v>-8.3587132045722683</v>
      </c>
      <c r="AL1076" s="1">
        <f>Table2[[#This Row],[EV Err]]^2</f>
        <v>69.868086436290795</v>
      </c>
    </row>
    <row r="1077" spans="1:38" x14ac:dyDescent="0.25">
      <c r="A1077" t="s">
        <v>185</v>
      </c>
      <c r="B1077" t="s">
        <v>17</v>
      </c>
      <c r="C1077" t="s">
        <v>34</v>
      </c>
      <c r="K1077" s="25">
        <f>(Table2[[#This Row],[Home Pace]]/100)*(VLOOKUP(Table2[[#This Row],[Home/Neutral]],home_lookup,8,FALSE)+VLOOKUP(Table2[[#This Row],[Home/Neutral]],OFR_lookup,2,FALSE)+VLOOKUP(Table2[[#This Row],[Visitor/Neutral]],def_diff_lookup,6,FALSE))</f>
        <v>109.04610692873544</v>
      </c>
      <c r="L1077" s="25"/>
      <c r="M1077" s="25">
        <f>(Table2[[#This Row],[Away Pace]]/100)*(VLOOKUP(Table2[[#This Row],[Visitor/Neutral]],OFR_lookup,2,FALSE)+VLOOKUP(Table2[[#This Row],[Home/Neutral]],def_diff_lookup,6,FALSE))</f>
        <v>103.04905866666667</v>
      </c>
      <c r="N1077" s="25"/>
      <c r="O1077" s="25"/>
      <c r="P1077">
        <f>VLOOKUP(Table2[[#This Row],[Home/Neutral]],pace_lookup,7,FALSE)</f>
        <v>96.7</v>
      </c>
      <c r="Q1077" s="5">
        <f>VLOOKUP(Table2[[#This Row],[Visitor/Neutral]],pace_lookup,7,FALSE)</f>
        <v>98.8</v>
      </c>
      <c r="R1077" s="9"/>
      <c r="V1077" s="2">
        <f>-home-VLOOKUP(Table2[[#This Row],[Home/Neutral]],rtg_vlookup,4,FALSE)+VLOOKUP(Table2[[#This Row],[Visitor/Neutral]],rtg_vlookup,4,FALSE)</f>
        <v>-11.99511848341233</v>
      </c>
      <c r="W1077" s="25"/>
      <c r="X1077" s="2"/>
      <c r="Y1077" s="2">
        <f>Table2[[#This Row],[Away EV]]-Table2[[#This Row],[Home EV]]</f>
        <v>-5.9970482620687733</v>
      </c>
      <c r="Z1077" s="33"/>
      <c r="AA1077" s="34"/>
      <c r="AB1077" s="5" t="b">
        <f>IF(VLOOKUP(Table2[[#This Row],[Home/Neutral]],division_lookup,9,FALSE)=VLOOKUP(Table2[[#This Row],[Visitor/Neutral]],division_lookup,9,FALSE),TRUE,FALSE)</f>
        <v>1</v>
      </c>
      <c r="AC1077" s="19" t="str">
        <f>VLOOKUP(Table2[[#This Row],[Home/Neutral]],division_lookup,9,FALSE)</f>
        <v>SW</v>
      </c>
      <c r="AD1077" s="19"/>
      <c r="AE1077" s="19" t="str">
        <f>IF(Table2[[#This Row],[Total EV ®]]&lt;Table2[[#This Row],[Total (V)]],"UNDER","OVER")</f>
        <v>OVER</v>
      </c>
      <c r="AF1077" s="30">
        <f>Table2[[#This Row],[(A) Spread]]-Table2[[#This Row],[Spread (V)]]</f>
        <v>0</v>
      </c>
      <c r="AG1077" s="19"/>
      <c r="AH1077" s="2">
        <f>Table2[[#This Row],[EV]]-Table2[[#This Row],[Spread (V)]]</f>
        <v>-5.9970482620687733</v>
      </c>
      <c r="AI1077" s="22">
        <f>Table2[[#This Row],[(A)]]-Table2[[#This Row],[Spread]]</f>
        <v>-11.99511848341233</v>
      </c>
      <c r="AJ1077" s="1">
        <f>Table2[[#This Row],[(A) Err]]^2</f>
        <v>143.88286743110012</v>
      </c>
      <c r="AK1077" s="6">
        <f>Table2[[#This Row],[EV]]-Table2[[#This Row],[Spread]]</f>
        <v>-5.9970482620687733</v>
      </c>
      <c r="AL1077" s="1">
        <f>Table2[[#This Row],[EV Err]]^2</f>
        <v>35.964587857582096</v>
      </c>
    </row>
    <row r="1078" spans="1:38" x14ac:dyDescent="0.25">
      <c r="A1078" t="s">
        <v>185</v>
      </c>
      <c r="B1078" t="s">
        <v>33</v>
      </c>
      <c r="C1078" t="s">
        <v>27</v>
      </c>
      <c r="K1078" s="25">
        <f>(Table2[[#This Row],[Home Pace]]/100)*(VLOOKUP(Table2[[#This Row],[Home/Neutral]],home_lookup,8,FALSE)+VLOOKUP(Table2[[#This Row],[Home/Neutral]],OFR_lookup,2,FALSE)+VLOOKUP(Table2[[#This Row],[Visitor/Neutral]],def_diff_lookup,6,FALSE))</f>
        <v>107.10655852057506</v>
      </c>
      <c r="L1078" s="25"/>
      <c r="M1078" s="25">
        <f>(Table2[[#This Row],[Away Pace]]/100)*(VLOOKUP(Table2[[#This Row],[Visitor/Neutral]],OFR_lookup,2,FALSE)+VLOOKUP(Table2[[#This Row],[Home/Neutral]],def_diff_lookup,6,FALSE))</f>
        <v>106.70286</v>
      </c>
      <c r="N1078" s="25"/>
      <c r="O1078" s="25"/>
      <c r="P1078">
        <f>VLOOKUP(Table2[[#This Row],[Home/Neutral]],pace_lookup,7,FALSE)</f>
        <v>98.2</v>
      </c>
      <c r="Q1078" s="5">
        <f>VLOOKUP(Table2[[#This Row],[Visitor/Neutral]],pace_lookup,7,FALSE)</f>
        <v>99</v>
      </c>
      <c r="R1078" s="9"/>
      <c r="V1078" s="2">
        <f>-home-VLOOKUP(Table2[[#This Row],[Home/Neutral]],rtg_vlookup,4,FALSE)+VLOOKUP(Table2[[#This Row],[Visitor/Neutral]],rtg_vlookup,4,FALSE)</f>
        <v>1.9248815165876696</v>
      </c>
      <c r="W1078" s="25"/>
      <c r="X1078" s="2"/>
      <c r="Y1078" s="2">
        <f>Table2[[#This Row],[Away EV]]-Table2[[#This Row],[Home EV]]</f>
        <v>-0.4036985205750625</v>
      </c>
      <c r="Z1078" s="33"/>
      <c r="AA1078" s="34"/>
      <c r="AB1078" s="5" t="b">
        <f>IF(VLOOKUP(Table2[[#This Row],[Home/Neutral]],division_lookup,9,FALSE)=VLOOKUP(Table2[[#This Row],[Visitor/Neutral]],division_lookup,9,FALSE),TRUE,FALSE)</f>
        <v>0</v>
      </c>
      <c r="AC1078" s="19" t="str">
        <f>VLOOKUP(Table2[[#This Row],[Home/Neutral]],division_lookup,9,FALSE)</f>
        <v>C</v>
      </c>
      <c r="AD1078" s="19"/>
      <c r="AE1078" s="19" t="str">
        <f>IF(Table2[[#This Row],[Total EV ®]]&lt;Table2[[#This Row],[Total (V)]],"UNDER","OVER")</f>
        <v>OVER</v>
      </c>
      <c r="AF1078" s="30">
        <f>Table2[[#This Row],[(A) Spread]]-Table2[[#This Row],[Spread (V)]]</f>
        <v>0</v>
      </c>
      <c r="AG1078" s="19"/>
      <c r="AH1078" s="2">
        <f>Table2[[#This Row],[EV]]-Table2[[#This Row],[Spread (V)]]</f>
        <v>-0.4036985205750625</v>
      </c>
      <c r="AI1078" s="22">
        <f>Table2[[#This Row],[(A)]]-Table2[[#This Row],[Spread]]</f>
        <v>1.9248815165876696</v>
      </c>
      <c r="AJ1078" s="1">
        <f>Table2[[#This Row],[(A) Err]]^2</f>
        <v>3.7051688529008469</v>
      </c>
      <c r="AK1078" s="6">
        <f>Table2[[#This Row],[EV]]-Table2[[#This Row],[Spread]]</f>
        <v>-0.4036985205750625</v>
      </c>
      <c r="AL1078" s="1">
        <f>Table2[[#This Row],[EV Err]]^2</f>
        <v>0.16297249551449416</v>
      </c>
    </row>
    <row r="1079" spans="1:38" x14ac:dyDescent="0.25">
      <c r="A1079" t="s">
        <v>185</v>
      </c>
      <c r="B1079" t="s">
        <v>24</v>
      </c>
      <c r="C1079" t="s">
        <v>22</v>
      </c>
      <c r="K1079" s="25">
        <f>(Table2[[#This Row],[Home Pace]]/100)*(VLOOKUP(Table2[[#This Row],[Home/Neutral]],home_lookup,8,FALSE)+VLOOKUP(Table2[[#This Row],[Home/Neutral]],OFR_lookup,2,FALSE)+VLOOKUP(Table2[[#This Row],[Visitor/Neutral]],def_diff_lookup,6,FALSE))</f>
        <v>113.21247432830941</v>
      </c>
      <c r="L1079" s="25"/>
      <c r="M1079" s="25">
        <f>(Table2[[#This Row],[Away Pace]]/100)*(VLOOKUP(Table2[[#This Row],[Visitor/Neutral]],OFR_lookup,2,FALSE)+VLOOKUP(Table2[[#This Row],[Home/Neutral]],def_diff_lookup,6,FALSE))</f>
        <v>109.09503133333335</v>
      </c>
      <c r="N1079" s="25"/>
      <c r="O1079" s="25"/>
      <c r="P1079">
        <f>VLOOKUP(Table2[[#This Row],[Home/Neutral]],pace_lookup,7,FALSE)</f>
        <v>99.9</v>
      </c>
      <c r="Q1079" s="5">
        <f>VLOOKUP(Table2[[#This Row],[Visitor/Neutral]],pace_lookup,7,FALSE)</f>
        <v>94.7</v>
      </c>
      <c r="R1079" s="9"/>
      <c r="V1079" s="2">
        <f>-home-VLOOKUP(Table2[[#This Row],[Home/Neutral]],rtg_vlookup,4,FALSE)+VLOOKUP(Table2[[#This Row],[Visitor/Neutral]],rtg_vlookup,4,FALSE)</f>
        <v>-2.0751184834123304</v>
      </c>
      <c r="W1079" s="25"/>
      <c r="X1079" s="2"/>
      <c r="Y1079" s="2">
        <f>Table2[[#This Row],[Away EV]]-Table2[[#This Row],[Home EV]]</f>
        <v>-4.1174429949760594</v>
      </c>
      <c r="Z1079" s="33"/>
      <c r="AA1079" s="34"/>
      <c r="AB1079" s="5" t="b">
        <f>IF(VLOOKUP(Table2[[#This Row],[Home/Neutral]],division_lookup,9,FALSE)=VLOOKUP(Table2[[#This Row],[Visitor/Neutral]],division_lookup,9,FALSE),TRUE,FALSE)</f>
        <v>0</v>
      </c>
      <c r="AC1079" s="19" t="str">
        <f>VLOOKUP(Table2[[#This Row],[Home/Neutral]],division_lookup,9,FALSE)</f>
        <v>P</v>
      </c>
      <c r="AD1079" s="19"/>
      <c r="AE1079" s="19" t="str">
        <f>IF(Table2[[#This Row],[Total EV ®]]&lt;Table2[[#This Row],[Total (V)]],"UNDER","OVER")</f>
        <v>OVER</v>
      </c>
      <c r="AF1079" s="30">
        <f>Table2[[#This Row],[(A) Spread]]-Table2[[#This Row],[Spread (V)]]</f>
        <v>0</v>
      </c>
      <c r="AG1079" s="19"/>
      <c r="AH1079" s="2">
        <f>Table2[[#This Row],[EV]]-Table2[[#This Row],[Spread (V)]]</f>
        <v>-4.1174429949760594</v>
      </c>
      <c r="AI1079" s="22">
        <f>Table2[[#This Row],[(A)]]-Table2[[#This Row],[Spread]]</f>
        <v>-2.0751184834123304</v>
      </c>
      <c r="AJ1079" s="1">
        <f>Table2[[#This Row],[(A) Err]]^2</f>
        <v>4.3061167201994905</v>
      </c>
      <c r="AK1079" s="6">
        <f>Table2[[#This Row],[EV]]-Table2[[#This Row],[Spread]]</f>
        <v>-4.1174429949760594</v>
      </c>
      <c r="AL1079" s="1">
        <f>Table2[[#This Row],[EV Err]]^2</f>
        <v>16.953336816877421</v>
      </c>
    </row>
    <row r="1080" spans="1:38" x14ac:dyDescent="0.25">
      <c r="A1080" t="s">
        <v>185</v>
      </c>
      <c r="B1080" t="s">
        <v>30</v>
      </c>
      <c r="C1080" t="s">
        <v>11</v>
      </c>
      <c r="K1080" s="25">
        <f>(Table2[[#This Row],[Home Pace]]/100)*(VLOOKUP(Table2[[#This Row],[Home/Neutral]],home_lookup,8,FALSE)+VLOOKUP(Table2[[#This Row],[Home/Neutral]],OFR_lookup,2,FALSE)+VLOOKUP(Table2[[#This Row],[Visitor/Neutral]],def_diff_lookup,6,FALSE))</f>
        <v>100.56192034993644</v>
      </c>
      <c r="L1080" s="25"/>
      <c r="M1080" s="25">
        <f>(Table2[[#This Row],[Away Pace]]/100)*(VLOOKUP(Table2[[#This Row],[Visitor/Neutral]],OFR_lookup,2,FALSE)+VLOOKUP(Table2[[#This Row],[Home/Neutral]],def_diff_lookup,6,FALSE))</f>
        <v>106.44038466666667</v>
      </c>
      <c r="N1080" s="25"/>
      <c r="O1080" s="25"/>
      <c r="P1080">
        <f>VLOOKUP(Table2[[#This Row],[Home/Neutral]],pace_lookup,7,FALSE)</f>
        <v>96.8</v>
      </c>
      <c r="Q1080" s="5">
        <f>VLOOKUP(Table2[[#This Row],[Visitor/Neutral]],pace_lookup,7,FALSE)</f>
        <v>99.7</v>
      </c>
      <c r="R1080" s="9"/>
      <c r="V1080" s="2">
        <f>-home-VLOOKUP(Table2[[#This Row],[Home/Neutral]],rtg_vlookup,4,FALSE)+VLOOKUP(Table2[[#This Row],[Visitor/Neutral]],rtg_vlookup,4,FALSE)</f>
        <v>6.1048815165876693</v>
      </c>
      <c r="W1080" s="25"/>
      <c r="X1080" s="2"/>
      <c r="Y1080" s="2">
        <f>Table2[[#This Row],[Away EV]]-Table2[[#This Row],[Home EV]]</f>
        <v>5.8784643167302306</v>
      </c>
      <c r="Z1080" s="33"/>
      <c r="AA1080" s="34"/>
      <c r="AB1080" s="5" t="b">
        <f>IF(VLOOKUP(Table2[[#This Row],[Home/Neutral]],division_lookup,9,FALSE)=VLOOKUP(Table2[[#This Row],[Visitor/Neutral]],division_lookup,9,FALSE),TRUE,FALSE)</f>
        <v>0</v>
      </c>
      <c r="AC1080" s="19" t="str">
        <f>VLOOKUP(Table2[[#This Row],[Home/Neutral]],division_lookup,9,FALSE)</f>
        <v>C</v>
      </c>
      <c r="AD1080" s="19"/>
      <c r="AE1080" s="19" t="str">
        <f>IF(Table2[[#This Row],[Total EV ®]]&lt;Table2[[#This Row],[Total (V)]],"UNDER","OVER")</f>
        <v>OVER</v>
      </c>
      <c r="AF1080" s="30">
        <f>Table2[[#This Row],[(A) Spread]]-Table2[[#This Row],[Spread (V)]]</f>
        <v>0</v>
      </c>
      <c r="AG1080" s="19"/>
      <c r="AH1080" s="2">
        <f>Table2[[#This Row],[EV]]-Table2[[#This Row],[Spread (V)]]</f>
        <v>5.8784643167302306</v>
      </c>
      <c r="AI1080" s="22">
        <f>Table2[[#This Row],[(A)]]-Table2[[#This Row],[Spread]]</f>
        <v>6.1048815165876693</v>
      </c>
      <c r="AJ1080" s="1">
        <f>Table2[[#This Row],[(A) Err]]^2</f>
        <v>37.269578331573761</v>
      </c>
      <c r="AK1080" s="6">
        <f>Table2[[#This Row],[EV]]-Table2[[#This Row],[Spread]]</f>
        <v>5.8784643167302306</v>
      </c>
      <c r="AL1080" s="1">
        <f>Table2[[#This Row],[EV Err]]^2</f>
        <v>34.556342723070614</v>
      </c>
    </row>
    <row r="1081" spans="1:38" x14ac:dyDescent="0.25">
      <c r="A1081" t="s">
        <v>185</v>
      </c>
      <c r="B1081" t="s">
        <v>38</v>
      </c>
      <c r="C1081" t="s">
        <v>25</v>
      </c>
      <c r="K1081" s="25">
        <f>(Table2[[#This Row],[Home Pace]]/100)*(VLOOKUP(Table2[[#This Row],[Home/Neutral]],home_lookup,8,FALSE)+VLOOKUP(Table2[[#This Row],[Home/Neutral]],OFR_lookup,2,FALSE)+VLOOKUP(Table2[[#This Row],[Visitor/Neutral]],def_diff_lookup,6,FALSE))</f>
        <v>102.5206516789148</v>
      </c>
      <c r="L1081" s="25"/>
      <c r="M1081" s="25">
        <f>(Table2[[#This Row],[Away Pace]]/100)*(VLOOKUP(Table2[[#This Row],[Visitor/Neutral]],OFR_lookup,2,FALSE)+VLOOKUP(Table2[[#This Row],[Home/Neutral]],def_diff_lookup,6,FALSE))</f>
        <v>97.91230933333334</v>
      </c>
      <c r="N1081" s="25"/>
      <c r="O1081" s="25"/>
      <c r="P1081">
        <f>VLOOKUP(Table2[[#This Row],[Home/Neutral]],pace_lookup,7,FALSE)</f>
        <v>94.2</v>
      </c>
      <c r="Q1081" s="5">
        <f>VLOOKUP(Table2[[#This Row],[Visitor/Neutral]],pace_lookup,7,FALSE)</f>
        <v>94.4</v>
      </c>
      <c r="R1081" s="9"/>
      <c r="V1081" s="2">
        <f>-home-VLOOKUP(Table2[[#This Row],[Home/Neutral]],rtg_vlookup,4,FALSE)+VLOOKUP(Table2[[#This Row],[Visitor/Neutral]],rtg_vlookup,4,FALSE)</f>
        <v>5.954881516587669</v>
      </c>
      <c r="W1081" s="25"/>
      <c r="X1081" s="2"/>
      <c r="Y1081" s="2">
        <f>Table2[[#This Row],[Away EV]]-Table2[[#This Row],[Home EV]]</f>
        <v>-4.6083423455814625</v>
      </c>
      <c r="Z1081" s="33"/>
      <c r="AA1081" s="34"/>
      <c r="AB1081" s="5" t="b">
        <f>IF(VLOOKUP(Table2[[#This Row],[Home/Neutral]],division_lookup,9,FALSE)=VLOOKUP(Table2[[#This Row],[Visitor/Neutral]],division_lookup,9,FALSE),TRUE,FALSE)</f>
        <v>0</v>
      </c>
      <c r="AC1081" s="19" t="str">
        <f>VLOOKUP(Table2[[#This Row],[Home/Neutral]],division_lookup,9,FALSE)</f>
        <v>SE</v>
      </c>
      <c r="AD1081" s="19"/>
      <c r="AE1081" s="19" t="str">
        <f>IF(Table2[[#This Row],[Total EV ®]]&lt;Table2[[#This Row],[Total (V)]],"UNDER","OVER")</f>
        <v>OVER</v>
      </c>
      <c r="AF1081" s="30">
        <f>Table2[[#This Row],[(A) Spread]]-Table2[[#This Row],[Spread (V)]]</f>
        <v>0</v>
      </c>
      <c r="AG1081" s="19"/>
      <c r="AH1081" s="2">
        <f>Table2[[#This Row],[EV]]-Table2[[#This Row],[Spread (V)]]</f>
        <v>-4.6083423455814625</v>
      </c>
      <c r="AI1081" s="22">
        <f>Table2[[#This Row],[(A)]]-Table2[[#This Row],[Spread]]</f>
        <v>5.954881516587669</v>
      </c>
      <c r="AJ1081" s="1">
        <f>Table2[[#This Row],[(A) Err]]^2</f>
        <v>35.460613876597456</v>
      </c>
      <c r="AK1081" s="6">
        <f>Table2[[#This Row],[EV]]-Table2[[#This Row],[Spread]]</f>
        <v>-4.6083423455814625</v>
      </c>
      <c r="AL1081" s="1">
        <f>Table2[[#This Row],[EV Err]]^2</f>
        <v>21.236819174079255</v>
      </c>
    </row>
    <row r="1082" spans="1:38" x14ac:dyDescent="0.25">
      <c r="A1082" t="s">
        <v>185</v>
      </c>
      <c r="B1082" t="s">
        <v>28</v>
      </c>
      <c r="C1082" t="s">
        <v>35</v>
      </c>
      <c r="K1082" s="25">
        <f>(Table2[[#This Row],[Home Pace]]/100)*(VLOOKUP(Table2[[#This Row],[Home/Neutral]],home_lookup,8,FALSE)+VLOOKUP(Table2[[#This Row],[Home/Neutral]],OFR_lookup,2,FALSE)+VLOOKUP(Table2[[#This Row],[Visitor/Neutral]],def_diff_lookup,6,FALSE))</f>
        <v>111.76295553204272</v>
      </c>
      <c r="L1082" s="25"/>
      <c r="M1082" s="25">
        <f>(Table2[[#This Row],[Away Pace]]/100)*(VLOOKUP(Table2[[#This Row],[Visitor/Neutral]],OFR_lookup,2,FALSE)+VLOOKUP(Table2[[#This Row],[Home/Neutral]],def_diff_lookup,6,FALSE))</f>
        <v>108.89478133333336</v>
      </c>
      <c r="N1082" s="25"/>
      <c r="O1082" s="25"/>
      <c r="P1082">
        <f>VLOOKUP(Table2[[#This Row],[Home/Neutral]],pace_lookup,7,FALSE)</f>
        <v>96.3</v>
      </c>
      <c r="Q1082" s="5">
        <f>VLOOKUP(Table2[[#This Row],[Visitor/Neutral]],pace_lookup,7,FALSE)</f>
        <v>102.2</v>
      </c>
      <c r="R1082" s="9"/>
      <c r="V1082" s="2">
        <f>-home-VLOOKUP(Table2[[#This Row],[Home/Neutral]],rtg_vlookup,4,FALSE)+VLOOKUP(Table2[[#This Row],[Visitor/Neutral]],rtg_vlookup,4,FALSE)</f>
        <v>-7.1251184834123302</v>
      </c>
      <c r="W1082" s="25"/>
      <c r="X1082" s="2"/>
      <c r="Y1082" s="2">
        <f>Table2[[#This Row],[Away EV]]-Table2[[#This Row],[Home EV]]</f>
        <v>-2.8681741987093687</v>
      </c>
      <c r="Z1082" s="33"/>
      <c r="AA1082" s="34"/>
      <c r="AB1082" s="5" t="b">
        <f>IF(VLOOKUP(Table2[[#This Row],[Home/Neutral]],division_lookup,9,FALSE)=VLOOKUP(Table2[[#This Row],[Visitor/Neutral]],division_lookup,9,FALSE),TRUE,FALSE)</f>
        <v>0</v>
      </c>
      <c r="AC1082" s="19" t="str">
        <f>VLOOKUP(Table2[[#This Row],[Home/Neutral]],division_lookup,9,FALSE)</f>
        <v>SE</v>
      </c>
      <c r="AD1082" s="19"/>
      <c r="AE1082" s="19" t="str">
        <f>IF(Table2[[#This Row],[Total EV ®]]&lt;Table2[[#This Row],[Total (V)]],"UNDER","OVER")</f>
        <v>OVER</v>
      </c>
      <c r="AF1082" s="30">
        <f>Table2[[#This Row],[(A) Spread]]-Table2[[#This Row],[Spread (V)]]</f>
        <v>0</v>
      </c>
      <c r="AG1082" s="19"/>
      <c r="AH1082" s="2">
        <f>Table2[[#This Row],[EV]]-Table2[[#This Row],[Spread (V)]]</f>
        <v>-2.8681741987093687</v>
      </c>
      <c r="AI1082" s="22">
        <f>Table2[[#This Row],[(A)]]-Table2[[#This Row],[Spread]]</f>
        <v>-7.1251184834123302</v>
      </c>
      <c r="AJ1082" s="1">
        <f>Table2[[#This Row],[(A) Err]]^2</f>
        <v>50.767313402664023</v>
      </c>
      <c r="AK1082" s="6">
        <f>Table2[[#This Row],[EV]]-Table2[[#This Row],[Spread]]</f>
        <v>-2.8681741987093687</v>
      </c>
      <c r="AL1082" s="1">
        <f>Table2[[#This Row],[EV Err]]^2</f>
        <v>8.2264232341421302</v>
      </c>
    </row>
    <row r="1083" spans="1:38" x14ac:dyDescent="0.25">
      <c r="A1083" t="s">
        <v>186</v>
      </c>
      <c r="B1083" t="s">
        <v>8</v>
      </c>
      <c r="C1083" t="s">
        <v>28</v>
      </c>
      <c r="K1083" s="25">
        <f>(Table2[[#This Row],[Home Pace]]/100)*(VLOOKUP(Table2[[#This Row],[Home/Neutral]],home_lookup,8,FALSE)+VLOOKUP(Table2[[#This Row],[Home/Neutral]],OFR_lookup,2,FALSE)+VLOOKUP(Table2[[#This Row],[Visitor/Neutral]],def_diff_lookup,6,FALSE))</f>
        <v>107.68326036898181</v>
      </c>
      <c r="L1083" s="25"/>
      <c r="M1083" s="25">
        <f>(Table2[[#This Row],[Away Pace]]/100)*(VLOOKUP(Table2[[#This Row],[Visitor/Neutral]],OFR_lookup,2,FALSE)+VLOOKUP(Table2[[#This Row],[Home/Neutral]],def_diff_lookup,6,FALSE))</f>
        <v>101.51047200000001</v>
      </c>
      <c r="N1083" s="25"/>
      <c r="O1083" s="25"/>
      <c r="P1083">
        <f>VLOOKUP(Table2[[#This Row],[Home/Neutral]],pace_lookup,7,FALSE)</f>
        <v>97.2</v>
      </c>
      <c r="Q1083" s="5">
        <f>VLOOKUP(Table2[[#This Row],[Visitor/Neutral]],pace_lookup,7,FALSE)</f>
        <v>96.3</v>
      </c>
      <c r="R1083" s="9"/>
      <c r="V1083" s="2">
        <f>-home-VLOOKUP(Table2[[#This Row],[Home/Neutral]],rtg_vlookup,4,FALSE)+VLOOKUP(Table2[[#This Row],[Visitor/Neutral]],rtg_vlookup,4,FALSE)</f>
        <v>-11.49511848341233</v>
      </c>
      <c r="W1083" s="25"/>
      <c r="X1083" s="2"/>
      <c r="Y1083" s="2">
        <f>Table2[[#This Row],[Away EV]]-Table2[[#This Row],[Home EV]]</f>
        <v>-6.1727883689817986</v>
      </c>
      <c r="Z1083" s="33"/>
      <c r="AA1083" s="34"/>
      <c r="AB1083" s="5" t="b">
        <f>IF(VLOOKUP(Table2[[#This Row],[Home/Neutral]],division_lookup,9,FALSE)=VLOOKUP(Table2[[#This Row],[Visitor/Neutral]],division_lookup,9,FALSE),TRUE,FALSE)</f>
        <v>0</v>
      </c>
      <c r="AC1083" s="19" t="str">
        <f>VLOOKUP(Table2[[#This Row],[Home/Neutral]],division_lookup,9,FALSE)</f>
        <v>C</v>
      </c>
      <c r="AD1083" s="19"/>
      <c r="AE1083" s="19" t="str">
        <f>IF(Table2[[#This Row],[Total EV ®]]&lt;Table2[[#This Row],[Total (V)]],"UNDER","OVER")</f>
        <v>OVER</v>
      </c>
      <c r="AF1083" s="30">
        <f>Table2[[#This Row],[(A) Spread]]-Table2[[#This Row],[Spread (V)]]</f>
        <v>0</v>
      </c>
      <c r="AG1083" s="19"/>
      <c r="AH1083" s="2">
        <f>Table2[[#This Row],[EV]]-Table2[[#This Row],[Spread (V)]]</f>
        <v>-6.1727883689817986</v>
      </c>
      <c r="AI1083" s="22">
        <f>Table2[[#This Row],[(A)]]-Table2[[#This Row],[Spread]]</f>
        <v>-11.49511848341233</v>
      </c>
      <c r="AJ1083" s="1">
        <f>Table2[[#This Row],[(A) Err]]^2</f>
        <v>132.13774894768778</v>
      </c>
      <c r="AK1083" s="6">
        <f>Table2[[#This Row],[EV]]-Table2[[#This Row],[Spread]]</f>
        <v>-6.1727883689817986</v>
      </c>
      <c r="AL1083" s="1">
        <f>Table2[[#This Row],[EV Err]]^2</f>
        <v>38.103316248236972</v>
      </c>
    </row>
    <row r="1084" spans="1:38" x14ac:dyDescent="0.25">
      <c r="A1084" t="s">
        <v>186</v>
      </c>
      <c r="B1084" t="s">
        <v>37</v>
      </c>
      <c r="C1084" t="s">
        <v>14</v>
      </c>
      <c r="K1084" s="25">
        <f>(Table2[[#This Row],[Home Pace]]/100)*(VLOOKUP(Table2[[#This Row],[Home/Neutral]],home_lookup,8,FALSE)+VLOOKUP(Table2[[#This Row],[Home/Neutral]],OFR_lookup,2,FALSE)+VLOOKUP(Table2[[#This Row],[Visitor/Neutral]],def_diff_lookup,6,FALSE))</f>
        <v>104.11730809362122</v>
      </c>
      <c r="L1084" s="25"/>
      <c r="M1084" s="25">
        <f>(Table2[[#This Row],[Away Pace]]/100)*(VLOOKUP(Table2[[#This Row],[Visitor/Neutral]],OFR_lookup,2,FALSE)+VLOOKUP(Table2[[#This Row],[Home/Neutral]],def_diff_lookup,6,FALSE))</f>
        <v>105.60571933333335</v>
      </c>
      <c r="N1084" s="25"/>
      <c r="O1084" s="25"/>
      <c r="P1084">
        <f>VLOOKUP(Table2[[#This Row],[Home/Neutral]],pace_lookup,7,FALSE)</f>
        <v>92.1</v>
      </c>
      <c r="Q1084" s="5">
        <f>VLOOKUP(Table2[[#This Row],[Visitor/Neutral]],pace_lookup,7,FALSE)</f>
        <v>95.9</v>
      </c>
      <c r="R1084" s="9"/>
      <c r="V1084" s="2">
        <f>-home-VLOOKUP(Table2[[#This Row],[Home/Neutral]],rtg_vlookup,4,FALSE)+VLOOKUP(Table2[[#This Row],[Visitor/Neutral]],rtg_vlookup,4,FALSE)</f>
        <v>9.7248815165876685</v>
      </c>
      <c r="W1084" s="25"/>
      <c r="X1084" s="2"/>
      <c r="Y1084" s="2">
        <f>Table2[[#This Row],[Away EV]]-Table2[[#This Row],[Home EV]]</f>
        <v>1.4884112397121356</v>
      </c>
      <c r="Z1084" s="33"/>
      <c r="AA1084" s="34"/>
      <c r="AB1084" s="5" t="b">
        <f>IF(VLOOKUP(Table2[[#This Row],[Home/Neutral]],division_lookup,9,FALSE)=VLOOKUP(Table2[[#This Row],[Visitor/Neutral]],division_lookup,9,FALSE),TRUE,FALSE)</f>
        <v>0</v>
      </c>
      <c r="AC1084" s="19" t="str">
        <f>VLOOKUP(Table2[[#This Row],[Home/Neutral]],division_lookup,9,FALSE)</f>
        <v>SW</v>
      </c>
      <c r="AD1084" s="19"/>
      <c r="AE1084" s="19" t="str">
        <f>IF(Table2[[#This Row],[Total EV ®]]&lt;Table2[[#This Row],[Total (V)]],"UNDER","OVER")</f>
        <v>OVER</v>
      </c>
      <c r="AF1084" s="30">
        <f>Table2[[#This Row],[(A) Spread]]-Table2[[#This Row],[Spread (V)]]</f>
        <v>0</v>
      </c>
      <c r="AG1084" s="19"/>
      <c r="AH1084" s="2">
        <f>Table2[[#This Row],[EV]]-Table2[[#This Row],[Spread (V)]]</f>
        <v>1.4884112397121356</v>
      </c>
      <c r="AI1084" s="22">
        <f>Table2[[#This Row],[(A)]]-Table2[[#This Row],[Spread]]</f>
        <v>9.7248815165876685</v>
      </c>
      <c r="AJ1084" s="1">
        <f>Table2[[#This Row],[(A) Err]]^2</f>
        <v>94.57332051166847</v>
      </c>
      <c r="AK1084" s="6">
        <f>Table2[[#This Row],[EV]]-Table2[[#This Row],[Spread]]</f>
        <v>1.4884112397121356</v>
      </c>
      <c r="AL1084" s="1">
        <f>Table2[[#This Row],[EV Err]]^2</f>
        <v>2.2153680185014166</v>
      </c>
    </row>
    <row r="1085" spans="1:38" x14ac:dyDescent="0.25">
      <c r="A1085" t="s">
        <v>186</v>
      </c>
      <c r="B1085" t="s">
        <v>4</v>
      </c>
      <c r="C1085" t="s">
        <v>20</v>
      </c>
      <c r="K1085" s="25">
        <f>(Table2[[#This Row],[Home Pace]]/100)*(VLOOKUP(Table2[[#This Row],[Home/Neutral]],home_lookup,8,FALSE)+VLOOKUP(Table2[[#This Row],[Home/Neutral]],OFR_lookup,2,FALSE)+VLOOKUP(Table2[[#This Row],[Visitor/Neutral]],def_diff_lookup,6,FALSE))</f>
        <v>100.90038781393446</v>
      </c>
      <c r="L1085" s="25"/>
      <c r="M1085" s="25">
        <f>(Table2[[#This Row],[Away Pace]]/100)*(VLOOKUP(Table2[[#This Row],[Visitor/Neutral]],OFR_lookup,2,FALSE)+VLOOKUP(Table2[[#This Row],[Home/Neutral]],def_diff_lookup,6,FALSE))</f>
        <v>91.364196000000021</v>
      </c>
      <c r="N1085" s="25"/>
      <c r="O1085" s="25"/>
      <c r="P1085">
        <f>VLOOKUP(Table2[[#This Row],[Home/Neutral]],pace_lookup,7,FALSE)</f>
        <v>96.6</v>
      </c>
      <c r="Q1085" s="5">
        <f>VLOOKUP(Table2[[#This Row],[Visitor/Neutral]],pace_lookup,7,FALSE)</f>
        <v>90.9</v>
      </c>
      <c r="R1085" s="9"/>
      <c r="V1085" s="2">
        <f>-home-VLOOKUP(Table2[[#This Row],[Home/Neutral]],rtg_vlookup,4,FALSE)+VLOOKUP(Table2[[#This Row],[Visitor/Neutral]],rtg_vlookup,4,FALSE)</f>
        <v>-15.625118483412331</v>
      </c>
      <c r="W1085" s="25"/>
      <c r="X1085" s="2"/>
      <c r="Y1085" s="2">
        <f>Table2[[#This Row],[Away EV]]-Table2[[#This Row],[Home EV]]</f>
        <v>-9.5361918139344368</v>
      </c>
      <c r="Z1085" s="33"/>
      <c r="AA1085" s="34"/>
      <c r="AB1085" s="5" t="b">
        <f>IF(VLOOKUP(Table2[[#This Row],[Home/Neutral]],division_lookup,9,FALSE)=VLOOKUP(Table2[[#This Row],[Visitor/Neutral]],division_lookup,9,FALSE),TRUE,FALSE)</f>
        <v>0</v>
      </c>
      <c r="AC1085" s="19" t="str">
        <f>VLOOKUP(Table2[[#This Row],[Home/Neutral]],division_lookup,9,FALSE)</f>
        <v>P</v>
      </c>
      <c r="AD1085" s="19"/>
      <c r="AE1085" s="19" t="str">
        <f>IF(Table2[[#This Row],[Total EV ®]]&lt;Table2[[#This Row],[Total (V)]],"UNDER","OVER")</f>
        <v>OVER</v>
      </c>
      <c r="AF1085" s="30">
        <f>Table2[[#This Row],[(A) Spread]]-Table2[[#This Row],[Spread (V)]]</f>
        <v>0</v>
      </c>
      <c r="AG1085" s="19"/>
      <c r="AH1085" s="2">
        <f>Table2[[#This Row],[EV]]-Table2[[#This Row],[Spread (V)]]</f>
        <v>-9.5361918139344368</v>
      </c>
      <c r="AI1085" s="22">
        <f>Table2[[#This Row],[(A)]]-Table2[[#This Row],[Spread]]</f>
        <v>-15.625118483412331</v>
      </c>
      <c r="AJ1085" s="1">
        <f>Table2[[#This Row],[(A) Err]]^2</f>
        <v>244.14432762067366</v>
      </c>
      <c r="AK1085" s="6">
        <f>Table2[[#This Row],[EV]]-Table2[[#This Row],[Spread]]</f>
        <v>-9.5361918139344368</v>
      </c>
      <c r="AL1085" s="1">
        <f>Table2[[#This Row],[EV Err]]^2</f>
        <v>90.938954312150159</v>
      </c>
    </row>
    <row r="1086" spans="1:38" x14ac:dyDescent="0.25">
      <c r="A1086" t="s">
        <v>186</v>
      </c>
      <c r="B1086" t="s">
        <v>32</v>
      </c>
      <c r="C1086" t="s">
        <v>22</v>
      </c>
      <c r="K1086" s="25">
        <f>(Table2[[#This Row],[Home Pace]]/100)*(VLOOKUP(Table2[[#This Row],[Home/Neutral]],home_lookup,8,FALSE)+VLOOKUP(Table2[[#This Row],[Home/Neutral]],OFR_lookup,2,FALSE)+VLOOKUP(Table2[[#This Row],[Visitor/Neutral]],def_diff_lookup,6,FALSE))</f>
        <v>113.19183112001839</v>
      </c>
      <c r="L1086" s="25"/>
      <c r="M1086" s="25">
        <f>(Table2[[#This Row],[Away Pace]]/100)*(VLOOKUP(Table2[[#This Row],[Visitor/Neutral]],OFR_lookup,2,FALSE)+VLOOKUP(Table2[[#This Row],[Home/Neutral]],def_diff_lookup,6,FALSE))</f>
        <v>110.13673133333336</v>
      </c>
      <c r="N1086" s="25"/>
      <c r="O1086" s="25"/>
      <c r="P1086">
        <f>VLOOKUP(Table2[[#This Row],[Home/Neutral]],pace_lookup,7,FALSE)</f>
        <v>98.6</v>
      </c>
      <c r="Q1086" s="5">
        <f>VLOOKUP(Table2[[#This Row],[Visitor/Neutral]],pace_lookup,7,FALSE)</f>
        <v>94.7</v>
      </c>
      <c r="R1086" s="9"/>
      <c r="V1086" s="2">
        <f>-home-VLOOKUP(Table2[[#This Row],[Home/Neutral]],rtg_vlookup,4,FALSE)+VLOOKUP(Table2[[#This Row],[Visitor/Neutral]],rtg_vlookup,4,FALSE)</f>
        <v>1.0648815165876693</v>
      </c>
      <c r="W1086" s="25"/>
      <c r="X1086" s="2"/>
      <c r="Y1086" s="2">
        <f>Table2[[#This Row],[Away EV]]-Table2[[#This Row],[Home EV]]</f>
        <v>-3.0550997866850338</v>
      </c>
      <c r="Z1086" s="33"/>
      <c r="AA1086" s="34"/>
      <c r="AB1086" s="5" t="b">
        <f>IF(VLOOKUP(Table2[[#This Row],[Home/Neutral]],division_lookup,9,FALSE)=VLOOKUP(Table2[[#This Row],[Visitor/Neutral]],division_lookup,9,FALSE),TRUE,FALSE)</f>
        <v>1</v>
      </c>
      <c r="AC1086" s="19" t="str">
        <f>VLOOKUP(Table2[[#This Row],[Home/Neutral]],division_lookup,9,FALSE)</f>
        <v>NW</v>
      </c>
      <c r="AD1086" s="19"/>
      <c r="AE1086" s="19" t="str">
        <f>IF(Table2[[#This Row],[Total EV ®]]&lt;Table2[[#This Row],[Total (V)]],"UNDER","OVER")</f>
        <v>OVER</v>
      </c>
      <c r="AF1086" s="30">
        <f>Table2[[#This Row],[(A) Spread]]-Table2[[#This Row],[Spread (V)]]</f>
        <v>0</v>
      </c>
      <c r="AG1086" s="19"/>
      <c r="AH1086" s="2">
        <f>Table2[[#This Row],[EV]]-Table2[[#This Row],[Spread (V)]]</f>
        <v>-3.0550997866850338</v>
      </c>
      <c r="AI1086" s="22">
        <f>Table2[[#This Row],[(A)]]-Table2[[#This Row],[Spread]]</f>
        <v>1.0648815165876693</v>
      </c>
      <c r="AJ1086" s="1">
        <f>Table2[[#This Row],[(A) Err]]^2</f>
        <v>1.1339726443700546</v>
      </c>
      <c r="AK1086" s="6">
        <f>Table2[[#This Row],[EV]]-Table2[[#This Row],[Spread]]</f>
        <v>-3.0550997866850338</v>
      </c>
      <c r="AL1086" s="1">
        <f>Table2[[#This Row],[EV Err]]^2</f>
        <v>9.3336347066029397</v>
      </c>
    </row>
    <row r="1087" spans="1:38" x14ac:dyDescent="0.25">
      <c r="A1087" t="s">
        <v>186</v>
      </c>
      <c r="B1087" t="s">
        <v>6</v>
      </c>
      <c r="C1087" t="s">
        <v>31</v>
      </c>
      <c r="K1087" s="25">
        <f>(Table2[[#This Row],[Home Pace]]/100)*(VLOOKUP(Table2[[#This Row],[Home/Neutral]],home_lookup,8,FALSE)+VLOOKUP(Table2[[#This Row],[Home/Neutral]],OFR_lookup,2,FALSE)+VLOOKUP(Table2[[#This Row],[Visitor/Neutral]],def_diff_lookup,6,FALSE))</f>
        <v>107.42588787062243</v>
      </c>
      <c r="L1087" s="25"/>
      <c r="M1087" s="25">
        <f>(Table2[[#This Row],[Away Pace]]/100)*(VLOOKUP(Table2[[#This Row],[Visitor/Neutral]],OFR_lookup,2,FALSE)+VLOOKUP(Table2[[#This Row],[Home/Neutral]],def_diff_lookup,6,FALSE))</f>
        <v>102.22144</v>
      </c>
      <c r="N1087" s="25"/>
      <c r="O1087" s="25"/>
      <c r="P1087">
        <f>VLOOKUP(Table2[[#This Row],[Home/Neutral]],pace_lookup,7,FALSE)</f>
        <v>93.1</v>
      </c>
      <c r="Q1087" s="5">
        <f>VLOOKUP(Table2[[#This Row],[Visitor/Neutral]],pace_lookup,7,FALSE)</f>
        <v>96</v>
      </c>
      <c r="R1087" s="9"/>
      <c r="V1087" s="2">
        <f>-home-VLOOKUP(Table2[[#This Row],[Home/Neutral]],rtg_vlookup,4,FALSE)+VLOOKUP(Table2[[#This Row],[Visitor/Neutral]],rtg_vlookup,4,FALSE)</f>
        <v>-11.965118483412331</v>
      </c>
      <c r="W1087" s="25"/>
      <c r="X1087" s="2"/>
      <c r="Y1087" s="2">
        <f>Table2[[#This Row],[Away EV]]-Table2[[#This Row],[Home EV]]</f>
        <v>-5.2044478706224311</v>
      </c>
      <c r="Z1087" s="33"/>
      <c r="AA1087" s="34"/>
      <c r="AB1087" s="5" t="b">
        <f>IF(VLOOKUP(Table2[[#This Row],[Home/Neutral]],division_lookup,9,FALSE)=VLOOKUP(Table2[[#This Row],[Visitor/Neutral]],division_lookup,9,FALSE),TRUE,FALSE)</f>
        <v>0</v>
      </c>
      <c r="AC1087" s="19" t="str">
        <f>VLOOKUP(Table2[[#This Row],[Home/Neutral]],division_lookup,9,FALSE)</f>
        <v>SW</v>
      </c>
      <c r="AD1087" s="19"/>
      <c r="AE1087" s="19" t="str">
        <f>IF(Table2[[#This Row],[Total EV ®]]&lt;Table2[[#This Row],[Total (V)]],"UNDER","OVER")</f>
        <v>OVER</v>
      </c>
      <c r="AF1087" s="30">
        <f>Table2[[#This Row],[(A) Spread]]-Table2[[#This Row],[Spread (V)]]</f>
        <v>0</v>
      </c>
      <c r="AG1087" s="19"/>
      <c r="AH1087" s="2">
        <f>Table2[[#This Row],[EV]]-Table2[[#This Row],[Spread (V)]]</f>
        <v>-5.2044478706224311</v>
      </c>
      <c r="AI1087" s="22">
        <f>Table2[[#This Row],[(A)]]-Table2[[#This Row],[Spread]]</f>
        <v>-11.965118483412331</v>
      </c>
      <c r="AJ1087" s="1">
        <f>Table2[[#This Row],[(A) Err]]^2</f>
        <v>143.16406032209539</v>
      </c>
      <c r="AK1087" s="6">
        <f>Table2[[#This Row],[EV]]-Table2[[#This Row],[Spread]]</f>
        <v>-5.2044478706224311</v>
      </c>
      <c r="AL1087" s="1">
        <f>Table2[[#This Row],[EV Err]]^2</f>
        <v>27.086277638026356</v>
      </c>
    </row>
    <row r="1088" spans="1:38" x14ac:dyDescent="0.25">
      <c r="A1088" t="s">
        <v>187</v>
      </c>
      <c r="B1088" t="s">
        <v>11</v>
      </c>
      <c r="C1088" t="s">
        <v>35</v>
      </c>
      <c r="K1088" s="25">
        <f>(Table2[[#This Row],[Home Pace]]/100)*(VLOOKUP(Table2[[#This Row],[Home/Neutral]],home_lookup,8,FALSE)+VLOOKUP(Table2[[#This Row],[Home/Neutral]],OFR_lookup,2,FALSE)+VLOOKUP(Table2[[#This Row],[Visitor/Neutral]],def_diff_lookup,6,FALSE))</f>
        <v>102.06966904407281</v>
      </c>
      <c r="L1088" s="25"/>
      <c r="M1088" s="25">
        <f>(Table2[[#This Row],[Away Pace]]/100)*(VLOOKUP(Table2[[#This Row],[Visitor/Neutral]],OFR_lookup,2,FALSE)+VLOOKUP(Table2[[#This Row],[Home/Neutral]],def_diff_lookup,6,FALSE))</f>
        <v>97.877621333333352</v>
      </c>
      <c r="N1088" s="25"/>
      <c r="O1088" s="25"/>
      <c r="P1088">
        <f>VLOOKUP(Table2[[#This Row],[Home/Neutral]],pace_lookup,7,FALSE)</f>
        <v>99.7</v>
      </c>
      <c r="Q1088" s="5">
        <f>VLOOKUP(Table2[[#This Row],[Visitor/Neutral]],pace_lookup,7,FALSE)</f>
        <v>102.2</v>
      </c>
      <c r="R1088" s="9"/>
      <c r="V1088" s="2">
        <f>-home-VLOOKUP(Table2[[#This Row],[Home/Neutral]],rtg_vlookup,4,FALSE)+VLOOKUP(Table2[[#This Row],[Visitor/Neutral]],rtg_vlookup,4,FALSE)</f>
        <v>-15.35511848341233</v>
      </c>
      <c r="W1088" s="25"/>
      <c r="X1088" s="2"/>
      <c r="Y1088" s="2">
        <f>Table2[[#This Row],[Away EV]]-Table2[[#This Row],[Home EV]]</f>
        <v>-4.1920477107394589</v>
      </c>
      <c r="Z1088" s="33"/>
      <c r="AA1088" s="34"/>
      <c r="AB1088" s="5" t="b">
        <f>IF(VLOOKUP(Table2[[#This Row],[Home/Neutral]],division_lookup,9,FALSE)=VLOOKUP(Table2[[#This Row],[Visitor/Neutral]],division_lookup,9,FALSE),TRUE,FALSE)</f>
        <v>0</v>
      </c>
      <c r="AC1088" s="19" t="str">
        <f>VLOOKUP(Table2[[#This Row],[Home/Neutral]],division_lookup,9,FALSE)</f>
        <v>SE</v>
      </c>
      <c r="AD1088" s="19"/>
      <c r="AE1088" s="19" t="str">
        <f>IF(Table2[[#This Row],[Total EV ®]]&lt;Table2[[#This Row],[Total (V)]],"UNDER","OVER")</f>
        <v>OVER</v>
      </c>
      <c r="AF1088" s="30">
        <f>Table2[[#This Row],[(A) Spread]]-Table2[[#This Row],[Spread (V)]]</f>
        <v>0</v>
      </c>
      <c r="AG1088" s="19"/>
      <c r="AH1088" s="2">
        <f>Table2[[#This Row],[EV]]-Table2[[#This Row],[Spread (V)]]</f>
        <v>-4.1920477107394589</v>
      </c>
      <c r="AI1088" s="22">
        <f>Table2[[#This Row],[(A)]]-Table2[[#This Row],[Spread]]</f>
        <v>-15.35511848341233</v>
      </c>
      <c r="AJ1088" s="1">
        <f>Table2[[#This Row],[(A) Err]]^2</f>
        <v>235.77966363963097</v>
      </c>
      <c r="AK1088" s="6">
        <f>Table2[[#This Row],[EV]]-Table2[[#This Row],[Spread]]</f>
        <v>-4.1920477107394589</v>
      </c>
      <c r="AL1088" s="1">
        <f>Table2[[#This Row],[EV Err]]^2</f>
        <v>17.573264009115938</v>
      </c>
    </row>
    <row r="1089" spans="1:38" x14ac:dyDescent="0.25">
      <c r="A1089" t="s">
        <v>187</v>
      </c>
      <c r="B1089" t="s">
        <v>26</v>
      </c>
      <c r="C1089" t="s">
        <v>21</v>
      </c>
      <c r="K1089" s="25">
        <f>(Table2[[#This Row],[Home Pace]]/100)*(VLOOKUP(Table2[[#This Row],[Home/Neutral]],home_lookup,8,FALSE)+VLOOKUP(Table2[[#This Row],[Home/Neutral]],OFR_lookup,2,FALSE)+VLOOKUP(Table2[[#This Row],[Visitor/Neutral]],def_diff_lookup,6,FALSE))</f>
        <v>103.2321635891816</v>
      </c>
      <c r="L1089" s="25"/>
      <c r="M1089" s="25">
        <f>(Table2[[#This Row],[Away Pace]]/100)*(VLOOKUP(Table2[[#This Row],[Visitor/Neutral]],OFR_lookup,2,FALSE)+VLOOKUP(Table2[[#This Row],[Home/Neutral]],def_diff_lookup,6,FALSE))</f>
        <v>98.166448000000017</v>
      </c>
      <c r="N1089" s="25"/>
      <c r="O1089" s="25"/>
      <c r="P1089">
        <f>VLOOKUP(Table2[[#This Row],[Home/Neutral]],pace_lookup,7,FALSE)</f>
        <v>96</v>
      </c>
      <c r="Q1089" s="5">
        <f>VLOOKUP(Table2[[#This Row],[Visitor/Neutral]],pace_lookup,7,FALSE)</f>
        <v>94.2</v>
      </c>
      <c r="R1089" s="9"/>
      <c r="V1089" s="2">
        <f>-home-VLOOKUP(Table2[[#This Row],[Home/Neutral]],rtg_vlookup,4,FALSE)+VLOOKUP(Table2[[#This Row],[Visitor/Neutral]],rtg_vlookup,4,FALSE)</f>
        <v>-2.5951184834123309</v>
      </c>
      <c r="W1089" s="25"/>
      <c r="X1089" s="2"/>
      <c r="Y1089" s="2">
        <f>Table2[[#This Row],[Away EV]]-Table2[[#This Row],[Home EV]]</f>
        <v>-5.065715589181579</v>
      </c>
      <c r="Z1089" s="33"/>
      <c r="AA1089" s="34"/>
      <c r="AB1089" s="5" t="b">
        <f>IF(VLOOKUP(Table2[[#This Row],[Home/Neutral]],division_lookup,9,FALSE)=VLOOKUP(Table2[[#This Row],[Visitor/Neutral]],division_lookup,9,FALSE),TRUE,FALSE)</f>
        <v>0</v>
      </c>
      <c r="AC1089" s="19" t="str">
        <f>VLOOKUP(Table2[[#This Row],[Home/Neutral]],division_lookup,9,FALSE)</f>
        <v>A</v>
      </c>
      <c r="AD1089" s="19"/>
      <c r="AE1089" s="19" t="str">
        <f>IF(Table2[[#This Row],[Total EV ®]]&lt;Table2[[#This Row],[Total (V)]],"UNDER","OVER")</f>
        <v>OVER</v>
      </c>
      <c r="AF1089" s="30">
        <f>Table2[[#This Row],[(A) Spread]]-Table2[[#This Row],[Spread (V)]]</f>
        <v>0</v>
      </c>
      <c r="AG1089" s="19"/>
      <c r="AH1089" s="2">
        <f>Table2[[#This Row],[EV]]-Table2[[#This Row],[Spread (V)]]</f>
        <v>-5.065715589181579</v>
      </c>
      <c r="AI1089" s="22">
        <f>Table2[[#This Row],[(A)]]-Table2[[#This Row],[Spread]]</f>
        <v>-2.5951184834123309</v>
      </c>
      <c r="AJ1089" s="1">
        <f>Table2[[#This Row],[(A) Err]]^2</f>
        <v>6.7346399429483164</v>
      </c>
      <c r="AK1089" s="6">
        <f>Table2[[#This Row],[EV]]-Table2[[#This Row],[Spread]]</f>
        <v>-5.065715589181579</v>
      </c>
      <c r="AL1089" s="1">
        <f>Table2[[#This Row],[EV Err]]^2</f>
        <v>25.661474430477274</v>
      </c>
    </row>
    <row r="1090" spans="1:38" x14ac:dyDescent="0.25">
      <c r="A1090" t="s">
        <v>187</v>
      </c>
      <c r="B1090" t="s">
        <v>16</v>
      </c>
      <c r="C1090" t="s">
        <v>36</v>
      </c>
      <c r="K1090" s="25">
        <f>(Table2[[#This Row],[Home Pace]]/100)*(VLOOKUP(Table2[[#This Row],[Home/Neutral]],home_lookup,8,FALSE)+VLOOKUP(Table2[[#This Row],[Home/Neutral]],OFR_lookup,2,FALSE)+VLOOKUP(Table2[[#This Row],[Visitor/Neutral]],def_diff_lookup,6,FALSE))</f>
        <v>106.4928560111595</v>
      </c>
      <c r="L1090" s="25"/>
      <c r="M1090" s="25">
        <f>(Table2[[#This Row],[Away Pace]]/100)*(VLOOKUP(Table2[[#This Row],[Visitor/Neutral]],OFR_lookup,2,FALSE)+VLOOKUP(Table2[[#This Row],[Home/Neutral]],def_diff_lookup,6,FALSE))</f>
        <v>103.41686133333336</v>
      </c>
      <c r="N1090" s="25"/>
      <c r="O1090" s="25"/>
      <c r="P1090">
        <f>VLOOKUP(Table2[[#This Row],[Home/Neutral]],pace_lookup,7,FALSE)</f>
        <v>97.5</v>
      </c>
      <c r="Q1090" s="5">
        <f>VLOOKUP(Table2[[#This Row],[Visitor/Neutral]],pace_lookup,7,FALSE)</f>
        <v>102.2</v>
      </c>
      <c r="R1090" s="9"/>
      <c r="V1090" s="2">
        <f>-home-VLOOKUP(Table2[[#This Row],[Home/Neutral]],rtg_vlookup,4,FALSE)+VLOOKUP(Table2[[#This Row],[Visitor/Neutral]],rtg_vlookup,4,FALSE)</f>
        <v>-11.545118483412331</v>
      </c>
      <c r="W1090" s="25"/>
      <c r="X1090" s="2"/>
      <c r="Y1090" s="2">
        <f>Table2[[#This Row],[Away EV]]-Table2[[#This Row],[Home EV]]</f>
        <v>-3.0759946778261451</v>
      </c>
      <c r="Z1090" s="33"/>
      <c r="AA1090" s="34"/>
      <c r="AB1090" s="5" t="b">
        <f>IF(VLOOKUP(Table2[[#This Row],[Home/Neutral]],division_lookup,9,FALSE)=VLOOKUP(Table2[[#This Row],[Visitor/Neutral]],division_lookup,9,FALSE),TRUE,FALSE)</f>
        <v>0</v>
      </c>
      <c r="AC1090" s="19" t="str">
        <f>VLOOKUP(Table2[[#This Row],[Home/Neutral]],division_lookup,9,FALSE)</f>
        <v>SE</v>
      </c>
      <c r="AD1090" s="19"/>
      <c r="AE1090" s="19" t="str">
        <f>IF(Table2[[#This Row],[Total EV ®]]&lt;Table2[[#This Row],[Total (V)]],"UNDER","OVER")</f>
        <v>OVER</v>
      </c>
      <c r="AF1090" s="30">
        <f>Table2[[#This Row],[(A) Spread]]-Table2[[#This Row],[Spread (V)]]</f>
        <v>0</v>
      </c>
      <c r="AG1090" s="19"/>
      <c r="AH1090" s="2">
        <f>Table2[[#This Row],[EV]]-Table2[[#This Row],[Spread (V)]]</f>
        <v>-3.0759946778261451</v>
      </c>
      <c r="AI1090" s="22">
        <f>Table2[[#This Row],[(A)]]-Table2[[#This Row],[Spread]]</f>
        <v>-11.545118483412331</v>
      </c>
      <c r="AJ1090" s="1">
        <f>Table2[[#This Row],[(A) Err]]^2</f>
        <v>133.28976079602904</v>
      </c>
      <c r="AK1090" s="6">
        <f>Table2[[#This Row],[EV]]-Table2[[#This Row],[Spread]]</f>
        <v>-3.0759946778261451</v>
      </c>
      <c r="AL1090" s="1">
        <f>Table2[[#This Row],[EV Err]]^2</f>
        <v>9.4617432580147707</v>
      </c>
    </row>
    <row r="1091" spans="1:38" x14ac:dyDescent="0.25">
      <c r="A1091" t="s">
        <v>187</v>
      </c>
      <c r="B1091" t="s">
        <v>27</v>
      </c>
      <c r="C1091" t="s">
        <v>34</v>
      </c>
      <c r="K1091" s="25">
        <f>(Table2[[#This Row],[Home Pace]]/100)*(VLOOKUP(Table2[[#This Row],[Home/Neutral]],home_lookup,8,FALSE)+VLOOKUP(Table2[[#This Row],[Home/Neutral]],OFR_lookup,2,FALSE)+VLOOKUP(Table2[[#This Row],[Visitor/Neutral]],def_diff_lookup,6,FALSE))</f>
        <v>104.29785642647258</v>
      </c>
      <c r="L1091" s="25"/>
      <c r="M1091" s="25">
        <f>(Table2[[#This Row],[Away Pace]]/100)*(VLOOKUP(Table2[[#This Row],[Visitor/Neutral]],OFR_lookup,2,FALSE)+VLOOKUP(Table2[[#This Row],[Home/Neutral]],def_diff_lookup,6,FALSE))</f>
        <v>99.393458666666675</v>
      </c>
      <c r="N1091" s="25"/>
      <c r="O1091" s="25"/>
      <c r="P1091">
        <f>VLOOKUP(Table2[[#This Row],[Home/Neutral]],pace_lookup,7,FALSE)</f>
        <v>99</v>
      </c>
      <c r="Q1091" s="5">
        <f>VLOOKUP(Table2[[#This Row],[Visitor/Neutral]],pace_lookup,7,FALSE)</f>
        <v>98.8</v>
      </c>
      <c r="R1091" s="9"/>
      <c r="V1091" s="2">
        <f>-home-VLOOKUP(Table2[[#This Row],[Home/Neutral]],rtg_vlookup,4,FALSE)+VLOOKUP(Table2[[#This Row],[Visitor/Neutral]],rtg_vlookup,4,FALSE)</f>
        <v>-7.1651184834123312</v>
      </c>
      <c r="W1091" s="25"/>
      <c r="X1091" s="2"/>
      <c r="Y1091" s="2">
        <f>Table2[[#This Row],[Away EV]]-Table2[[#This Row],[Home EV]]</f>
        <v>-4.904397759805903</v>
      </c>
      <c r="Z1091" s="33"/>
      <c r="AA1091" s="34"/>
      <c r="AB1091" s="5" t="b">
        <f>IF(VLOOKUP(Table2[[#This Row],[Home/Neutral]],division_lookup,9,FALSE)=VLOOKUP(Table2[[#This Row],[Visitor/Neutral]],division_lookup,9,FALSE),TRUE,FALSE)</f>
        <v>0</v>
      </c>
      <c r="AC1091" s="19" t="str">
        <f>VLOOKUP(Table2[[#This Row],[Home/Neutral]],division_lookup,9,FALSE)</f>
        <v>NW</v>
      </c>
      <c r="AD1091" s="19"/>
      <c r="AE1091" s="19" t="str">
        <f>IF(Table2[[#This Row],[Total EV ®]]&lt;Table2[[#This Row],[Total (V)]],"UNDER","OVER")</f>
        <v>OVER</v>
      </c>
      <c r="AF1091" s="30">
        <f>Table2[[#This Row],[(A) Spread]]-Table2[[#This Row],[Spread (V)]]</f>
        <v>0</v>
      </c>
      <c r="AG1091" s="19"/>
      <c r="AH1091" s="2">
        <f>Table2[[#This Row],[EV]]-Table2[[#This Row],[Spread (V)]]</f>
        <v>-4.904397759805903</v>
      </c>
      <c r="AI1091" s="22">
        <f>Table2[[#This Row],[(A)]]-Table2[[#This Row],[Spread]]</f>
        <v>-7.1651184834123312</v>
      </c>
      <c r="AJ1091" s="1">
        <f>Table2[[#This Row],[(A) Err]]^2</f>
        <v>51.338922881337027</v>
      </c>
      <c r="AK1091" s="6">
        <f>Table2[[#This Row],[EV]]-Table2[[#This Row],[Spread]]</f>
        <v>-4.904397759805903</v>
      </c>
      <c r="AL1091" s="1">
        <f>Table2[[#This Row],[EV Err]]^2</f>
        <v>24.053117386389161</v>
      </c>
    </row>
    <row r="1092" spans="1:38" x14ac:dyDescent="0.25">
      <c r="A1092" t="s">
        <v>187</v>
      </c>
      <c r="B1092" t="s">
        <v>10</v>
      </c>
      <c r="C1092" t="s">
        <v>23</v>
      </c>
      <c r="K1092" s="25">
        <f>(Table2[[#This Row],[Home Pace]]/100)*(VLOOKUP(Table2[[#This Row],[Home/Neutral]],home_lookup,8,FALSE)+VLOOKUP(Table2[[#This Row],[Home/Neutral]],OFR_lookup,2,FALSE)+VLOOKUP(Table2[[#This Row],[Visitor/Neutral]],def_diff_lookup,6,FALSE))</f>
        <v>102.80319853790562</v>
      </c>
      <c r="L1092" s="25"/>
      <c r="M1092" s="25">
        <f>(Table2[[#This Row],[Away Pace]]/100)*(VLOOKUP(Table2[[#This Row],[Visitor/Neutral]],OFR_lookup,2,FALSE)+VLOOKUP(Table2[[#This Row],[Home/Neutral]],def_diff_lookup,6,FALSE))</f>
        <v>97.948866666666675</v>
      </c>
      <c r="N1092" s="25"/>
      <c r="O1092" s="25"/>
      <c r="P1092">
        <f>VLOOKUP(Table2[[#This Row],[Home/Neutral]],pace_lookup,7,FALSE)</f>
        <v>100.3</v>
      </c>
      <c r="Q1092" s="5">
        <f>VLOOKUP(Table2[[#This Row],[Visitor/Neutral]],pace_lookup,7,FALSE)</f>
        <v>92.5</v>
      </c>
      <c r="R1092" s="9"/>
      <c r="V1092" s="2">
        <f>-home-VLOOKUP(Table2[[#This Row],[Home/Neutral]],rtg_vlookup,4,FALSE)+VLOOKUP(Table2[[#This Row],[Visitor/Neutral]],rtg_vlookup,4,FALSE)</f>
        <v>-8.8051184834123308</v>
      </c>
      <c r="W1092" s="25"/>
      <c r="X1092" s="2"/>
      <c r="Y1092" s="2">
        <f>Table2[[#This Row],[Away EV]]-Table2[[#This Row],[Home EV]]</f>
        <v>-4.8543318712389407</v>
      </c>
      <c r="Z1092" s="33"/>
      <c r="AA1092" s="34"/>
      <c r="AB1092" s="5" t="b">
        <f>IF(VLOOKUP(Table2[[#This Row],[Home/Neutral]],division_lookup,9,FALSE)=VLOOKUP(Table2[[#This Row],[Visitor/Neutral]],division_lookup,9,FALSE),TRUE,FALSE)</f>
        <v>0</v>
      </c>
      <c r="AC1092" s="19" t="str">
        <f>VLOOKUP(Table2[[#This Row],[Home/Neutral]],division_lookup,9,FALSE)</f>
        <v>P</v>
      </c>
      <c r="AD1092" s="19"/>
      <c r="AE1092" s="19" t="str">
        <f>IF(Table2[[#This Row],[Total EV ®]]&lt;Table2[[#This Row],[Total (V)]],"UNDER","OVER")</f>
        <v>OVER</v>
      </c>
      <c r="AF1092" s="30">
        <f>Table2[[#This Row],[(A) Spread]]-Table2[[#This Row],[Spread (V)]]</f>
        <v>0</v>
      </c>
      <c r="AG1092" s="19"/>
      <c r="AH1092" s="2">
        <f>Table2[[#This Row],[EV]]-Table2[[#This Row],[Spread (V)]]</f>
        <v>-4.8543318712389407</v>
      </c>
      <c r="AI1092" s="22">
        <f>Table2[[#This Row],[(A)]]-Table2[[#This Row],[Spread]]</f>
        <v>-8.8051184834123308</v>
      </c>
      <c r="AJ1092" s="1">
        <f>Table2[[#This Row],[(A) Err]]^2</f>
        <v>77.530111506929458</v>
      </c>
      <c r="AK1092" s="6">
        <f>Table2[[#This Row],[EV]]-Table2[[#This Row],[Spread]]</f>
        <v>-4.8543318712389407</v>
      </c>
      <c r="AL1092" s="1">
        <f>Table2[[#This Row],[EV Err]]^2</f>
        <v>23.564537916126156</v>
      </c>
    </row>
    <row r="1093" spans="1:38" x14ac:dyDescent="0.25">
      <c r="A1093" t="s">
        <v>187</v>
      </c>
      <c r="B1093" t="s">
        <v>17</v>
      </c>
      <c r="C1093" t="s">
        <v>18</v>
      </c>
      <c r="K1093" s="25">
        <f>(Table2[[#This Row],[Home Pace]]/100)*(VLOOKUP(Table2[[#This Row],[Home/Neutral]],home_lookup,8,FALSE)+VLOOKUP(Table2[[#This Row],[Home/Neutral]],OFR_lookup,2,FALSE)+VLOOKUP(Table2[[#This Row],[Visitor/Neutral]],def_diff_lookup,6,FALSE))</f>
        <v>105.25546692873544</v>
      </c>
      <c r="L1093" s="25"/>
      <c r="M1093" s="25">
        <f>(Table2[[#This Row],[Away Pace]]/100)*(VLOOKUP(Table2[[#This Row],[Visitor/Neutral]],OFR_lookup,2,FALSE)+VLOOKUP(Table2[[#This Row],[Home/Neutral]],def_diff_lookup,6,FALSE))</f>
        <v>107.20196333333335</v>
      </c>
      <c r="N1093" s="25"/>
      <c r="O1093" s="25"/>
      <c r="P1093">
        <f>VLOOKUP(Table2[[#This Row],[Home/Neutral]],pace_lookup,7,FALSE)</f>
        <v>96.7</v>
      </c>
      <c r="Q1093" s="5">
        <f>VLOOKUP(Table2[[#This Row],[Visitor/Neutral]],pace_lookup,7,FALSE)</f>
        <v>99.5</v>
      </c>
      <c r="R1093" s="9"/>
      <c r="V1093" s="2">
        <f>-home-VLOOKUP(Table2[[#This Row],[Home/Neutral]],rtg_vlookup,4,FALSE)+VLOOKUP(Table2[[#This Row],[Visitor/Neutral]],rtg_vlookup,4,FALSE)</f>
        <v>-4.6351184834123309</v>
      </c>
      <c r="W1093" s="25"/>
      <c r="X1093" s="2"/>
      <c r="Y1093" s="2">
        <f>Table2[[#This Row],[Away EV]]-Table2[[#This Row],[Home EV]]</f>
        <v>1.9464964045979087</v>
      </c>
      <c r="Z1093" s="33"/>
      <c r="AA1093" s="34"/>
      <c r="AB1093" s="5" t="b">
        <f>IF(VLOOKUP(Table2[[#This Row],[Home/Neutral]],division_lookup,9,FALSE)=VLOOKUP(Table2[[#This Row],[Visitor/Neutral]],division_lookup,9,FALSE),TRUE,FALSE)</f>
        <v>0</v>
      </c>
      <c r="AC1093" s="19" t="str">
        <f>VLOOKUP(Table2[[#This Row],[Home/Neutral]],division_lookup,9,FALSE)</f>
        <v>SW</v>
      </c>
      <c r="AD1093" s="19"/>
      <c r="AE1093" s="19" t="str">
        <f>IF(Table2[[#This Row],[Total EV ®]]&lt;Table2[[#This Row],[Total (V)]],"UNDER","OVER")</f>
        <v>OVER</v>
      </c>
      <c r="AF1093" s="30">
        <f>Table2[[#This Row],[(A) Spread]]-Table2[[#This Row],[Spread (V)]]</f>
        <v>0</v>
      </c>
      <c r="AG1093" s="19"/>
      <c r="AH1093" s="2">
        <f>Table2[[#This Row],[EV]]-Table2[[#This Row],[Spread (V)]]</f>
        <v>1.9464964045979087</v>
      </c>
      <c r="AI1093" s="22">
        <f>Table2[[#This Row],[(A)]]-Table2[[#This Row],[Spread]]</f>
        <v>-4.6351184834123309</v>
      </c>
      <c r="AJ1093" s="1">
        <f>Table2[[#This Row],[(A) Err]]^2</f>
        <v>21.484323355270625</v>
      </c>
      <c r="AK1093" s="6">
        <f>Table2[[#This Row],[EV]]-Table2[[#This Row],[Spread]]</f>
        <v>1.9464964045979087</v>
      </c>
      <c r="AL1093" s="1">
        <f>Table2[[#This Row],[EV Err]]^2</f>
        <v>3.7888482531125858</v>
      </c>
    </row>
    <row r="1094" spans="1:38" x14ac:dyDescent="0.25">
      <c r="A1094" t="s">
        <v>187</v>
      </c>
      <c r="B1094" t="s">
        <v>33</v>
      </c>
      <c r="C1094" t="s">
        <v>39</v>
      </c>
      <c r="K1094" s="25">
        <f>(Table2[[#This Row],[Home Pace]]/100)*(VLOOKUP(Table2[[#This Row],[Home/Neutral]],home_lookup,8,FALSE)+VLOOKUP(Table2[[#This Row],[Home/Neutral]],OFR_lookup,2,FALSE)+VLOOKUP(Table2[[#This Row],[Visitor/Neutral]],def_diff_lookup,6,FALSE))</f>
        <v>110.48463852057506</v>
      </c>
      <c r="L1094" s="25"/>
      <c r="M1094" s="25">
        <f>(Table2[[#This Row],[Away Pace]]/100)*(VLOOKUP(Table2[[#This Row],[Visitor/Neutral]],OFR_lookup,2,FALSE)+VLOOKUP(Table2[[#This Row],[Home/Neutral]],def_diff_lookup,6,FALSE))</f>
        <v>99.977150000000009</v>
      </c>
      <c r="N1094" s="25"/>
      <c r="O1094" s="25"/>
      <c r="P1094">
        <f>VLOOKUP(Table2[[#This Row],[Home/Neutral]],pace_lookup,7,FALSE)</f>
        <v>98.2</v>
      </c>
      <c r="Q1094" s="5">
        <f>VLOOKUP(Table2[[#This Row],[Visitor/Neutral]],pace_lookup,7,FALSE)</f>
        <v>97.5</v>
      </c>
      <c r="R1094" s="9"/>
      <c r="V1094" s="2">
        <f>-home-VLOOKUP(Table2[[#This Row],[Home/Neutral]],rtg_vlookup,4,FALSE)+VLOOKUP(Table2[[#This Row],[Visitor/Neutral]],rtg_vlookup,4,FALSE)</f>
        <v>-6.7551184834123301</v>
      </c>
      <c r="W1094" s="25"/>
      <c r="X1094" s="2"/>
      <c r="Y1094" s="2">
        <f>Table2[[#This Row],[Away EV]]-Table2[[#This Row],[Home EV]]</f>
        <v>-10.507488520575052</v>
      </c>
      <c r="Z1094" s="33"/>
      <c r="AA1094" s="34"/>
      <c r="AB1094" s="5" t="b">
        <f>IF(VLOOKUP(Table2[[#This Row],[Home/Neutral]],division_lookup,9,FALSE)=VLOOKUP(Table2[[#This Row],[Visitor/Neutral]],division_lookup,9,FALSE),TRUE,FALSE)</f>
        <v>0</v>
      </c>
      <c r="AC1094" s="19" t="str">
        <f>VLOOKUP(Table2[[#This Row],[Home/Neutral]],division_lookup,9,FALSE)</f>
        <v>C</v>
      </c>
      <c r="AD1094" s="19"/>
      <c r="AE1094" s="19" t="str">
        <f>IF(Table2[[#This Row],[Total EV ®]]&lt;Table2[[#This Row],[Total (V)]],"UNDER","OVER")</f>
        <v>OVER</v>
      </c>
      <c r="AF1094" s="30">
        <f>Table2[[#This Row],[(A) Spread]]-Table2[[#This Row],[Spread (V)]]</f>
        <v>0</v>
      </c>
      <c r="AG1094" s="19"/>
      <c r="AH1094" s="2">
        <f>Table2[[#This Row],[EV]]-Table2[[#This Row],[Spread (V)]]</f>
        <v>-10.507488520575052</v>
      </c>
      <c r="AI1094" s="22">
        <f>Table2[[#This Row],[(A)]]-Table2[[#This Row],[Spread]]</f>
        <v>-6.7551184834123301</v>
      </c>
      <c r="AJ1094" s="1">
        <f>Table2[[#This Row],[(A) Err]]^2</f>
        <v>45.6316257249389</v>
      </c>
      <c r="AK1094" s="6">
        <f>Table2[[#This Row],[EV]]-Table2[[#This Row],[Spread]]</f>
        <v>-10.507488520575052</v>
      </c>
      <c r="AL1094" s="1">
        <f>Table2[[#This Row],[EV Err]]^2</f>
        <v>110.40731501001649</v>
      </c>
    </row>
    <row r="1095" spans="1:38" x14ac:dyDescent="0.25">
      <c r="A1095" t="s">
        <v>187</v>
      </c>
      <c r="B1095" t="s">
        <v>4</v>
      </c>
      <c r="C1095" t="s">
        <v>29</v>
      </c>
      <c r="K1095" s="25">
        <f>(Table2[[#This Row],[Home Pace]]/100)*(VLOOKUP(Table2[[#This Row],[Home/Neutral]],home_lookup,8,FALSE)+VLOOKUP(Table2[[#This Row],[Home/Neutral]],OFR_lookup,2,FALSE)+VLOOKUP(Table2[[#This Row],[Visitor/Neutral]],def_diff_lookup,6,FALSE))</f>
        <v>105.51786781393444</v>
      </c>
      <c r="L1095" s="25"/>
      <c r="M1095" s="25">
        <f>(Table2[[#This Row],[Away Pace]]/100)*(VLOOKUP(Table2[[#This Row],[Visitor/Neutral]],OFR_lookup,2,FALSE)+VLOOKUP(Table2[[#This Row],[Home/Neutral]],def_diff_lookup,6,FALSE))</f>
        <v>94.982505333333336</v>
      </c>
      <c r="N1095" s="25"/>
      <c r="O1095" s="25"/>
      <c r="P1095">
        <f>VLOOKUP(Table2[[#This Row],[Home/Neutral]],pace_lookup,7,FALSE)</f>
        <v>96.6</v>
      </c>
      <c r="Q1095" s="5">
        <f>VLOOKUP(Table2[[#This Row],[Visitor/Neutral]],pace_lookup,7,FALSE)</f>
        <v>93.8</v>
      </c>
      <c r="R1095" s="9"/>
      <c r="V1095" s="2">
        <f>-home-VLOOKUP(Table2[[#This Row],[Home/Neutral]],rtg_vlookup,4,FALSE)+VLOOKUP(Table2[[#This Row],[Visitor/Neutral]],rtg_vlookup,4,FALSE)</f>
        <v>-19.65511848341233</v>
      </c>
      <c r="W1095" s="25"/>
      <c r="X1095" s="2"/>
      <c r="Y1095" s="2">
        <f>Table2[[#This Row],[Away EV]]-Table2[[#This Row],[Home EV]]</f>
        <v>-10.535362480601108</v>
      </c>
      <c r="Z1095" s="33"/>
      <c r="AA1095" s="34"/>
      <c r="AB1095" s="5" t="b">
        <f>IF(VLOOKUP(Table2[[#This Row],[Home/Neutral]],division_lookup,9,FALSE)=VLOOKUP(Table2[[#This Row],[Visitor/Neutral]],division_lookup,9,FALSE),TRUE,FALSE)</f>
        <v>1</v>
      </c>
      <c r="AC1095" s="19" t="str">
        <f>VLOOKUP(Table2[[#This Row],[Home/Neutral]],division_lookup,9,FALSE)</f>
        <v>P</v>
      </c>
      <c r="AD1095" s="19"/>
      <c r="AE1095" s="19" t="str">
        <f>IF(Table2[[#This Row],[Total EV ®]]&lt;Table2[[#This Row],[Total (V)]],"UNDER","OVER")</f>
        <v>OVER</v>
      </c>
      <c r="AF1095" s="30">
        <f>Table2[[#This Row],[(A) Spread]]-Table2[[#This Row],[Spread (V)]]</f>
        <v>0</v>
      </c>
      <c r="AG1095" s="19"/>
      <c r="AH1095" s="2">
        <f>Table2[[#This Row],[EV]]-Table2[[#This Row],[Spread (V)]]</f>
        <v>-10.535362480601108</v>
      </c>
      <c r="AI1095" s="22">
        <f>Table2[[#This Row],[(A)]]-Table2[[#This Row],[Spread]]</f>
        <v>-19.65511848341233</v>
      </c>
      <c r="AJ1095" s="1">
        <f>Table2[[#This Row],[(A) Err]]^2</f>
        <v>386.32368259697705</v>
      </c>
      <c r="AK1095" s="6">
        <f>Table2[[#This Row],[EV]]-Table2[[#This Row],[Spread]]</f>
        <v>-10.535362480601108</v>
      </c>
      <c r="AL1095" s="1">
        <f>Table2[[#This Row],[EV Err]]^2</f>
        <v>110.99386259765754</v>
      </c>
    </row>
    <row r="1096" spans="1:38" x14ac:dyDescent="0.25">
      <c r="A1096" t="s">
        <v>187</v>
      </c>
      <c r="B1096" t="s">
        <v>24</v>
      </c>
      <c r="C1096" t="s">
        <v>32</v>
      </c>
      <c r="K1096" s="25">
        <f>(Table2[[#This Row],[Home Pace]]/100)*(VLOOKUP(Table2[[#This Row],[Home/Neutral]],home_lookup,8,FALSE)+VLOOKUP(Table2[[#This Row],[Home/Neutral]],OFR_lookup,2,FALSE)+VLOOKUP(Table2[[#This Row],[Visitor/Neutral]],def_diff_lookup,6,FALSE))</f>
        <v>114.24144432830941</v>
      </c>
      <c r="L1096" s="25"/>
      <c r="M1096" s="25">
        <f>(Table2[[#This Row],[Away Pace]]/100)*(VLOOKUP(Table2[[#This Row],[Visitor/Neutral]],OFR_lookup,2,FALSE)+VLOOKUP(Table2[[#This Row],[Home/Neutral]],def_diff_lookup,6,FALSE))</f>
        <v>110.86649733333334</v>
      </c>
      <c r="N1096" s="25"/>
      <c r="O1096" s="25"/>
      <c r="P1096">
        <f>VLOOKUP(Table2[[#This Row],[Home/Neutral]],pace_lookup,7,FALSE)</f>
        <v>99.9</v>
      </c>
      <c r="Q1096" s="5">
        <f>VLOOKUP(Table2[[#This Row],[Visitor/Neutral]],pace_lookup,7,FALSE)</f>
        <v>98.6</v>
      </c>
      <c r="R1096" s="9"/>
      <c r="V1096" s="2">
        <f>-home-VLOOKUP(Table2[[#This Row],[Home/Neutral]],rtg_vlookup,4,FALSE)+VLOOKUP(Table2[[#This Row],[Visitor/Neutral]],rtg_vlookup,4,FALSE)</f>
        <v>-5.8651184834123304</v>
      </c>
      <c r="W1096" s="25"/>
      <c r="X1096" s="2"/>
      <c r="Y1096" s="2">
        <f>Table2[[#This Row],[Away EV]]-Table2[[#This Row],[Home EV]]</f>
        <v>-3.3749469949760709</v>
      </c>
      <c r="Z1096" s="33"/>
      <c r="AA1096" s="34"/>
      <c r="AB1096" s="5" t="b">
        <f>IF(VLOOKUP(Table2[[#This Row],[Home/Neutral]],division_lookup,9,FALSE)=VLOOKUP(Table2[[#This Row],[Visitor/Neutral]],division_lookup,9,FALSE),TRUE,FALSE)</f>
        <v>0</v>
      </c>
      <c r="AC1096" s="19" t="str">
        <f>VLOOKUP(Table2[[#This Row],[Home/Neutral]],division_lookup,9,FALSE)</f>
        <v>P</v>
      </c>
      <c r="AD1096" s="19"/>
      <c r="AE1096" s="19" t="str">
        <f>IF(Table2[[#This Row],[Total EV ®]]&lt;Table2[[#This Row],[Total (V)]],"UNDER","OVER")</f>
        <v>OVER</v>
      </c>
      <c r="AF1096" s="30">
        <f>Table2[[#This Row],[(A) Spread]]-Table2[[#This Row],[Spread (V)]]</f>
        <v>0</v>
      </c>
      <c r="AG1096" s="19"/>
      <c r="AH1096" s="2">
        <f>Table2[[#This Row],[EV]]-Table2[[#This Row],[Spread (V)]]</f>
        <v>-3.3749469949760709</v>
      </c>
      <c r="AI1096" s="22">
        <f>Table2[[#This Row],[(A)]]-Table2[[#This Row],[Spread]]</f>
        <v>-5.8651184834123304</v>
      </c>
      <c r="AJ1096" s="1">
        <f>Table2[[#This Row],[(A) Err]]^2</f>
        <v>34.399614824464955</v>
      </c>
      <c r="AK1096" s="6">
        <f>Table2[[#This Row],[EV]]-Table2[[#This Row],[Spread]]</f>
        <v>-3.3749469949760709</v>
      </c>
      <c r="AL1096" s="1">
        <f>Table2[[#This Row],[EV Err]]^2</f>
        <v>11.390267218898011</v>
      </c>
    </row>
    <row r="1097" spans="1:38" x14ac:dyDescent="0.25">
      <c r="A1097" t="s">
        <v>187</v>
      </c>
      <c r="B1097" t="s">
        <v>30</v>
      </c>
      <c r="C1097" t="s">
        <v>13</v>
      </c>
      <c r="K1097" s="25">
        <f>(Table2[[#This Row],[Home Pace]]/100)*(VLOOKUP(Table2[[#This Row],[Home/Neutral]],home_lookup,8,FALSE)+VLOOKUP(Table2[[#This Row],[Home/Neutral]],OFR_lookup,2,FALSE)+VLOOKUP(Table2[[#This Row],[Visitor/Neutral]],def_diff_lookup,6,FALSE))</f>
        <v>107.44440034993644</v>
      </c>
      <c r="L1097" s="25"/>
      <c r="M1097" s="25">
        <f>(Table2[[#This Row],[Away Pace]]/100)*(VLOOKUP(Table2[[#This Row],[Visitor/Neutral]],OFR_lookup,2,FALSE)+VLOOKUP(Table2[[#This Row],[Home/Neutral]],def_diff_lookup,6,FALSE))</f>
        <v>106.96518000000002</v>
      </c>
      <c r="N1097" s="25"/>
      <c r="O1097" s="25"/>
      <c r="P1097">
        <f>VLOOKUP(Table2[[#This Row],[Home/Neutral]],pace_lookup,7,FALSE)</f>
        <v>96.8</v>
      </c>
      <c r="Q1097" s="5">
        <f>VLOOKUP(Table2[[#This Row],[Visitor/Neutral]],pace_lookup,7,FALSE)</f>
        <v>94.5</v>
      </c>
      <c r="R1097" s="9"/>
      <c r="V1097" s="2">
        <f>-home-VLOOKUP(Table2[[#This Row],[Home/Neutral]],rtg_vlookup,4,FALSE)+VLOOKUP(Table2[[#This Row],[Visitor/Neutral]],rtg_vlookup,4,FALSE)</f>
        <v>5.4248815165876687</v>
      </c>
      <c r="W1097" s="25"/>
      <c r="X1097" s="2"/>
      <c r="Y1097" s="2">
        <f>Table2[[#This Row],[Away EV]]-Table2[[#This Row],[Home EV]]</f>
        <v>-0.47922034993642626</v>
      </c>
      <c r="Z1097" s="33"/>
      <c r="AA1097" s="34"/>
      <c r="AB1097" s="5" t="b">
        <f>IF(VLOOKUP(Table2[[#This Row],[Home/Neutral]],division_lookup,9,FALSE)=VLOOKUP(Table2[[#This Row],[Visitor/Neutral]],division_lookup,9,FALSE),TRUE,FALSE)</f>
        <v>1</v>
      </c>
      <c r="AC1097" s="19" t="str">
        <f>VLOOKUP(Table2[[#This Row],[Home/Neutral]],division_lookup,9,FALSE)</f>
        <v>C</v>
      </c>
      <c r="AD1097" s="19"/>
      <c r="AE1097" s="19" t="str">
        <f>IF(Table2[[#This Row],[Total EV ®]]&lt;Table2[[#This Row],[Total (V)]],"UNDER","OVER")</f>
        <v>OVER</v>
      </c>
      <c r="AF1097" s="30">
        <f>Table2[[#This Row],[(A) Spread]]-Table2[[#This Row],[Spread (V)]]</f>
        <v>0</v>
      </c>
      <c r="AG1097" s="19"/>
      <c r="AH1097" s="2">
        <f>Table2[[#This Row],[EV]]-Table2[[#This Row],[Spread (V)]]</f>
        <v>-0.47922034993642626</v>
      </c>
      <c r="AI1097" s="22">
        <f>Table2[[#This Row],[(A)]]-Table2[[#This Row],[Spread]]</f>
        <v>5.4248815165876687</v>
      </c>
      <c r="AJ1097" s="1">
        <f>Table2[[#This Row],[(A) Err]]^2</f>
        <v>29.429339469014526</v>
      </c>
      <c r="AK1097" s="6">
        <f>Table2[[#This Row],[EV]]-Table2[[#This Row],[Spread]]</f>
        <v>-0.47922034993642626</v>
      </c>
      <c r="AL1097" s="1">
        <f>Table2[[#This Row],[EV Err]]^2</f>
        <v>0.22965214379319085</v>
      </c>
    </row>
    <row r="1098" spans="1:38" x14ac:dyDescent="0.25">
      <c r="A1098" t="s">
        <v>188</v>
      </c>
      <c r="B1098" t="s">
        <v>37</v>
      </c>
      <c r="C1098" t="s">
        <v>18</v>
      </c>
      <c r="K1098" s="25">
        <f>(Table2[[#This Row],[Home Pace]]/100)*(VLOOKUP(Table2[[#This Row],[Home/Neutral]],home_lookup,8,FALSE)+VLOOKUP(Table2[[#This Row],[Home/Neutral]],OFR_lookup,2,FALSE)+VLOOKUP(Table2[[#This Row],[Visitor/Neutral]],def_diff_lookup,6,FALSE))</f>
        <v>98.526838093621222</v>
      </c>
      <c r="L1098" s="25"/>
      <c r="M1098" s="25">
        <f>(Table2[[#This Row],[Away Pace]]/100)*(VLOOKUP(Table2[[#This Row],[Visitor/Neutral]],OFR_lookup,2,FALSE)+VLOOKUP(Table2[[#This Row],[Home/Neutral]],def_diff_lookup,6,FALSE))</f>
        <v>100.89366333333335</v>
      </c>
      <c r="N1098" s="25"/>
      <c r="O1098" s="25"/>
      <c r="P1098">
        <f>VLOOKUP(Table2[[#This Row],[Home/Neutral]],pace_lookup,7,FALSE)</f>
        <v>92.1</v>
      </c>
      <c r="Q1098" s="5">
        <f>VLOOKUP(Table2[[#This Row],[Visitor/Neutral]],pace_lookup,7,FALSE)</f>
        <v>99.5</v>
      </c>
      <c r="R1098" s="9"/>
      <c r="V1098" s="2">
        <f>-home-VLOOKUP(Table2[[#This Row],[Home/Neutral]],rtg_vlookup,4,FALSE)+VLOOKUP(Table2[[#This Row],[Visitor/Neutral]],rtg_vlookup,4,FALSE)</f>
        <v>7.0848815165876697</v>
      </c>
      <c r="W1098" s="25"/>
      <c r="X1098" s="2"/>
      <c r="Y1098" s="2">
        <f>Table2[[#This Row],[Away EV]]-Table2[[#This Row],[Home EV]]</f>
        <v>2.3668252397121279</v>
      </c>
      <c r="Z1098" s="33"/>
      <c r="AA1098" s="34"/>
      <c r="AB1098" s="5" t="b">
        <f>IF(VLOOKUP(Table2[[#This Row],[Home/Neutral]],division_lookup,9,FALSE)=VLOOKUP(Table2[[#This Row],[Visitor/Neutral]],division_lookup,9,FALSE),TRUE,FALSE)</f>
        <v>0</v>
      </c>
      <c r="AC1098" s="19" t="str">
        <f>VLOOKUP(Table2[[#This Row],[Home/Neutral]],division_lookup,9,FALSE)</f>
        <v>SW</v>
      </c>
      <c r="AD1098" s="19"/>
      <c r="AE1098" s="19" t="str">
        <f>IF(Table2[[#This Row],[Total EV ®]]&lt;Table2[[#This Row],[Total (V)]],"UNDER","OVER")</f>
        <v>OVER</v>
      </c>
      <c r="AF1098" s="30">
        <f>Table2[[#This Row],[(A) Spread]]-Table2[[#This Row],[Spread (V)]]</f>
        <v>0</v>
      </c>
      <c r="AG1098" s="19"/>
      <c r="AH1098" s="2">
        <f>Table2[[#This Row],[EV]]-Table2[[#This Row],[Spread (V)]]</f>
        <v>2.3668252397121279</v>
      </c>
      <c r="AI1098" s="22">
        <f>Table2[[#This Row],[(A)]]-Table2[[#This Row],[Spread]]</f>
        <v>7.0848815165876697</v>
      </c>
      <c r="AJ1098" s="1">
        <f>Table2[[#This Row],[(A) Err]]^2</f>
        <v>50.195546104085601</v>
      </c>
      <c r="AK1098" s="6">
        <f>Table2[[#This Row],[EV]]-Table2[[#This Row],[Spread]]</f>
        <v>2.3668252397121279</v>
      </c>
      <c r="AL1098" s="1">
        <f>Table2[[#This Row],[EV Err]]^2</f>
        <v>5.6018617153383712</v>
      </c>
    </row>
    <row r="1099" spans="1:38" x14ac:dyDescent="0.25">
      <c r="A1099" t="s">
        <v>188</v>
      </c>
      <c r="B1099" t="s">
        <v>31</v>
      </c>
      <c r="C1099" t="s">
        <v>25</v>
      </c>
      <c r="K1099" s="25">
        <f>(Table2[[#This Row],[Home Pace]]/100)*(VLOOKUP(Table2[[#This Row],[Home/Neutral]],home_lookup,8,FALSE)+VLOOKUP(Table2[[#This Row],[Home/Neutral]],OFR_lookup,2,FALSE)+VLOOKUP(Table2[[#This Row],[Visitor/Neutral]],def_diff_lookup,6,FALSE))</f>
        <v>106.80937430217891</v>
      </c>
      <c r="L1099" s="25"/>
      <c r="M1099" s="25">
        <f>(Table2[[#This Row],[Away Pace]]/100)*(VLOOKUP(Table2[[#This Row],[Visitor/Neutral]],OFR_lookup,2,FALSE)+VLOOKUP(Table2[[#This Row],[Home/Neutral]],def_diff_lookup,6,FALSE))</f>
        <v>101.32014933333335</v>
      </c>
      <c r="N1099" s="25"/>
      <c r="O1099" s="25"/>
      <c r="P1099">
        <f>VLOOKUP(Table2[[#This Row],[Home/Neutral]],pace_lookup,7,FALSE)</f>
        <v>96</v>
      </c>
      <c r="Q1099" s="5">
        <f>VLOOKUP(Table2[[#This Row],[Visitor/Neutral]],pace_lookup,7,FALSE)</f>
        <v>94.4</v>
      </c>
      <c r="R1099" s="9"/>
      <c r="V1099" s="2">
        <f>-home-VLOOKUP(Table2[[#This Row],[Home/Neutral]],rtg_vlookup,4,FALSE)+VLOOKUP(Table2[[#This Row],[Visitor/Neutral]],rtg_vlookup,4,FALSE)</f>
        <v>-0.49511848341233056</v>
      </c>
      <c r="W1099" s="25"/>
      <c r="X1099" s="2"/>
      <c r="Y1099" s="2">
        <f>Table2[[#This Row],[Away EV]]-Table2[[#This Row],[Home EV]]</f>
        <v>-5.4892249688455621</v>
      </c>
      <c r="Z1099" s="33"/>
      <c r="AA1099" s="34"/>
      <c r="AB1099" s="5" t="b">
        <f>IF(VLOOKUP(Table2[[#This Row],[Home/Neutral]],division_lookup,9,FALSE)=VLOOKUP(Table2[[#This Row],[Visitor/Neutral]],division_lookup,9,FALSE),TRUE,FALSE)</f>
        <v>0</v>
      </c>
      <c r="AC1099" s="19" t="str">
        <f>VLOOKUP(Table2[[#This Row],[Home/Neutral]],division_lookup,9,FALSE)</f>
        <v>A</v>
      </c>
      <c r="AD1099" s="19"/>
      <c r="AE1099" s="19" t="str">
        <f>IF(Table2[[#This Row],[Total EV ®]]&lt;Table2[[#This Row],[Total (V)]],"UNDER","OVER")</f>
        <v>OVER</v>
      </c>
      <c r="AF1099" s="30">
        <f>Table2[[#This Row],[(A) Spread]]-Table2[[#This Row],[Spread (V)]]</f>
        <v>0</v>
      </c>
      <c r="AG1099" s="19"/>
      <c r="AH1099" s="2">
        <f>Table2[[#This Row],[EV]]-Table2[[#This Row],[Spread (V)]]</f>
        <v>-5.4892249688455621</v>
      </c>
      <c r="AI1099" s="22">
        <f>Table2[[#This Row],[(A)]]-Table2[[#This Row],[Spread]]</f>
        <v>-0.49511848341233056</v>
      </c>
      <c r="AJ1099" s="1">
        <f>Table2[[#This Row],[(A) Err]]^2</f>
        <v>0.24514231261652625</v>
      </c>
      <c r="AK1099" s="6">
        <f>Table2[[#This Row],[EV]]-Table2[[#This Row],[Spread]]</f>
        <v>-5.4892249688455621</v>
      </c>
      <c r="AL1099" s="1">
        <f>Table2[[#This Row],[EV Err]]^2</f>
        <v>30.131590758597561</v>
      </c>
    </row>
    <row r="1100" spans="1:38" x14ac:dyDescent="0.25">
      <c r="A1100" t="s">
        <v>188</v>
      </c>
      <c r="B1100" t="s">
        <v>29</v>
      </c>
      <c r="C1100" t="s">
        <v>23</v>
      </c>
      <c r="K1100" s="25">
        <f>(Table2[[#This Row],[Home Pace]]/100)*(VLOOKUP(Table2[[#This Row],[Home/Neutral]],home_lookup,8,FALSE)+VLOOKUP(Table2[[#This Row],[Home/Neutral]],OFR_lookup,2,FALSE)+VLOOKUP(Table2[[#This Row],[Visitor/Neutral]],def_diff_lookup,6,FALSE))</f>
        <v>104.85264926898523</v>
      </c>
      <c r="L1100" s="25"/>
      <c r="M1100" s="25">
        <f>(Table2[[#This Row],[Away Pace]]/100)*(VLOOKUP(Table2[[#This Row],[Visitor/Neutral]],OFR_lookup,2,FALSE)+VLOOKUP(Table2[[#This Row],[Home/Neutral]],def_diff_lookup,6,FALSE))</f>
        <v>99.56761666666668</v>
      </c>
      <c r="N1100" s="25"/>
      <c r="O1100" s="25"/>
      <c r="P1100">
        <f>VLOOKUP(Table2[[#This Row],[Home/Neutral]],pace_lookup,7,FALSE)</f>
        <v>93.8</v>
      </c>
      <c r="Q1100" s="5">
        <f>VLOOKUP(Table2[[#This Row],[Visitor/Neutral]],pace_lookup,7,FALSE)</f>
        <v>92.5</v>
      </c>
      <c r="R1100" s="9"/>
      <c r="V1100" s="2">
        <f>-home-VLOOKUP(Table2[[#This Row],[Home/Neutral]],rtg_vlookup,4,FALSE)+VLOOKUP(Table2[[#This Row],[Visitor/Neutral]],rtg_vlookup,4,FALSE)</f>
        <v>1.9648815165876692</v>
      </c>
      <c r="W1100" s="25"/>
      <c r="X1100" s="2"/>
      <c r="Y1100" s="2">
        <f>Table2[[#This Row],[Away EV]]-Table2[[#This Row],[Home EV]]</f>
        <v>-5.2850326023185517</v>
      </c>
      <c r="Z1100" s="33"/>
      <c r="AA1100" s="34"/>
      <c r="AB1100" s="5" t="b">
        <f>IF(VLOOKUP(Table2[[#This Row],[Home/Neutral]],division_lookup,9,FALSE)=VLOOKUP(Table2[[#This Row],[Visitor/Neutral]],division_lookup,9,FALSE),TRUE,FALSE)</f>
        <v>0</v>
      </c>
      <c r="AC1100" s="19" t="str">
        <f>VLOOKUP(Table2[[#This Row],[Home/Neutral]],division_lookup,9,FALSE)</f>
        <v>P</v>
      </c>
      <c r="AD1100" s="19"/>
      <c r="AE1100" s="19" t="str">
        <f>IF(Table2[[#This Row],[Total EV ®]]&lt;Table2[[#This Row],[Total (V)]],"UNDER","OVER")</f>
        <v>OVER</v>
      </c>
      <c r="AF1100" s="30">
        <f>Table2[[#This Row],[(A) Spread]]-Table2[[#This Row],[Spread (V)]]</f>
        <v>0</v>
      </c>
      <c r="AG1100" s="19"/>
      <c r="AH1100" s="2">
        <f>Table2[[#This Row],[EV]]-Table2[[#This Row],[Spread (V)]]</f>
        <v>-5.2850326023185517</v>
      </c>
      <c r="AI1100" s="22">
        <f>Table2[[#This Row],[(A)]]-Table2[[#This Row],[Spread]]</f>
        <v>1.9648815165876692</v>
      </c>
      <c r="AJ1100" s="1">
        <f>Table2[[#This Row],[(A) Err]]^2</f>
        <v>3.8607593742278588</v>
      </c>
      <c r="AK1100" s="6">
        <f>Table2[[#This Row],[EV]]-Table2[[#This Row],[Spread]]</f>
        <v>-5.2850326023185517</v>
      </c>
      <c r="AL1100" s="1">
        <f>Table2[[#This Row],[EV Err]]^2</f>
        <v>27.931569607570001</v>
      </c>
    </row>
    <row r="1101" spans="1:38" x14ac:dyDescent="0.25">
      <c r="A1101" t="s">
        <v>188</v>
      </c>
      <c r="B1101" t="s">
        <v>6</v>
      </c>
      <c r="C1101" t="s">
        <v>8</v>
      </c>
      <c r="K1101" s="25">
        <f>(Table2[[#This Row],[Home Pace]]/100)*(VLOOKUP(Table2[[#This Row],[Home/Neutral]],home_lookup,8,FALSE)+VLOOKUP(Table2[[#This Row],[Home/Neutral]],OFR_lookup,2,FALSE)+VLOOKUP(Table2[[#This Row],[Visitor/Neutral]],def_diff_lookup,6,FALSE))</f>
        <v>101.19749787062244</v>
      </c>
      <c r="L1101" s="25"/>
      <c r="M1101" s="25">
        <f>(Table2[[#This Row],[Away Pace]]/100)*(VLOOKUP(Table2[[#This Row],[Visitor/Neutral]],OFR_lookup,2,FALSE)+VLOOKUP(Table2[[#This Row],[Home/Neutral]],def_diff_lookup,6,FALSE))</f>
        <v>105.841728</v>
      </c>
      <c r="N1101" s="25"/>
      <c r="O1101" s="25"/>
      <c r="P1101">
        <f>VLOOKUP(Table2[[#This Row],[Home/Neutral]],pace_lookup,7,FALSE)</f>
        <v>93.1</v>
      </c>
      <c r="Q1101" s="5">
        <f>VLOOKUP(Table2[[#This Row],[Visitor/Neutral]],pace_lookup,7,FALSE)</f>
        <v>97.2</v>
      </c>
      <c r="R1101" s="9"/>
      <c r="V1101" s="2">
        <f>-home-VLOOKUP(Table2[[#This Row],[Home/Neutral]],rtg_vlookup,4,FALSE)+VLOOKUP(Table2[[#This Row],[Visitor/Neutral]],rtg_vlookup,4,FALSE)</f>
        <v>-2.8651184834123304</v>
      </c>
      <c r="W1101" s="25"/>
      <c r="X1101" s="2"/>
      <c r="Y1101" s="2">
        <f>Table2[[#This Row],[Away EV]]-Table2[[#This Row],[Home EV]]</f>
        <v>4.6442301293775614</v>
      </c>
      <c r="Z1101" s="33"/>
      <c r="AA1101" s="34"/>
      <c r="AB1101" s="5" t="b">
        <f>IF(VLOOKUP(Table2[[#This Row],[Home/Neutral]],division_lookup,9,FALSE)=VLOOKUP(Table2[[#This Row],[Visitor/Neutral]],division_lookup,9,FALSE),TRUE,FALSE)</f>
        <v>0</v>
      </c>
      <c r="AC1101" s="19" t="str">
        <f>VLOOKUP(Table2[[#This Row],[Home/Neutral]],division_lookup,9,FALSE)</f>
        <v>SW</v>
      </c>
      <c r="AD1101" s="19"/>
      <c r="AE1101" s="19" t="str">
        <f>IF(Table2[[#This Row],[Total EV ®]]&lt;Table2[[#This Row],[Total (V)]],"UNDER","OVER")</f>
        <v>OVER</v>
      </c>
      <c r="AF1101" s="30">
        <f>Table2[[#This Row],[(A) Spread]]-Table2[[#This Row],[Spread (V)]]</f>
        <v>0</v>
      </c>
      <c r="AG1101" s="19"/>
      <c r="AH1101" s="2">
        <f>Table2[[#This Row],[EV]]-Table2[[#This Row],[Spread (V)]]</f>
        <v>4.6442301293775614</v>
      </c>
      <c r="AI1101" s="22">
        <f>Table2[[#This Row],[(A)]]-Table2[[#This Row],[Spread]]</f>
        <v>-2.8651184834123304</v>
      </c>
      <c r="AJ1101" s="1">
        <f>Table2[[#This Row],[(A) Err]]^2</f>
        <v>8.208903923990972</v>
      </c>
      <c r="AK1101" s="6">
        <f>Table2[[#This Row],[EV]]-Table2[[#This Row],[Spread]]</f>
        <v>4.6442301293775614</v>
      </c>
      <c r="AL1101" s="1">
        <f>Table2[[#This Row],[EV Err]]^2</f>
        <v>21.56887349461832</v>
      </c>
    </row>
    <row r="1102" spans="1:38" x14ac:dyDescent="0.25">
      <c r="A1102" t="s">
        <v>188</v>
      </c>
      <c r="B1102" t="s">
        <v>14</v>
      </c>
      <c r="C1102" t="s">
        <v>38</v>
      </c>
      <c r="K1102" s="25">
        <f>(Table2[[#This Row],[Home Pace]]/100)*(VLOOKUP(Table2[[#This Row],[Home/Neutral]],home_lookup,8,FALSE)+VLOOKUP(Table2[[#This Row],[Home/Neutral]],OFR_lookup,2,FALSE)+VLOOKUP(Table2[[#This Row],[Visitor/Neutral]],def_diff_lookup,6,FALSE))</f>
        <v>108.23227414241451</v>
      </c>
      <c r="L1102" s="25"/>
      <c r="M1102" s="25">
        <f>(Table2[[#This Row],[Away Pace]]/100)*(VLOOKUP(Table2[[#This Row],[Visitor/Neutral]],OFR_lookup,2,FALSE)+VLOOKUP(Table2[[#This Row],[Home/Neutral]],def_diff_lookup,6,FALSE))</f>
        <v>94.794088000000016</v>
      </c>
      <c r="N1102" s="25"/>
      <c r="O1102" s="25"/>
      <c r="P1102">
        <f>VLOOKUP(Table2[[#This Row],[Home/Neutral]],pace_lookup,7,FALSE)</f>
        <v>95.9</v>
      </c>
      <c r="Q1102" s="5">
        <f>VLOOKUP(Table2[[#This Row],[Visitor/Neutral]],pace_lookup,7,FALSE)</f>
        <v>94.2</v>
      </c>
      <c r="R1102" s="9"/>
      <c r="V1102" s="2">
        <f>-home-VLOOKUP(Table2[[#This Row],[Home/Neutral]],rtg_vlookup,4,FALSE)+VLOOKUP(Table2[[#This Row],[Visitor/Neutral]],rtg_vlookup,4,FALSE)</f>
        <v>-16.385118483412331</v>
      </c>
      <c r="W1102" s="25"/>
      <c r="X1102" s="2"/>
      <c r="Y1102" s="2">
        <f>Table2[[#This Row],[Away EV]]-Table2[[#This Row],[Home EV]]</f>
        <v>-13.438186142414494</v>
      </c>
      <c r="Z1102" s="33"/>
      <c r="AA1102" s="34"/>
      <c r="AB1102" s="5" t="b">
        <f>IF(VLOOKUP(Table2[[#This Row],[Home/Neutral]],division_lookup,9,FALSE)=VLOOKUP(Table2[[#This Row],[Visitor/Neutral]],division_lookup,9,FALSE),TRUE,FALSE)</f>
        <v>0</v>
      </c>
      <c r="AC1102" s="19" t="str">
        <f>VLOOKUP(Table2[[#This Row],[Home/Neutral]],division_lookup,9,FALSE)</f>
        <v>A</v>
      </c>
      <c r="AD1102" s="19"/>
      <c r="AE1102" s="19" t="str">
        <f>IF(Table2[[#This Row],[Total EV ®]]&lt;Table2[[#This Row],[Total (V)]],"UNDER","OVER")</f>
        <v>OVER</v>
      </c>
      <c r="AF1102" s="30">
        <f>Table2[[#This Row],[(A) Spread]]-Table2[[#This Row],[Spread (V)]]</f>
        <v>0</v>
      </c>
      <c r="AG1102" s="19"/>
      <c r="AH1102" s="2">
        <f>Table2[[#This Row],[EV]]-Table2[[#This Row],[Spread (V)]]</f>
        <v>-13.438186142414494</v>
      </c>
      <c r="AI1102" s="22">
        <f>Table2[[#This Row],[(A)]]-Table2[[#This Row],[Spread]]</f>
        <v>-16.385118483412331</v>
      </c>
      <c r="AJ1102" s="1">
        <f>Table2[[#This Row],[(A) Err]]^2</f>
        <v>268.47210771546042</v>
      </c>
      <c r="AK1102" s="6">
        <f>Table2[[#This Row],[EV]]-Table2[[#This Row],[Spread]]</f>
        <v>-13.438186142414494</v>
      </c>
      <c r="AL1102" s="1">
        <f>Table2[[#This Row],[EV Err]]^2</f>
        <v>180.58484679818096</v>
      </c>
    </row>
    <row r="1103" spans="1:38" x14ac:dyDescent="0.25">
      <c r="A1103" t="s">
        <v>188</v>
      </c>
      <c r="B1103" t="s">
        <v>20</v>
      </c>
      <c r="C1103" t="s">
        <v>34</v>
      </c>
      <c r="K1103" s="25">
        <f>(Table2[[#This Row],[Home Pace]]/100)*(VLOOKUP(Table2[[#This Row],[Home/Neutral]],home_lookup,8,FALSE)+VLOOKUP(Table2[[#This Row],[Home/Neutral]],OFR_lookup,2,FALSE)+VLOOKUP(Table2[[#This Row],[Visitor/Neutral]],def_diff_lookup,6,FALSE))</f>
        <v>103.67426528915178</v>
      </c>
      <c r="L1103" s="25"/>
      <c r="M1103" s="25">
        <f>(Table2[[#This Row],[Away Pace]]/100)*(VLOOKUP(Table2[[#This Row],[Visitor/Neutral]],OFR_lookup,2,FALSE)+VLOOKUP(Table2[[#This Row],[Home/Neutral]],def_diff_lookup,6,FALSE))</f>
        <v>98.365938666666679</v>
      </c>
      <c r="N1103" s="25"/>
      <c r="O1103" s="25"/>
      <c r="P1103">
        <f>VLOOKUP(Table2[[#This Row],[Home/Neutral]],pace_lookup,7,FALSE)</f>
        <v>90.9</v>
      </c>
      <c r="Q1103" s="5">
        <f>VLOOKUP(Table2[[#This Row],[Visitor/Neutral]],pace_lookup,7,FALSE)</f>
        <v>98.8</v>
      </c>
      <c r="R1103" s="9"/>
      <c r="V1103" s="2">
        <f>-home-VLOOKUP(Table2[[#This Row],[Home/Neutral]],rtg_vlookup,4,FALSE)+VLOOKUP(Table2[[#This Row],[Visitor/Neutral]],rtg_vlookup,4,FALSE)</f>
        <v>-9.4951184834123303</v>
      </c>
      <c r="W1103" s="25"/>
      <c r="X1103" s="2"/>
      <c r="Y1103" s="2">
        <f>Table2[[#This Row],[Away EV]]-Table2[[#This Row],[Home EV]]</f>
        <v>-5.3083266224850973</v>
      </c>
      <c r="Z1103" s="33"/>
      <c r="AA1103" s="34"/>
      <c r="AB1103" s="5" t="b">
        <f>IF(VLOOKUP(Table2[[#This Row],[Home/Neutral]],division_lookup,9,FALSE)=VLOOKUP(Table2[[#This Row],[Visitor/Neutral]],division_lookup,9,FALSE),TRUE,FALSE)</f>
        <v>0</v>
      </c>
      <c r="AC1103" s="19" t="str">
        <f>VLOOKUP(Table2[[#This Row],[Home/Neutral]],division_lookup,9,FALSE)</f>
        <v>NW</v>
      </c>
      <c r="AD1103" s="19"/>
      <c r="AE1103" s="19" t="str">
        <f>IF(Table2[[#This Row],[Total EV ®]]&lt;Table2[[#This Row],[Total (V)]],"UNDER","OVER")</f>
        <v>OVER</v>
      </c>
      <c r="AF1103" s="30">
        <f>Table2[[#This Row],[(A) Spread]]-Table2[[#This Row],[Spread (V)]]</f>
        <v>0</v>
      </c>
      <c r="AG1103" s="19"/>
      <c r="AH1103" s="2">
        <f>Table2[[#This Row],[EV]]-Table2[[#This Row],[Spread (V)]]</f>
        <v>-5.3083266224850973</v>
      </c>
      <c r="AI1103" s="22">
        <f>Table2[[#This Row],[(A)]]-Table2[[#This Row],[Spread]]</f>
        <v>-9.4951184834123303</v>
      </c>
      <c r="AJ1103" s="1">
        <f>Table2[[#This Row],[(A) Err]]^2</f>
        <v>90.157275014038476</v>
      </c>
      <c r="AK1103" s="6">
        <f>Table2[[#This Row],[EV]]-Table2[[#This Row],[Spread]]</f>
        <v>-5.3083266224850973</v>
      </c>
      <c r="AL1103" s="1">
        <f>Table2[[#This Row],[EV Err]]^2</f>
        <v>28.178331530984043</v>
      </c>
    </row>
    <row r="1104" spans="1:38" x14ac:dyDescent="0.25">
      <c r="A1104" t="s">
        <v>189</v>
      </c>
      <c r="B1104" t="s">
        <v>11</v>
      </c>
      <c r="C1104" t="s">
        <v>36</v>
      </c>
      <c r="K1104" s="25">
        <f>(Table2[[#This Row],[Home Pace]]/100)*(VLOOKUP(Table2[[#This Row],[Home/Neutral]],home_lookup,8,FALSE)+VLOOKUP(Table2[[#This Row],[Home/Neutral]],OFR_lookup,2,FALSE)+VLOOKUP(Table2[[#This Row],[Visitor/Neutral]],def_diff_lookup,6,FALSE))</f>
        <v>101.35182904407282</v>
      </c>
      <c r="L1104" s="25"/>
      <c r="M1104" s="25">
        <f>(Table2[[#This Row],[Away Pace]]/100)*(VLOOKUP(Table2[[#This Row],[Visitor/Neutral]],OFR_lookup,2,FALSE)+VLOOKUP(Table2[[#This Row],[Home/Neutral]],def_diff_lookup,6,FALSE))</f>
        <v>97.254201333333356</v>
      </c>
      <c r="N1104" s="25"/>
      <c r="O1104" s="25"/>
      <c r="P1104">
        <f>VLOOKUP(Table2[[#This Row],[Home/Neutral]],pace_lookup,7,FALSE)</f>
        <v>99.7</v>
      </c>
      <c r="Q1104" s="5">
        <f>VLOOKUP(Table2[[#This Row],[Visitor/Neutral]],pace_lookup,7,FALSE)</f>
        <v>102.2</v>
      </c>
      <c r="R1104" s="9"/>
      <c r="V1104" s="2">
        <f>-home-VLOOKUP(Table2[[#This Row],[Home/Neutral]],rtg_vlookup,4,FALSE)+VLOOKUP(Table2[[#This Row],[Visitor/Neutral]],rtg_vlookup,4,FALSE)</f>
        <v>-15.24511848341233</v>
      </c>
      <c r="W1104" s="25"/>
      <c r="X1104" s="2"/>
      <c r="Y1104" s="2">
        <f>Table2[[#This Row],[Away EV]]-Table2[[#This Row],[Home EV]]</f>
        <v>-4.0976277107394594</v>
      </c>
      <c r="Z1104" s="33"/>
      <c r="AA1104" s="34"/>
      <c r="AB1104" s="5" t="b">
        <f>IF(VLOOKUP(Table2[[#This Row],[Home/Neutral]],division_lookup,9,FALSE)=VLOOKUP(Table2[[#This Row],[Visitor/Neutral]],division_lookup,9,FALSE),TRUE,FALSE)</f>
        <v>0</v>
      </c>
      <c r="AC1104" s="19" t="str">
        <f>VLOOKUP(Table2[[#This Row],[Home/Neutral]],division_lookup,9,FALSE)</f>
        <v>SE</v>
      </c>
      <c r="AD1104" s="19"/>
      <c r="AE1104" s="19" t="str">
        <f>IF(Table2[[#This Row],[Total EV ®]]&lt;Table2[[#This Row],[Total (V)]],"UNDER","OVER")</f>
        <v>OVER</v>
      </c>
      <c r="AF1104" s="30">
        <f>Table2[[#This Row],[(A) Spread]]-Table2[[#This Row],[Spread (V)]]</f>
        <v>0</v>
      </c>
      <c r="AG1104" s="19"/>
      <c r="AH1104" s="2">
        <f>Table2[[#This Row],[EV]]-Table2[[#This Row],[Spread (V)]]</f>
        <v>-4.0976277107394594</v>
      </c>
      <c r="AI1104" s="22">
        <f>Table2[[#This Row],[(A)]]-Table2[[#This Row],[Spread]]</f>
        <v>-15.24511848341233</v>
      </c>
      <c r="AJ1104" s="1">
        <f>Table2[[#This Row],[(A) Err]]^2</f>
        <v>232.41363757328028</v>
      </c>
      <c r="AK1104" s="6">
        <f>Table2[[#This Row],[EV]]-Table2[[#This Row],[Spread]]</f>
        <v>-4.0976277107394594</v>
      </c>
      <c r="AL1104" s="1">
        <f>Table2[[#This Row],[EV Err]]^2</f>
        <v>16.790552855819904</v>
      </c>
    </row>
    <row r="1105" spans="1:38" x14ac:dyDescent="0.25">
      <c r="A1105" t="s">
        <v>189</v>
      </c>
      <c r="B1105" t="s">
        <v>35</v>
      </c>
      <c r="C1105" t="s">
        <v>39</v>
      </c>
      <c r="K1105" s="25">
        <f>(Table2[[#This Row],[Home Pace]]/100)*(VLOOKUP(Table2[[#This Row],[Home/Neutral]],home_lookup,8,FALSE)+VLOOKUP(Table2[[#This Row],[Home/Neutral]],OFR_lookup,2,FALSE)+VLOOKUP(Table2[[#This Row],[Visitor/Neutral]],def_diff_lookup,6,FALSE))</f>
        <v>110.70649121209625</v>
      </c>
      <c r="L1105" s="25"/>
      <c r="M1105" s="25">
        <f>(Table2[[#This Row],[Away Pace]]/100)*(VLOOKUP(Table2[[#This Row],[Visitor/Neutral]],OFR_lookup,2,FALSE)+VLOOKUP(Table2[[#This Row],[Home/Neutral]],def_diff_lookup,6,FALSE))</f>
        <v>101.0399</v>
      </c>
      <c r="N1105" s="25"/>
      <c r="O1105" s="25"/>
      <c r="P1105">
        <f>VLOOKUP(Table2[[#This Row],[Home/Neutral]],pace_lookup,7,FALSE)</f>
        <v>102.2</v>
      </c>
      <c r="Q1105" s="5">
        <f>VLOOKUP(Table2[[#This Row],[Visitor/Neutral]],pace_lookup,7,FALSE)</f>
        <v>97.5</v>
      </c>
      <c r="R1105" s="9"/>
      <c r="V1105" s="2">
        <f>-home-VLOOKUP(Table2[[#This Row],[Home/Neutral]],rtg_vlookup,4,FALSE)+VLOOKUP(Table2[[#This Row],[Visitor/Neutral]],rtg_vlookup,4,FALSE)</f>
        <v>-5.6851184834123307</v>
      </c>
      <c r="W1105" s="25"/>
      <c r="X1105" s="2"/>
      <c r="Y1105" s="2">
        <f>Table2[[#This Row],[Away EV]]-Table2[[#This Row],[Home EV]]</f>
        <v>-9.6665912120962503</v>
      </c>
      <c r="Z1105" s="33"/>
      <c r="AA1105" s="34"/>
      <c r="AB1105" s="5" t="b">
        <f>IF(VLOOKUP(Table2[[#This Row],[Home/Neutral]],division_lookup,9,FALSE)=VLOOKUP(Table2[[#This Row],[Visitor/Neutral]],division_lookup,9,FALSE),TRUE,FALSE)</f>
        <v>1</v>
      </c>
      <c r="AC1105" s="19" t="str">
        <f>VLOOKUP(Table2[[#This Row],[Home/Neutral]],division_lookup,9,FALSE)</f>
        <v>A</v>
      </c>
      <c r="AD1105" s="19"/>
      <c r="AE1105" s="19" t="str">
        <f>IF(Table2[[#This Row],[Total EV ®]]&lt;Table2[[#This Row],[Total (V)]],"UNDER","OVER")</f>
        <v>OVER</v>
      </c>
      <c r="AF1105" s="30">
        <f>Table2[[#This Row],[(A) Spread]]-Table2[[#This Row],[Spread (V)]]</f>
        <v>0</v>
      </c>
      <c r="AG1105" s="19"/>
      <c r="AH1105" s="2">
        <f>Table2[[#This Row],[EV]]-Table2[[#This Row],[Spread (V)]]</f>
        <v>-9.6665912120962503</v>
      </c>
      <c r="AI1105" s="22">
        <f>Table2[[#This Row],[(A)]]-Table2[[#This Row],[Spread]]</f>
        <v>-5.6851184834123307</v>
      </c>
      <c r="AJ1105" s="1">
        <f>Table2[[#This Row],[(A) Err]]^2</f>
        <v>32.32057217043652</v>
      </c>
      <c r="AK1105" s="6">
        <f>Table2[[#This Row],[EV]]-Table2[[#This Row],[Spread]]</f>
        <v>-9.6665912120962503</v>
      </c>
      <c r="AL1105" s="1">
        <f>Table2[[#This Row],[EV Err]]^2</f>
        <v>93.442985661776447</v>
      </c>
    </row>
    <row r="1106" spans="1:38" x14ac:dyDescent="0.25">
      <c r="A1106" t="s">
        <v>189</v>
      </c>
      <c r="B1106" t="s">
        <v>16</v>
      </c>
      <c r="C1106" t="s">
        <v>30</v>
      </c>
      <c r="K1106" s="25">
        <f>(Table2[[#This Row],[Home Pace]]/100)*(VLOOKUP(Table2[[#This Row],[Home/Neutral]],home_lookup,8,FALSE)+VLOOKUP(Table2[[#This Row],[Home/Neutral]],OFR_lookup,2,FALSE)+VLOOKUP(Table2[[#This Row],[Visitor/Neutral]],def_diff_lookup,6,FALSE))</f>
        <v>105.59585601115951</v>
      </c>
      <c r="L1106" s="25"/>
      <c r="M1106" s="25">
        <f>(Table2[[#This Row],[Away Pace]]/100)*(VLOOKUP(Table2[[#This Row],[Visitor/Neutral]],OFR_lookup,2,FALSE)+VLOOKUP(Table2[[#This Row],[Home/Neutral]],def_diff_lookup,6,FALSE))</f>
        <v>100.63392533333335</v>
      </c>
      <c r="N1106" s="25"/>
      <c r="O1106" s="25"/>
      <c r="P1106">
        <f>VLOOKUP(Table2[[#This Row],[Home/Neutral]],pace_lookup,7,FALSE)</f>
        <v>97.5</v>
      </c>
      <c r="Q1106" s="5">
        <f>VLOOKUP(Table2[[#This Row],[Visitor/Neutral]],pace_lookup,7,FALSE)</f>
        <v>96.8</v>
      </c>
      <c r="R1106" s="9"/>
      <c r="V1106" s="2">
        <f>-home-VLOOKUP(Table2[[#This Row],[Home/Neutral]],rtg_vlookup,4,FALSE)+VLOOKUP(Table2[[#This Row],[Visitor/Neutral]],rtg_vlookup,4,FALSE)</f>
        <v>-7.8551184834123307</v>
      </c>
      <c r="W1106" s="25"/>
      <c r="X1106" s="2"/>
      <c r="Y1106" s="2">
        <f>Table2[[#This Row],[Away EV]]-Table2[[#This Row],[Home EV]]</f>
        <v>-4.9619306778261603</v>
      </c>
      <c r="Z1106" s="33"/>
      <c r="AA1106" s="34"/>
      <c r="AB1106" s="5" t="b">
        <f>IF(VLOOKUP(Table2[[#This Row],[Home/Neutral]],division_lookup,9,FALSE)=VLOOKUP(Table2[[#This Row],[Visitor/Neutral]],division_lookup,9,FALSE),TRUE,FALSE)</f>
        <v>0</v>
      </c>
      <c r="AC1106" s="19" t="str">
        <f>VLOOKUP(Table2[[#This Row],[Home/Neutral]],division_lookup,9,FALSE)</f>
        <v>SE</v>
      </c>
      <c r="AD1106" s="19"/>
      <c r="AE1106" s="19" t="str">
        <f>IF(Table2[[#This Row],[Total EV ®]]&lt;Table2[[#This Row],[Total (V)]],"UNDER","OVER")</f>
        <v>OVER</v>
      </c>
      <c r="AF1106" s="30">
        <f>Table2[[#This Row],[(A) Spread]]-Table2[[#This Row],[Spread (V)]]</f>
        <v>0</v>
      </c>
      <c r="AG1106" s="19"/>
      <c r="AH1106" s="2">
        <f>Table2[[#This Row],[EV]]-Table2[[#This Row],[Spread (V)]]</f>
        <v>-4.9619306778261603</v>
      </c>
      <c r="AI1106" s="22">
        <f>Table2[[#This Row],[(A)]]-Table2[[#This Row],[Spread]]</f>
        <v>-7.8551184834123307</v>
      </c>
      <c r="AJ1106" s="1">
        <f>Table2[[#This Row],[(A) Err]]^2</f>
        <v>61.702886388446032</v>
      </c>
      <c r="AK1106" s="6">
        <f>Table2[[#This Row],[EV]]-Table2[[#This Row],[Spread]]</f>
        <v>-4.9619306778261603</v>
      </c>
      <c r="AL1106" s="1">
        <f>Table2[[#This Row],[EV Err]]^2</f>
        <v>24.620756051552377</v>
      </c>
    </row>
    <row r="1107" spans="1:38" x14ac:dyDescent="0.25">
      <c r="A1107" t="s">
        <v>189</v>
      </c>
      <c r="B1107" t="s">
        <v>25</v>
      </c>
      <c r="C1107" t="s">
        <v>21</v>
      </c>
      <c r="K1107" s="25">
        <f>(Table2[[#This Row],[Home Pace]]/100)*(VLOOKUP(Table2[[#This Row],[Home/Neutral]],home_lookup,8,FALSE)+VLOOKUP(Table2[[#This Row],[Home/Neutral]],OFR_lookup,2,FALSE)+VLOOKUP(Table2[[#This Row],[Visitor/Neutral]],def_diff_lookup,6,FALSE))</f>
        <v>99.713264444272568</v>
      </c>
      <c r="L1107" s="25"/>
      <c r="M1107" s="25">
        <f>(Table2[[#This Row],[Away Pace]]/100)*(VLOOKUP(Table2[[#This Row],[Visitor/Neutral]],OFR_lookup,2,FALSE)+VLOOKUP(Table2[[#This Row],[Home/Neutral]],def_diff_lookup,6,FALSE))</f>
        <v>93.041968000000026</v>
      </c>
      <c r="N1107" s="25"/>
      <c r="O1107" s="25"/>
      <c r="P1107">
        <f>VLOOKUP(Table2[[#This Row],[Home/Neutral]],pace_lookup,7,FALSE)</f>
        <v>94.4</v>
      </c>
      <c r="Q1107" s="5">
        <f>VLOOKUP(Table2[[#This Row],[Visitor/Neutral]],pace_lookup,7,FALSE)</f>
        <v>94.2</v>
      </c>
      <c r="R1107" s="9"/>
      <c r="V1107" s="2">
        <f>-home-VLOOKUP(Table2[[#This Row],[Home/Neutral]],rtg_vlookup,4,FALSE)+VLOOKUP(Table2[[#This Row],[Visitor/Neutral]],rtg_vlookup,4,FALSE)</f>
        <v>-2.8051184834123308</v>
      </c>
      <c r="W1107" s="25"/>
      <c r="X1107" s="2"/>
      <c r="Y1107" s="2">
        <f>Table2[[#This Row],[Away EV]]-Table2[[#This Row],[Home EV]]</f>
        <v>-6.6712964442725422</v>
      </c>
      <c r="Z1107" s="33"/>
      <c r="AA1107" s="34"/>
      <c r="AB1107" s="5" t="b">
        <f>IF(VLOOKUP(Table2[[#This Row],[Home/Neutral]],division_lookup,9,FALSE)=VLOOKUP(Table2[[#This Row],[Visitor/Neutral]],division_lookup,9,FALSE),TRUE,FALSE)</f>
        <v>0</v>
      </c>
      <c r="AC1107" s="19" t="str">
        <f>VLOOKUP(Table2[[#This Row],[Home/Neutral]],division_lookup,9,FALSE)</f>
        <v>C</v>
      </c>
      <c r="AD1107" s="19"/>
      <c r="AE1107" s="19" t="str">
        <f>IF(Table2[[#This Row],[Total EV ®]]&lt;Table2[[#This Row],[Total (V)]],"UNDER","OVER")</f>
        <v>OVER</v>
      </c>
      <c r="AF1107" s="30">
        <f>Table2[[#This Row],[(A) Spread]]-Table2[[#This Row],[Spread (V)]]</f>
        <v>0</v>
      </c>
      <c r="AG1107" s="19"/>
      <c r="AH1107" s="2">
        <f>Table2[[#This Row],[EV]]-Table2[[#This Row],[Spread (V)]]</f>
        <v>-6.6712964442725422</v>
      </c>
      <c r="AI1107" s="22">
        <f>Table2[[#This Row],[(A)]]-Table2[[#This Row],[Spread]]</f>
        <v>-2.8051184834123308</v>
      </c>
      <c r="AJ1107" s="1">
        <f>Table2[[#This Row],[(A) Err]]^2</f>
        <v>7.8686897059814953</v>
      </c>
      <c r="AK1107" s="6">
        <f>Table2[[#This Row],[EV]]-Table2[[#This Row],[Spread]]</f>
        <v>-6.6712964442725422</v>
      </c>
      <c r="AL1107" s="1">
        <f>Table2[[#This Row],[EV Err]]^2</f>
        <v>44.506196247363462</v>
      </c>
    </row>
    <row r="1108" spans="1:38" x14ac:dyDescent="0.25">
      <c r="A1108" t="s">
        <v>189</v>
      </c>
      <c r="B1108" t="s">
        <v>17</v>
      </c>
      <c r="C1108" t="s">
        <v>10</v>
      </c>
      <c r="K1108" s="25">
        <f>(Table2[[#This Row],[Home Pace]]/100)*(VLOOKUP(Table2[[#This Row],[Home/Neutral]],home_lookup,8,FALSE)+VLOOKUP(Table2[[#This Row],[Home/Neutral]],OFR_lookup,2,FALSE)+VLOOKUP(Table2[[#This Row],[Visitor/Neutral]],def_diff_lookup,6,FALSE))</f>
        <v>110.81571692873544</v>
      </c>
      <c r="L1108" s="25"/>
      <c r="M1108" s="25">
        <f>(Table2[[#This Row],[Away Pace]]/100)*(VLOOKUP(Table2[[#This Row],[Visitor/Neutral]],OFR_lookup,2,FALSE)+VLOOKUP(Table2[[#This Row],[Home/Neutral]],def_diff_lookup,6,FALSE))</f>
        <v>119.99958866666667</v>
      </c>
      <c r="N1108" s="25"/>
      <c r="O1108" s="25"/>
      <c r="P1108">
        <f>VLOOKUP(Table2[[#This Row],[Home/Neutral]],pace_lookup,7,FALSE)</f>
        <v>96.7</v>
      </c>
      <c r="Q1108" s="5">
        <f>VLOOKUP(Table2[[#This Row],[Visitor/Neutral]],pace_lookup,7,FALSE)</f>
        <v>100.3</v>
      </c>
      <c r="R1108" s="9"/>
      <c r="V1108" s="2">
        <f>-home-VLOOKUP(Table2[[#This Row],[Home/Neutral]],rtg_vlookup,4,FALSE)+VLOOKUP(Table2[[#This Row],[Visitor/Neutral]],rtg_vlookup,4,FALSE)</f>
        <v>1.5148815165876695</v>
      </c>
      <c r="W1108" s="25"/>
      <c r="X1108" s="2"/>
      <c r="Y1108" s="2">
        <f>Table2[[#This Row],[Away EV]]-Table2[[#This Row],[Home EV]]</f>
        <v>9.1838717379312271</v>
      </c>
      <c r="Z1108" s="33"/>
      <c r="AA1108" s="34"/>
      <c r="AB1108" s="5" t="b">
        <f>IF(VLOOKUP(Table2[[#This Row],[Home/Neutral]],division_lookup,9,FALSE)=VLOOKUP(Table2[[#This Row],[Visitor/Neutral]],division_lookup,9,FALSE),TRUE,FALSE)</f>
        <v>0</v>
      </c>
      <c r="AC1108" s="19" t="str">
        <f>VLOOKUP(Table2[[#This Row],[Home/Neutral]],division_lookup,9,FALSE)</f>
        <v>SW</v>
      </c>
      <c r="AD1108" s="19"/>
      <c r="AE1108" s="19" t="str">
        <f>IF(Table2[[#This Row],[Total EV ®]]&lt;Table2[[#This Row],[Total (V)]],"UNDER","OVER")</f>
        <v>OVER</v>
      </c>
      <c r="AF1108" s="30">
        <f>Table2[[#This Row],[(A) Spread]]-Table2[[#This Row],[Spread (V)]]</f>
        <v>0</v>
      </c>
      <c r="AG1108" s="19"/>
      <c r="AH1108" s="2">
        <f>Table2[[#This Row],[EV]]-Table2[[#This Row],[Spread (V)]]</f>
        <v>9.1838717379312271</v>
      </c>
      <c r="AI1108" s="22">
        <f>Table2[[#This Row],[(A)]]-Table2[[#This Row],[Spread]]</f>
        <v>1.5148815165876695</v>
      </c>
      <c r="AJ1108" s="1">
        <f>Table2[[#This Row],[(A) Err]]^2</f>
        <v>2.2948660092989575</v>
      </c>
      <c r="AK1108" s="6">
        <f>Table2[[#This Row],[EV]]-Table2[[#This Row],[Spread]]</f>
        <v>9.1838717379312271</v>
      </c>
      <c r="AL1108" s="1">
        <f>Table2[[#This Row],[EV Err]]^2</f>
        <v>84.343500098771941</v>
      </c>
    </row>
    <row r="1109" spans="1:38" x14ac:dyDescent="0.25">
      <c r="A1109" t="s">
        <v>189</v>
      </c>
      <c r="B1109" t="s">
        <v>33</v>
      </c>
      <c r="C1109" t="s">
        <v>22</v>
      </c>
      <c r="K1109" s="25">
        <f>(Table2[[#This Row],[Home Pace]]/100)*(VLOOKUP(Table2[[#This Row],[Home/Neutral]],home_lookup,8,FALSE)+VLOOKUP(Table2[[#This Row],[Home/Neutral]],OFR_lookup,2,FALSE)+VLOOKUP(Table2[[#This Row],[Visitor/Neutral]],def_diff_lookup,6,FALSE))</f>
        <v>111.47645852057506</v>
      </c>
      <c r="L1109" s="25"/>
      <c r="M1109" s="25">
        <f>(Table2[[#This Row],[Away Pace]]/100)*(VLOOKUP(Table2[[#This Row],[Visitor/Neutral]],OFR_lookup,2,FALSE)+VLOOKUP(Table2[[#This Row],[Home/Neutral]],def_diff_lookup,6,FALSE))</f>
        <v>107.69347133333336</v>
      </c>
      <c r="N1109" s="25"/>
      <c r="O1109" s="25"/>
      <c r="P1109">
        <f>VLOOKUP(Table2[[#This Row],[Home/Neutral]],pace_lookup,7,FALSE)</f>
        <v>98.2</v>
      </c>
      <c r="Q1109" s="5">
        <f>VLOOKUP(Table2[[#This Row],[Visitor/Neutral]],pace_lookup,7,FALSE)</f>
        <v>94.7</v>
      </c>
      <c r="R1109" s="9"/>
      <c r="V1109" s="2">
        <f>-home-VLOOKUP(Table2[[#This Row],[Home/Neutral]],rtg_vlookup,4,FALSE)+VLOOKUP(Table2[[#This Row],[Visitor/Neutral]],rtg_vlookup,4,FALSE)</f>
        <v>3.4248815165876696</v>
      </c>
      <c r="W1109" s="25"/>
      <c r="X1109" s="2"/>
      <c r="Y1109" s="2">
        <f>Table2[[#This Row],[Away EV]]-Table2[[#This Row],[Home EV]]</f>
        <v>-3.7829871872417016</v>
      </c>
      <c r="Z1109" s="33"/>
      <c r="AA1109" s="34"/>
      <c r="AB1109" s="5" t="b">
        <f>IF(VLOOKUP(Table2[[#This Row],[Home/Neutral]],division_lookup,9,FALSE)=VLOOKUP(Table2[[#This Row],[Visitor/Neutral]],division_lookup,9,FALSE),TRUE,FALSE)</f>
        <v>0</v>
      </c>
      <c r="AC1109" s="19" t="str">
        <f>VLOOKUP(Table2[[#This Row],[Home/Neutral]],division_lookup,9,FALSE)</f>
        <v>C</v>
      </c>
      <c r="AD1109" s="19"/>
      <c r="AE1109" s="19" t="str">
        <f>IF(Table2[[#This Row],[Total EV ®]]&lt;Table2[[#This Row],[Total (V)]],"UNDER","OVER")</f>
        <v>OVER</v>
      </c>
      <c r="AF1109" s="30">
        <f>Table2[[#This Row],[(A) Spread]]-Table2[[#This Row],[Spread (V)]]</f>
        <v>0</v>
      </c>
      <c r="AG1109" s="19"/>
      <c r="AH1109" s="2">
        <f>Table2[[#This Row],[EV]]-Table2[[#This Row],[Spread (V)]]</f>
        <v>-3.7829871872417016</v>
      </c>
      <c r="AI1109" s="22">
        <f>Table2[[#This Row],[(A)]]-Table2[[#This Row],[Spread]]</f>
        <v>3.4248815165876696</v>
      </c>
      <c r="AJ1109" s="1">
        <f>Table2[[#This Row],[(A) Err]]^2</f>
        <v>11.729813402663856</v>
      </c>
      <c r="AK1109" s="6">
        <f>Table2[[#This Row],[EV]]-Table2[[#This Row],[Spread]]</f>
        <v>-3.7829871872417016</v>
      </c>
      <c r="AL1109" s="1">
        <f>Table2[[#This Row],[EV Err]]^2</f>
        <v>14.310992058834881</v>
      </c>
    </row>
    <row r="1110" spans="1:38" x14ac:dyDescent="0.25">
      <c r="A1110" t="s">
        <v>189</v>
      </c>
      <c r="B1110" t="s">
        <v>24</v>
      </c>
      <c r="C1110" t="s">
        <v>28</v>
      </c>
      <c r="K1110" s="25">
        <f>(Table2[[#This Row],[Home Pace]]/100)*(VLOOKUP(Table2[[#This Row],[Home/Neutral]],home_lookup,8,FALSE)+VLOOKUP(Table2[[#This Row],[Home/Neutral]],OFR_lookup,2,FALSE)+VLOOKUP(Table2[[#This Row],[Visitor/Neutral]],def_diff_lookup,6,FALSE))</f>
        <v>112.16352432830941</v>
      </c>
      <c r="L1110" s="25"/>
      <c r="M1110" s="25">
        <f>(Table2[[#This Row],[Away Pace]]/100)*(VLOOKUP(Table2[[#This Row],[Visitor/Neutral]],OFR_lookup,2,FALSE)+VLOOKUP(Table2[[#This Row],[Home/Neutral]],def_diff_lookup,6,FALSE))</f>
        <v>107.22106199999999</v>
      </c>
      <c r="N1110" s="25"/>
      <c r="O1110" s="25"/>
      <c r="P1110">
        <f>VLOOKUP(Table2[[#This Row],[Home/Neutral]],pace_lookup,7,FALSE)</f>
        <v>99.9</v>
      </c>
      <c r="Q1110" s="5">
        <f>VLOOKUP(Table2[[#This Row],[Visitor/Neutral]],pace_lookup,7,FALSE)</f>
        <v>96.3</v>
      </c>
      <c r="R1110" s="9"/>
      <c r="V1110" s="2">
        <f>-home-VLOOKUP(Table2[[#This Row],[Home/Neutral]],rtg_vlookup,4,FALSE)+VLOOKUP(Table2[[#This Row],[Visitor/Neutral]],rtg_vlookup,4,FALSE)</f>
        <v>-4.8951184834123307</v>
      </c>
      <c r="W1110" s="25"/>
      <c r="X1110" s="2"/>
      <c r="Y1110" s="2">
        <f>Table2[[#This Row],[Away EV]]-Table2[[#This Row],[Home EV]]</f>
        <v>-4.9424623283094178</v>
      </c>
      <c r="Z1110" s="33"/>
      <c r="AA1110" s="34"/>
      <c r="AB1110" s="5" t="b">
        <f>IF(VLOOKUP(Table2[[#This Row],[Home/Neutral]],division_lookup,9,FALSE)=VLOOKUP(Table2[[#This Row],[Visitor/Neutral]],division_lookup,9,FALSE),TRUE,FALSE)</f>
        <v>0</v>
      </c>
      <c r="AC1110" s="19" t="str">
        <f>VLOOKUP(Table2[[#This Row],[Home/Neutral]],division_lookup,9,FALSE)</f>
        <v>P</v>
      </c>
      <c r="AD1110" s="19"/>
      <c r="AE1110" s="19" t="str">
        <f>IF(Table2[[#This Row],[Total EV ®]]&lt;Table2[[#This Row],[Total (V)]],"UNDER","OVER")</f>
        <v>OVER</v>
      </c>
      <c r="AF1110" s="30">
        <f>Table2[[#This Row],[(A) Spread]]-Table2[[#This Row],[Spread (V)]]</f>
        <v>0</v>
      </c>
      <c r="AG1110" s="19"/>
      <c r="AH1110" s="2">
        <f>Table2[[#This Row],[EV]]-Table2[[#This Row],[Spread (V)]]</f>
        <v>-4.9424623283094178</v>
      </c>
      <c r="AI1110" s="22">
        <f>Table2[[#This Row],[(A)]]-Table2[[#This Row],[Spread]]</f>
        <v>-4.8951184834123307</v>
      </c>
      <c r="AJ1110" s="1">
        <f>Table2[[#This Row],[(A) Err]]^2</f>
        <v>23.962184966645037</v>
      </c>
      <c r="AK1110" s="6">
        <f>Table2[[#This Row],[EV]]-Table2[[#This Row],[Spread]]</f>
        <v>-4.9424623283094178</v>
      </c>
      <c r="AL1110" s="1">
        <f>Table2[[#This Row],[EV Err]]^2</f>
        <v>24.427933866757751</v>
      </c>
    </row>
    <row r="1111" spans="1:38" x14ac:dyDescent="0.25">
      <c r="A1111" t="s">
        <v>189</v>
      </c>
      <c r="B1111" t="s">
        <v>32</v>
      </c>
      <c r="C1111" t="s">
        <v>27</v>
      </c>
      <c r="K1111" s="25">
        <f>(Table2[[#This Row],[Home Pace]]/100)*(VLOOKUP(Table2[[#This Row],[Home/Neutral]],home_lookup,8,FALSE)+VLOOKUP(Table2[[#This Row],[Home/Neutral]],OFR_lookup,2,FALSE)+VLOOKUP(Table2[[#This Row],[Visitor/Neutral]],def_diff_lookup,6,FALSE))</f>
        <v>108.8041311200184</v>
      </c>
      <c r="L1111" s="25"/>
      <c r="M1111" s="25">
        <f>(Table2[[#This Row],[Away Pace]]/100)*(VLOOKUP(Table2[[#This Row],[Visitor/Neutral]],OFR_lookup,2,FALSE)+VLOOKUP(Table2[[#This Row],[Home/Neutral]],def_diff_lookup,6,FALSE))</f>
        <v>109.25706000000001</v>
      </c>
      <c r="N1111" s="25"/>
      <c r="O1111" s="25"/>
      <c r="P1111">
        <f>VLOOKUP(Table2[[#This Row],[Home/Neutral]],pace_lookup,7,FALSE)</f>
        <v>98.6</v>
      </c>
      <c r="Q1111" s="5">
        <f>VLOOKUP(Table2[[#This Row],[Visitor/Neutral]],pace_lookup,7,FALSE)</f>
        <v>99</v>
      </c>
      <c r="R1111" s="9"/>
      <c r="V1111" s="2">
        <f>-home-VLOOKUP(Table2[[#This Row],[Home/Neutral]],rtg_vlookup,4,FALSE)+VLOOKUP(Table2[[#This Row],[Visitor/Neutral]],rtg_vlookup,4,FALSE)</f>
        <v>-0.43511848341233084</v>
      </c>
      <c r="W1111" s="25"/>
      <c r="X1111" s="2"/>
      <c r="Y1111" s="2">
        <f>Table2[[#This Row],[Away EV]]-Table2[[#This Row],[Home EV]]</f>
        <v>0.45292887998161291</v>
      </c>
      <c r="Z1111" s="33"/>
      <c r="AA1111" s="34"/>
      <c r="AB1111" s="5" t="b">
        <f>IF(VLOOKUP(Table2[[#This Row],[Home/Neutral]],division_lookup,9,FALSE)=VLOOKUP(Table2[[#This Row],[Visitor/Neutral]],division_lookup,9,FALSE),TRUE,FALSE)</f>
        <v>1</v>
      </c>
      <c r="AC1111" s="19" t="str">
        <f>VLOOKUP(Table2[[#This Row],[Home/Neutral]],division_lookup,9,FALSE)</f>
        <v>NW</v>
      </c>
      <c r="AD1111" s="19"/>
      <c r="AE1111" s="19" t="str">
        <f>IF(Table2[[#This Row],[Total EV ®]]&lt;Table2[[#This Row],[Total (V)]],"UNDER","OVER")</f>
        <v>OVER</v>
      </c>
      <c r="AF1111" s="30">
        <f>Table2[[#This Row],[(A) Spread]]-Table2[[#This Row],[Spread (V)]]</f>
        <v>0</v>
      </c>
      <c r="AG1111" s="19"/>
      <c r="AH1111" s="2">
        <f>Table2[[#This Row],[EV]]-Table2[[#This Row],[Spread (V)]]</f>
        <v>0.45292887998161291</v>
      </c>
      <c r="AI1111" s="22">
        <f>Table2[[#This Row],[(A)]]-Table2[[#This Row],[Spread]]</f>
        <v>-0.43511848341233084</v>
      </c>
      <c r="AJ1111" s="1">
        <f>Table2[[#This Row],[(A) Err]]^2</f>
        <v>0.18932809460704683</v>
      </c>
      <c r="AK1111" s="6">
        <f>Table2[[#This Row],[EV]]-Table2[[#This Row],[Spread]]</f>
        <v>0.45292887998161291</v>
      </c>
      <c r="AL1111" s="1">
        <f>Table2[[#This Row],[EV Err]]^2</f>
        <v>0.20514457032139832</v>
      </c>
    </row>
    <row r="1112" spans="1:38" x14ac:dyDescent="0.25">
      <c r="A1112" t="s">
        <v>190</v>
      </c>
      <c r="B1112" t="s">
        <v>26</v>
      </c>
      <c r="C1112" t="s">
        <v>30</v>
      </c>
      <c r="K1112" s="25">
        <f>(Table2[[#This Row],[Home Pace]]/100)*(VLOOKUP(Table2[[#This Row],[Home/Neutral]],home_lookup,8,FALSE)+VLOOKUP(Table2[[#This Row],[Home/Neutral]],OFR_lookup,2,FALSE)+VLOOKUP(Table2[[#This Row],[Visitor/Neutral]],def_diff_lookup,6,FALSE))</f>
        <v>108.70416358918159</v>
      </c>
      <c r="L1112" s="25"/>
      <c r="M1112" s="25">
        <f>(Table2[[#This Row],[Away Pace]]/100)*(VLOOKUP(Table2[[#This Row],[Visitor/Neutral]],OFR_lookup,2,FALSE)+VLOOKUP(Table2[[#This Row],[Home/Neutral]],def_diff_lookup,6,FALSE))</f>
        <v>104.04128533333335</v>
      </c>
      <c r="N1112" s="25"/>
      <c r="O1112" s="25"/>
      <c r="P1112">
        <f>VLOOKUP(Table2[[#This Row],[Home/Neutral]],pace_lookup,7,FALSE)</f>
        <v>96</v>
      </c>
      <c r="Q1112" s="5">
        <f>VLOOKUP(Table2[[#This Row],[Visitor/Neutral]],pace_lookup,7,FALSE)</f>
        <v>96.8</v>
      </c>
      <c r="R1112" s="9"/>
      <c r="V1112" s="2">
        <f>-home-VLOOKUP(Table2[[#This Row],[Home/Neutral]],rtg_vlookup,4,FALSE)+VLOOKUP(Table2[[#This Row],[Visitor/Neutral]],rtg_vlookup,4,FALSE)</f>
        <v>-5.0151184834123308</v>
      </c>
      <c r="W1112" s="25"/>
      <c r="X1112" s="2"/>
      <c r="Y1112" s="2">
        <f>Table2[[#This Row],[Away EV]]-Table2[[#This Row],[Home EV]]</f>
        <v>-4.6628782558482413</v>
      </c>
      <c r="Z1112" s="33"/>
      <c r="AA1112" s="34"/>
      <c r="AB1112" s="5" t="b">
        <f>IF(VLOOKUP(Table2[[#This Row],[Home/Neutral]],division_lookup,9,FALSE)=VLOOKUP(Table2[[#This Row],[Visitor/Neutral]],division_lookup,9,FALSE),TRUE,FALSE)</f>
        <v>0</v>
      </c>
      <c r="AC1112" s="19" t="str">
        <f>VLOOKUP(Table2[[#This Row],[Home/Neutral]],division_lookup,9,FALSE)</f>
        <v>A</v>
      </c>
      <c r="AD1112" s="19"/>
      <c r="AE1112" s="19" t="str">
        <f>IF(Table2[[#This Row],[Total EV ®]]&lt;Table2[[#This Row],[Total (V)]],"UNDER","OVER")</f>
        <v>OVER</v>
      </c>
      <c r="AF1112" s="30">
        <f>Table2[[#This Row],[(A) Spread]]-Table2[[#This Row],[Spread (V)]]</f>
        <v>0</v>
      </c>
      <c r="AG1112" s="19"/>
      <c r="AH1112" s="2">
        <f>Table2[[#This Row],[EV]]-Table2[[#This Row],[Spread (V)]]</f>
        <v>-4.6628782558482413</v>
      </c>
      <c r="AI1112" s="22">
        <f>Table2[[#This Row],[(A)]]-Table2[[#This Row],[Spread]]</f>
        <v>-5.0151184834123308</v>
      </c>
      <c r="AJ1112" s="1">
        <f>Table2[[#This Row],[(A) Err]]^2</f>
        <v>25.151413402663998</v>
      </c>
      <c r="AK1112" s="6">
        <f>Table2[[#This Row],[EV]]-Table2[[#This Row],[Spread]]</f>
        <v>-4.6628782558482413</v>
      </c>
      <c r="AL1112" s="1">
        <f>Table2[[#This Row],[EV Err]]^2</f>
        <v>21.742433628862337</v>
      </c>
    </row>
    <row r="1113" spans="1:38" x14ac:dyDescent="0.25">
      <c r="A1113" t="s">
        <v>190</v>
      </c>
      <c r="B1113" t="s">
        <v>4</v>
      </c>
      <c r="C1113" t="s">
        <v>28</v>
      </c>
      <c r="K1113" s="25">
        <f>(Table2[[#This Row],[Home Pace]]/100)*(VLOOKUP(Table2[[#This Row],[Home/Neutral]],home_lookup,8,FALSE)+VLOOKUP(Table2[[#This Row],[Home/Neutral]],OFR_lookup,2,FALSE)+VLOOKUP(Table2[[#This Row],[Visitor/Neutral]],def_diff_lookup,6,FALSE))</f>
        <v>105.18942781393446</v>
      </c>
      <c r="L1113" s="25"/>
      <c r="M1113" s="25">
        <f>(Table2[[#This Row],[Away Pace]]/100)*(VLOOKUP(Table2[[#This Row],[Visitor/Neutral]],OFR_lookup,2,FALSE)+VLOOKUP(Table2[[#This Row],[Home/Neutral]],def_diff_lookup,6,FALSE))</f>
        <v>97.542912000000001</v>
      </c>
      <c r="N1113" s="25"/>
      <c r="O1113" s="25"/>
      <c r="P1113">
        <f>VLOOKUP(Table2[[#This Row],[Home/Neutral]],pace_lookup,7,FALSE)</f>
        <v>96.6</v>
      </c>
      <c r="Q1113" s="5">
        <f>VLOOKUP(Table2[[#This Row],[Visitor/Neutral]],pace_lookup,7,FALSE)</f>
        <v>96.3</v>
      </c>
      <c r="R1113" s="9"/>
      <c r="V1113" s="2">
        <f>-home-VLOOKUP(Table2[[#This Row],[Home/Neutral]],rtg_vlookup,4,FALSE)+VLOOKUP(Table2[[#This Row],[Visitor/Neutral]],rtg_vlookup,4,FALSE)</f>
        <v>-19.275118483412331</v>
      </c>
      <c r="W1113" s="25"/>
      <c r="X1113" s="2"/>
      <c r="Y1113" s="2">
        <f>Table2[[#This Row],[Away EV]]-Table2[[#This Row],[Home EV]]</f>
        <v>-7.6465158139344567</v>
      </c>
      <c r="Z1113" s="33"/>
      <c r="AA1113" s="34"/>
      <c r="AB1113" s="5" t="b">
        <f>IF(VLOOKUP(Table2[[#This Row],[Home/Neutral]],division_lookup,9,FALSE)=VLOOKUP(Table2[[#This Row],[Visitor/Neutral]],division_lookup,9,FALSE),TRUE,FALSE)</f>
        <v>0</v>
      </c>
      <c r="AC1113" s="19" t="str">
        <f>VLOOKUP(Table2[[#This Row],[Home/Neutral]],division_lookup,9,FALSE)</f>
        <v>P</v>
      </c>
      <c r="AD1113" s="19"/>
      <c r="AE1113" s="19" t="str">
        <f>IF(Table2[[#This Row],[Total EV ®]]&lt;Table2[[#This Row],[Total (V)]],"UNDER","OVER")</f>
        <v>OVER</v>
      </c>
      <c r="AF1113" s="30">
        <f>Table2[[#This Row],[(A) Spread]]-Table2[[#This Row],[Spread (V)]]</f>
        <v>0</v>
      </c>
      <c r="AG1113" s="19"/>
      <c r="AH1113" s="2">
        <f>Table2[[#This Row],[EV]]-Table2[[#This Row],[Spread (V)]]</f>
        <v>-7.6465158139344567</v>
      </c>
      <c r="AI1113" s="22">
        <f>Table2[[#This Row],[(A)]]-Table2[[#This Row],[Spread]]</f>
        <v>-19.275118483412331</v>
      </c>
      <c r="AJ1113" s="1">
        <f>Table2[[#This Row],[(A) Err]]^2</f>
        <v>371.53019254958372</v>
      </c>
      <c r="AK1113" s="6">
        <f>Table2[[#This Row],[EV]]-Table2[[#This Row],[Spread]]</f>
        <v>-7.6465158139344567</v>
      </c>
      <c r="AL1113" s="1">
        <f>Table2[[#This Row],[EV Err]]^2</f>
        <v>58.469204092749727</v>
      </c>
    </row>
    <row r="1114" spans="1:38" x14ac:dyDescent="0.25">
      <c r="A1114" t="s">
        <v>190</v>
      </c>
      <c r="B1114" t="s">
        <v>23</v>
      </c>
      <c r="C1114" t="s">
        <v>33</v>
      </c>
      <c r="K1114" s="25">
        <f>(Table2[[#This Row],[Home Pace]]/100)*(VLOOKUP(Table2[[#This Row],[Home/Neutral]],home_lookup,8,FALSE)+VLOOKUP(Table2[[#This Row],[Home/Neutral]],OFR_lookup,2,FALSE)+VLOOKUP(Table2[[#This Row],[Visitor/Neutral]],def_diff_lookup,6,FALSE))</f>
        <v>104.22838735871359</v>
      </c>
      <c r="L1114" s="25"/>
      <c r="M1114" s="25">
        <f>(Table2[[#This Row],[Away Pace]]/100)*(VLOOKUP(Table2[[#This Row],[Visitor/Neutral]],OFR_lookup,2,FALSE)+VLOOKUP(Table2[[#This Row],[Home/Neutral]],def_diff_lookup,6,FALSE))</f>
        <v>97.385594666666677</v>
      </c>
      <c r="N1114" s="25"/>
      <c r="O1114" s="25"/>
      <c r="P1114">
        <f>VLOOKUP(Table2[[#This Row],[Home/Neutral]],pace_lookup,7,FALSE)</f>
        <v>92.5</v>
      </c>
      <c r="Q1114" s="5">
        <f>VLOOKUP(Table2[[#This Row],[Visitor/Neutral]],pace_lookup,7,FALSE)</f>
        <v>98.2</v>
      </c>
      <c r="R1114" s="9"/>
      <c r="V1114" s="2">
        <f>-home-VLOOKUP(Table2[[#This Row],[Home/Neutral]],rtg_vlookup,4,FALSE)+VLOOKUP(Table2[[#This Row],[Visitor/Neutral]],rtg_vlookup,4,FALSE)</f>
        <v>-10.365118483412331</v>
      </c>
      <c r="W1114" s="25"/>
      <c r="X1114" s="2"/>
      <c r="Y1114" s="2">
        <f>Table2[[#This Row],[Away EV]]-Table2[[#This Row],[Home EV]]</f>
        <v>-6.8427926920469133</v>
      </c>
      <c r="Z1114" s="33"/>
      <c r="AA1114" s="34"/>
      <c r="AB1114" s="5" t="b">
        <f>IF(VLOOKUP(Table2[[#This Row],[Home/Neutral]],division_lookup,9,FALSE)=VLOOKUP(Table2[[#This Row],[Visitor/Neutral]],division_lookup,9,FALSE),TRUE,FALSE)</f>
        <v>0</v>
      </c>
      <c r="AC1114" s="19" t="str">
        <f>VLOOKUP(Table2[[#This Row],[Home/Neutral]],division_lookup,9,FALSE)</f>
        <v>SW</v>
      </c>
      <c r="AD1114" s="19"/>
      <c r="AE1114" s="19" t="str">
        <f>IF(Table2[[#This Row],[Total EV ®]]&lt;Table2[[#This Row],[Total (V)]],"UNDER","OVER")</f>
        <v>OVER</v>
      </c>
      <c r="AF1114" s="30">
        <f>Table2[[#This Row],[(A) Spread]]-Table2[[#This Row],[Spread (V)]]</f>
        <v>0</v>
      </c>
      <c r="AG1114" s="19"/>
      <c r="AH1114" s="2">
        <f>Table2[[#This Row],[EV]]-Table2[[#This Row],[Spread (V)]]</f>
        <v>-6.8427926920469133</v>
      </c>
      <c r="AI1114" s="22">
        <f>Table2[[#This Row],[(A)]]-Table2[[#This Row],[Spread]]</f>
        <v>-10.365118483412331</v>
      </c>
      <c r="AJ1114" s="1">
        <f>Table2[[#This Row],[(A) Err]]^2</f>
        <v>107.43568117517594</v>
      </c>
      <c r="AK1114" s="6">
        <f>Table2[[#This Row],[EV]]-Table2[[#This Row],[Spread]]</f>
        <v>-6.8427926920469133</v>
      </c>
      <c r="AL1114" s="1">
        <f>Table2[[#This Row],[EV Err]]^2</f>
        <v>46.82381182633064</v>
      </c>
    </row>
    <row r="1115" spans="1:38" x14ac:dyDescent="0.25">
      <c r="A1115" t="s">
        <v>190</v>
      </c>
      <c r="B1115" t="s">
        <v>34</v>
      </c>
      <c r="C1115" t="s">
        <v>37</v>
      </c>
      <c r="K1115" s="25">
        <f>(Table2[[#This Row],[Home Pace]]/100)*(VLOOKUP(Table2[[#This Row],[Home/Neutral]],home_lookup,8,FALSE)+VLOOKUP(Table2[[#This Row],[Home/Neutral]],OFR_lookup,2,FALSE)+VLOOKUP(Table2[[#This Row],[Visitor/Neutral]],def_diff_lookup,6,FALSE))</f>
        <v>101.87439864565556</v>
      </c>
      <c r="L1115" s="25"/>
      <c r="M1115" s="25">
        <f>(Table2[[#This Row],[Away Pace]]/100)*(VLOOKUP(Table2[[#This Row],[Visitor/Neutral]],OFR_lookup,2,FALSE)+VLOOKUP(Table2[[#This Row],[Home/Neutral]],def_diff_lookup,6,FALSE))</f>
        <v>87.956113999999999</v>
      </c>
      <c r="N1115" s="25"/>
      <c r="O1115" s="25"/>
      <c r="P1115">
        <f>VLOOKUP(Table2[[#This Row],[Home/Neutral]],pace_lookup,7,FALSE)</f>
        <v>98.8</v>
      </c>
      <c r="Q1115" s="5">
        <f>VLOOKUP(Table2[[#This Row],[Visitor/Neutral]],pace_lookup,7,FALSE)</f>
        <v>92.1</v>
      </c>
      <c r="R1115" s="9"/>
      <c r="V1115" s="2">
        <f>-home-VLOOKUP(Table2[[#This Row],[Home/Neutral]],rtg_vlookup,4,FALSE)+VLOOKUP(Table2[[#This Row],[Visitor/Neutral]],rtg_vlookup,4,FALSE)</f>
        <v>-5.1751184834123309</v>
      </c>
      <c r="W1115" s="25"/>
      <c r="X1115" s="2"/>
      <c r="Y1115" s="2">
        <f>Table2[[#This Row],[Away EV]]-Table2[[#This Row],[Home EV]]</f>
        <v>-13.918284645655561</v>
      </c>
      <c r="Z1115" s="33"/>
      <c r="AA1115" s="34"/>
      <c r="AB1115" s="5" t="b">
        <f>IF(VLOOKUP(Table2[[#This Row],[Home/Neutral]],division_lookup,9,FALSE)=VLOOKUP(Table2[[#This Row],[Visitor/Neutral]],division_lookup,9,FALSE),TRUE,FALSE)</f>
        <v>1</v>
      </c>
      <c r="AC1115" s="19" t="str">
        <f>VLOOKUP(Table2[[#This Row],[Home/Neutral]],division_lookup,9,FALSE)</f>
        <v>SW</v>
      </c>
      <c r="AD1115" s="19"/>
      <c r="AE1115" s="19" t="str">
        <f>IF(Table2[[#This Row],[Total EV ®]]&lt;Table2[[#This Row],[Total (V)]],"UNDER","OVER")</f>
        <v>OVER</v>
      </c>
      <c r="AF1115" s="30">
        <f>Table2[[#This Row],[(A) Spread]]-Table2[[#This Row],[Spread (V)]]</f>
        <v>0</v>
      </c>
      <c r="AG1115" s="19"/>
      <c r="AH1115" s="2">
        <f>Table2[[#This Row],[EV]]-Table2[[#This Row],[Spread (V)]]</f>
        <v>-13.918284645655561</v>
      </c>
      <c r="AI1115" s="22">
        <f>Table2[[#This Row],[(A)]]-Table2[[#This Row],[Spread]]</f>
        <v>-5.1751184834123309</v>
      </c>
      <c r="AJ1115" s="1">
        <f>Table2[[#This Row],[(A) Err]]^2</f>
        <v>26.781851317355944</v>
      </c>
      <c r="AK1115" s="6">
        <f>Table2[[#This Row],[EV]]-Table2[[#This Row],[Spread]]</f>
        <v>-13.918284645655561</v>
      </c>
      <c r="AL1115" s="1">
        <f>Table2[[#This Row],[EV Err]]^2</f>
        <v>193.71864747749134</v>
      </c>
    </row>
    <row r="1116" spans="1:38" x14ac:dyDescent="0.25">
      <c r="A1116" t="s">
        <v>190</v>
      </c>
      <c r="B1116" t="s">
        <v>31</v>
      </c>
      <c r="C1116" t="s">
        <v>21</v>
      </c>
      <c r="K1116" s="25">
        <f>(Table2[[#This Row],[Home Pace]]/100)*(VLOOKUP(Table2[[#This Row],[Home/Neutral]],home_lookup,8,FALSE)+VLOOKUP(Table2[[#This Row],[Home/Neutral]],OFR_lookup,2,FALSE)+VLOOKUP(Table2[[#This Row],[Visitor/Neutral]],def_diff_lookup,6,FALSE))</f>
        <v>106.7325743021789</v>
      </c>
      <c r="L1116" s="25"/>
      <c r="M1116" s="25">
        <f>(Table2[[#This Row],[Away Pace]]/100)*(VLOOKUP(Table2[[#This Row],[Visitor/Neutral]],OFR_lookup,2,FALSE)+VLOOKUP(Table2[[#This Row],[Home/Neutral]],def_diff_lookup,6,FALSE))</f>
        <v>100.96418800000002</v>
      </c>
      <c r="N1116" s="25"/>
      <c r="O1116" s="25"/>
      <c r="P1116">
        <f>VLOOKUP(Table2[[#This Row],[Home/Neutral]],pace_lookup,7,FALSE)</f>
        <v>96</v>
      </c>
      <c r="Q1116" s="5">
        <f>VLOOKUP(Table2[[#This Row],[Visitor/Neutral]],pace_lookup,7,FALSE)</f>
        <v>94.2</v>
      </c>
      <c r="R1116" s="9"/>
      <c r="V1116" s="2">
        <f>-home-VLOOKUP(Table2[[#This Row],[Home/Neutral]],rtg_vlookup,4,FALSE)+VLOOKUP(Table2[[#This Row],[Visitor/Neutral]],rtg_vlookup,4,FALSE)</f>
        <v>-0.57511848341233063</v>
      </c>
      <c r="W1116" s="25"/>
      <c r="X1116" s="2"/>
      <c r="Y1116" s="2">
        <f>Table2[[#This Row],[Away EV]]-Table2[[#This Row],[Home EV]]</f>
        <v>-5.7683863021788824</v>
      </c>
      <c r="Z1116" s="33"/>
      <c r="AA1116" s="34"/>
      <c r="AB1116" s="5" t="b">
        <f>IF(VLOOKUP(Table2[[#This Row],[Home/Neutral]],division_lookup,9,FALSE)=VLOOKUP(Table2[[#This Row],[Visitor/Neutral]],division_lookup,9,FALSE),TRUE,FALSE)</f>
        <v>0</v>
      </c>
      <c r="AC1116" s="19" t="str">
        <f>VLOOKUP(Table2[[#This Row],[Home/Neutral]],division_lookup,9,FALSE)</f>
        <v>A</v>
      </c>
      <c r="AD1116" s="19"/>
      <c r="AE1116" s="19" t="str">
        <f>IF(Table2[[#This Row],[Total EV ®]]&lt;Table2[[#This Row],[Total (V)]],"UNDER","OVER")</f>
        <v>OVER</v>
      </c>
      <c r="AF1116" s="30">
        <f>Table2[[#This Row],[(A) Spread]]-Table2[[#This Row],[Spread (V)]]</f>
        <v>0</v>
      </c>
      <c r="AG1116" s="19"/>
      <c r="AH1116" s="2">
        <f>Table2[[#This Row],[EV]]-Table2[[#This Row],[Spread (V)]]</f>
        <v>-5.7683863021788824</v>
      </c>
      <c r="AI1116" s="22">
        <f>Table2[[#This Row],[(A)]]-Table2[[#This Row],[Spread]]</f>
        <v>-0.57511848341233063</v>
      </c>
      <c r="AJ1116" s="1">
        <f>Table2[[#This Row],[(A) Err]]^2</f>
        <v>0.33076126996249922</v>
      </c>
      <c r="AK1116" s="6">
        <f>Table2[[#This Row],[EV]]-Table2[[#This Row],[Spread]]</f>
        <v>-5.7683863021788824</v>
      </c>
      <c r="AL1116" s="1">
        <f>Table2[[#This Row],[EV Err]]^2</f>
        <v>33.274280531164962</v>
      </c>
    </row>
    <row r="1117" spans="1:38" x14ac:dyDescent="0.25">
      <c r="A1117" t="s">
        <v>190</v>
      </c>
      <c r="B1117" t="s">
        <v>38</v>
      </c>
      <c r="C1117" t="s">
        <v>18</v>
      </c>
      <c r="K1117" s="25">
        <f>(Table2[[#This Row],[Home Pace]]/100)*(VLOOKUP(Table2[[#This Row],[Home/Neutral]],home_lookup,8,FALSE)+VLOOKUP(Table2[[#This Row],[Home/Neutral]],OFR_lookup,2,FALSE)+VLOOKUP(Table2[[#This Row],[Visitor/Neutral]],def_diff_lookup,6,FALSE))</f>
        <v>102.05907167891479</v>
      </c>
      <c r="L1117" s="25"/>
      <c r="M1117" s="25">
        <f>(Table2[[#This Row],[Away Pace]]/100)*(VLOOKUP(Table2[[#This Row],[Visitor/Neutral]],OFR_lookup,2,FALSE)+VLOOKUP(Table2[[#This Row],[Home/Neutral]],def_diff_lookup,6,FALSE))</f>
        <v>105.04281333333334</v>
      </c>
      <c r="N1117" s="25"/>
      <c r="O1117" s="25"/>
      <c r="P1117">
        <f>VLOOKUP(Table2[[#This Row],[Home/Neutral]],pace_lookup,7,FALSE)</f>
        <v>94.2</v>
      </c>
      <c r="Q1117" s="5">
        <f>VLOOKUP(Table2[[#This Row],[Visitor/Neutral]],pace_lookup,7,FALSE)</f>
        <v>99.5</v>
      </c>
      <c r="R1117" s="9"/>
      <c r="V1117" s="2">
        <f>-home-VLOOKUP(Table2[[#This Row],[Home/Neutral]],rtg_vlookup,4,FALSE)+VLOOKUP(Table2[[#This Row],[Visitor/Neutral]],rtg_vlookup,4,FALSE)</f>
        <v>8.2948815165876688</v>
      </c>
      <c r="W1117" s="25"/>
      <c r="X1117" s="2"/>
      <c r="Y1117" s="2">
        <f>Table2[[#This Row],[Away EV]]-Table2[[#This Row],[Home EV]]</f>
        <v>2.9837416544185515</v>
      </c>
      <c r="Z1117" s="33"/>
      <c r="AA1117" s="34"/>
      <c r="AB1117" s="5" t="b">
        <f>IF(VLOOKUP(Table2[[#This Row],[Home/Neutral]],division_lookup,9,FALSE)=VLOOKUP(Table2[[#This Row],[Visitor/Neutral]],division_lookup,9,FALSE),TRUE,FALSE)</f>
        <v>0</v>
      </c>
      <c r="AC1117" s="19" t="str">
        <f>VLOOKUP(Table2[[#This Row],[Home/Neutral]],division_lookup,9,FALSE)</f>
        <v>SE</v>
      </c>
      <c r="AD1117" s="19"/>
      <c r="AE1117" s="19" t="str">
        <f>IF(Table2[[#This Row],[Total EV ®]]&lt;Table2[[#This Row],[Total (V)]],"UNDER","OVER")</f>
        <v>OVER</v>
      </c>
      <c r="AF1117" s="30">
        <f>Table2[[#This Row],[(A) Spread]]-Table2[[#This Row],[Spread (V)]]</f>
        <v>0</v>
      </c>
      <c r="AG1117" s="19"/>
      <c r="AH1117" s="2">
        <f>Table2[[#This Row],[EV]]-Table2[[#This Row],[Spread (V)]]</f>
        <v>2.9837416544185515</v>
      </c>
      <c r="AI1117" s="22">
        <f>Table2[[#This Row],[(A)]]-Table2[[#This Row],[Spread]]</f>
        <v>8.2948815165876688</v>
      </c>
      <c r="AJ1117" s="1">
        <f>Table2[[#This Row],[(A) Err]]^2</f>
        <v>68.805059374227739</v>
      </c>
      <c r="AK1117" s="6">
        <f>Table2[[#This Row],[EV]]-Table2[[#This Row],[Spread]]</f>
        <v>2.9837416544185515</v>
      </c>
      <c r="AL1117" s="1">
        <f>Table2[[#This Row],[EV Err]]^2</f>
        <v>8.9027142603123544</v>
      </c>
    </row>
    <row r="1118" spans="1:38" x14ac:dyDescent="0.25">
      <c r="A1118" t="s">
        <v>190</v>
      </c>
      <c r="B1118" t="s">
        <v>39</v>
      </c>
      <c r="C1118" t="s">
        <v>11</v>
      </c>
      <c r="K1118" s="25">
        <f>(Table2[[#This Row],[Home Pace]]/100)*(VLOOKUP(Table2[[#This Row],[Home/Neutral]],home_lookup,8,FALSE)+VLOOKUP(Table2[[#This Row],[Home/Neutral]],OFR_lookup,2,FALSE)+VLOOKUP(Table2[[#This Row],[Visitor/Neutral]],def_diff_lookup,6,FALSE))</f>
        <v>99.732772114685787</v>
      </c>
      <c r="L1118" s="25"/>
      <c r="M1118" s="25">
        <f>(Table2[[#This Row],[Away Pace]]/100)*(VLOOKUP(Table2[[#This Row],[Visitor/Neutral]],OFR_lookup,2,FALSE)+VLOOKUP(Table2[[#This Row],[Home/Neutral]],def_diff_lookup,6,FALSE))</f>
        <v>107.52711466666666</v>
      </c>
      <c r="N1118" s="25"/>
      <c r="O1118" s="25"/>
      <c r="P1118">
        <f>VLOOKUP(Table2[[#This Row],[Home/Neutral]],pace_lookup,7,FALSE)</f>
        <v>97.5</v>
      </c>
      <c r="Q1118" s="5">
        <f>VLOOKUP(Table2[[#This Row],[Visitor/Neutral]],pace_lookup,7,FALSE)</f>
        <v>99.7</v>
      </c>
      <c r="R1118" s="9"/>
      <c r="V1118" s="2">
        <f>-home-VLOOKUP(Table2[[#This Row],[Home/Neutral]],rtg_vlookup,4,FALSE)+VLOOKUP(Table2[[#This Row],[Visitor/Neutral]],rtg_vlookup,4,FALSE)</f>
        <v>12.864881516587669</v>
      </c>
      <c r="W1118" s="25"/>
      <c r="X1118" s="2"/>
      <c r="Y1118" s="2">
        <f>Table2[[#This Row],[Away EV]]-Table2[[#This Row],[Home EV]]</f>
        <v>7.7943425519808756</v>
      </c>
      <c r="Z1118" s="33"/>
      <c r="AA1118" s="34"/>
      <c r="AB1118" s="5" t="b">
        <f>IF(VLOOKUP(Table2[[#This Row],[Home/Neutral]],division_lookup,9,FALSE)=VLOOKUP(Table2[[#This Row],[Visitor/Neutral]],division_lookup,9,FALSE),TRUE,FALSE)</f>
        <v>0</v>
      </c>
      <c r="AC1118" s="19" t="str">
        <f>VLOOKUP(Table2[[#This Row],[Home/Neutral]],division_lookup,9,FALSE)</f>
        <v>A</v>
      </c>
      <c r="AD1118" s="19"/>
      <c r="AE1118" s="19" t="str">
        <f>IF(Table2[[#This Row],[Total EV ®]]&lt;Table2[[#This Row],[Total (V)]],"UNDER","OVER")</f>
        <v>OVER</v>
      </c>
      <c r="AF1118" s="30">
        <f>Table2[[#This Row],[(A) Spread]]-Table2[[#This Row],[Spread (V)]]</f>
        <v>0</v>
      </c>
      <c r="AG1118" s="19"/>
      <c r="AH1118" s="2">
        <f>Table2[[#This Row],[EV]]-Table2[[#This Row],[Spread (V)]]</f>
        <v>7.7943425519808756</v>
      </c>
      <c r="AI1118" s="22">
        <f>Table2[[#This Row],[(A)]]-Table2[[#This Row],[Spread]]</f>
        <v>12.864881516587669</v>
      </c>
      <c r="AJ1118" s="1">
        <f>Table2[[#This Row],[(A) Err]]^2</f>
        <v>165.50517643583905</v>
      </c>
      <c r="AK1118" s="6">
        <f>Table2[[#This Row],[EV]]-Table2[[#This Row],[Spread]]</f>
        <v>7.7943425519808756</v>
      </c>
      <c r="AL1118" s="1">
        <f>Table2[[#This Row],[EV Err]]^2</f>
        <v>60.751775817619745</v>
      </c>
    </row>
    <row r="1119" spans="1:38" x14ac:dyDescent="0.25">
      <c r="A1119" t="s">
        <v>190</v>
      </c>
      <c r="B1119" t="s">
        <v>29</v>
      </c>
      <c r="C1119" t="s">
        <v>20</v>
      </c>
      <c r="K1119" s="25">
        <f>(Table2[[#This Row],[Home Pace]]/100)*(VLOOKUP(Table2[[#This Row],[Home/Neutral]],home_lookup,8,FALSE)+VLOOKUP(Table2[[#This Row],[Home/Neutral]],OFR_lookup,2,FALSE)+VLOOKUP(Table2[[#This Row],[Visitor/Neutral]],def_diff_lookup,6,FALSE))</f>
        <v>107.59160926898524</v>
      </c>
      <c r="L1119" s="25"/>
      <c r="M1119" s="25">
        <f>(Table2[[#This Row],[Away Pace]]/100)*(VLOOKUP(Table2[[#This Row],[Visitor/Neutral]],OFR_lookup,2,FALSE)+VLOOKUP(Table2[[#This Row],[Home/Neutral]],def_diff_lookup,6,FALSE))</f>
        <v>99.91788600000001</v>
      </c>
      <c r="N1119" s="25"/>
      <c r="O1119" s="25"/>
      <c r="P1119">
        <f>VLOOKUP(Table2[[#This Row],[Home/Neutral]],pace_lookup,7,FALSE)</f>
        <v>93.8</v>
      </c>
      <c r="Q1119" s="5">
        <f>VLOOKUP(Table2[[#This Row],[Visitor/Neutral]],pace_lookup,7,FALSE)</f>
        <v>90.9</v>
      </c>
      <c r="R1119" s="9"/>
      <c r="V1119" s="2">
        <f>-home-VLOOKUP(Table2[[#This Row],[Home/Neutral]],rtg_vlookup,4,FALSE)+VLOOKUP(Table2[[#This Row],[Visitor/Neutral]],rtg_vlookup,4,FALSE)</f>
        <v>1.3048815165876693</v>
      </c>
      <c r="W1119" s="25"/>
      <c r="X1119" s="2"/>
      <c r="Y1119" s="2">
        <f>Table2[[#This Row],[Away EV]]-Table2[[#This Row],[Home EV]]</f>
        <v>-7.6737232689852277</v>
      </c>
      <c r="Z1119" s="33"/>
      <c r="AA1119" s="34"/>
      <c r="AB1119" s="5" t="b">
        <f>IF(VLOOKUP(Table2[[#This Row],[Home/Neutral]],division_lookup,9,FALSE)=VLOOKUP(Table2[[#This Row],[Visitor/Neutral]],division_lookup,9,FALSE),TRUE,FALSE)</f>
        <v>0</v>
      </c>
      <c r="AC1119" s="19" t="str">
        <f>VLOOKUP(Table2[[#This Row],[Home/Neutral]],division_lookup,9,FALSE)</f>
        <v>P</v>
      </c>
      <c r="AD1119" s="19"/>
      <c r="AE1119" s="19" t="str">
        <f>IF(Table2[[#This Row],[Total EV ®]]&lt;Table2[[#This Row],[Total (V)]],"UNDER","OVER")</f>
        <v>OVER</v>
      </c>
      <c r="AF1119" s="30">
        <f>Table2[[#This Row],[(A) Spread]]-Table2[[#This Row],[Spread (V)]]</f>
        <v>0</v>
      </c>
      <c r="AG1119" s="19"/>
      <c r="AH1119" s="2">
        <f>Table2[[#This Row],[EV]]-Table2[[#This Row],[Spread (V)]]</f>
        <v>-7.6737232689852277</v>
      </c>
      <c r="AI1119" s="22">
        <f>Table2[[#This Row],[(A)]]-Table2[[#This Row],[Spread]]</f>
        <v>1.3048815165876693</v>
      </c>
      <c r="AJ1119" s="1">
        <f>Table2[[#This Row],[(A) Err]]^2</f>
        <v>1.7027157723321358</v>
      </c>
      <c r="AK1119" s="6">
        <f>Table2[[#This Row],[EV]]-Table2[[#This Row],[Spread]]</f>
        <v>-7.6737232689852277</v>
      </c>
      <c r="AL1119" s="1">
        <f>Table2[[#This Row],[EV Err]]^2</f>
        <v>58.886028808965328</v>
      </c>
    </row>
    <row r="1120" spans="1:38" x14ac:dyDescent="0.25">
      <c r="A1120" t="s">
        <v>190</v>
      </c>
      <c r="B1120" t="s">
        <v>6</v>
      </c>
      <c r="C1120" t="s">
        <v>10</v>
      </c>
      <c r="K1120" s="25">
        <f>(Table2[[#This Row],[Home Pace]]/100)*(VLOOKUP(Table2[[#This Row],[Home/Neutral]],home_lookup,8,FALSE)+VLOOKUP(Table2[[#This Row],[Home/Neutral]],OFR_lookup,2,FALSE)+VLOOKUP(Table2[[#This Row],[Visitor/Neutral]],def_diff_lookup,6,FALSE))</f>
        <v>104.49323787062244</v>
      </c>
      <c r="L1120" s="25"/>
      <c r="M1120" s="25">
        <f>(Table2[[#This Row],[Away Pace]]/100)*(VLOOKUP(Table2[[#This Row],[Visitor/Neutral]],OFR_lookup,2,FALSE)+VLOOKUP(Table2[[#This Row],[Home/Neutral]],def_diff_lookup,6,FALSE))</f>
        <v>114.40284866666667</v>
      </c>
      <c r="N1120" s="25"/>
      <c r="O1120" s="25"/>
      <c r="P1120">
        <f>VLOOKUP(Table2[[#This Row],[Home/Neutral]],pace_lookup,7,FALSE)</f>
        <v>93.1</v>
      </c>
      <c r="Q1120" s="5">
        <f>VLOOKUP(Table2[[#This Row],[Visitor/Neutral]],pace_lookup,7,FALSE)</f>
        <v>100.3</v>
      </c>
      <c r="R1120" s="9"/>
      <c r="V1120" s="2">
        <f>-home-VLOOKUP(Table2[[#This Row],[Home/Neutral]],rtg_vlookup,4,FALSE)+VLOOKUP(Table2[[#This Row],[Visitor/Neutral]],rtg_vlookup,4,FALSE)</f>
        <v>-1.2451184834123303</v>
      </c>
      <c r="W1120" s="25"/>
      <c r="X1120" s="2"/>
      <c r="Y1120" s="2">
        <f>Table2[[#This Row],[Away EV]]-Table2[[#This Row],[Home EV]]</f>
        <v>9.9096107960442339</v>
      </c>
      <c r="Z1120" s="33"/>
      <c r="AA1120" s="34"/>
      <c r="AB1120" s="5" t="b">
        <f>IF(VLOOKUP(Table2[[#This Row],[Home/Neutral]],division_lookup,9,FALSE)=VLOOKUP(Table2[[#This Row],[Visitor/Neutral]],division_lookup,9,FALSE),TRUE,FALSE)</f>
        <v>0</v>
      </c>
      <c r="AC1120" s="19" t="str">
        <f>VLOOKUP(Table2[[#This Row],[Home/Neutral]],division_lookup,9,FALSE)</f>
        <v>SW</v>
      </c>
      <c r="AD1120" s="19"/>
      <c r="AE1120" s="19" t="str">
        <f>IF(Table2[[#This Row],[Total EV ®]]&lt;Table2[[#This Row],[Total (V)]],"UNDER","OVER")</f>
        <v>OVER</v>
      </c>
      <c r="AF1120" s="30">
        <f>Table2[[#This Row],[(A) Spread]]-Table2[[#This Row],[Spread (V)]]</f>
        <v>0</v>
      </c>
      <c r="AG1120" s="19"/>
      <c r="AH1120" s="2">
        <f>Table2[[#This Row],[EV]]-Table2[[#This Row],[Spread (V)]]</f>
        <v>9.9096107960442339</v>
      </c>
      <c r="AI1120" s="22">
        <f>Table2[[#This Row],[(A)]]-Table2[[#This Row],[Spread]]</f>
        <v>-1.2451184834123303</v>
      </c>
      <c r="AJ1120" s="1">
        <f>Table2[[#This Row],[(A) Err]]^2</f>
        <v>1.5503200377350215</v>
      </c>
      <c r="AK1120" s="6">
        <f>Table2[[#This Row],[EV]]-Table2[[#This Row],[Spread]]</f>
        <v>9.9096107960442339</v>
      </c>
      <c r="AL1120" s="1">
        <f>Table2[[#This Row],[EV Err]]^2</f>
        <v>98.200386129076435</v>
      </c>
    </row>
    <row r="1121" spans="1:38" x14ac:dyDescent="0.25">
      <c r="A1121" t="s">
        <v>190</v>
      </c>
      <c r="B1121" t="s">
        <v>14</v>
      </c>
      <c r="C1121" t="s">
        <v>16</v>
      </c>
      <c r="K1121" s="25">
        <f>(Table2[[#This Row],[Home Pace]]/100)*(VLOOKUP(Table2[[#This Row],[Home/Neutral]],home_lookup,8,FALSE)+VLOOKUP(Table2[[#This Row],[Home/Neutral]],OFR_lookup,2,FALSE)+VLOOKUP(Table2[[#This Row],[Visitor/Neutral]],def_diff_lookup,6,FALSE))</f>
        <v>105.47035414241452</v>
      </c>
      <c r="L1121" s="25"/>
      <c r="M1121" s="25">
        <f>(Table2[[#This Row],[Away Pace]]/100)*(VLOOKUP(Table2[[#This Row],[Visitor/Neutral]],OFR_lookup,2,FALSE)+VLOOKUP(Table2[[#This Row],[Home/Neutral]],def_diff_lookup,6,FALSE))</f>
        <v>106.3244</v>
      </c>
      <c r="N1121" s="25"/>
      <c r="O1121" s="25"/>
      <c r="P1121">
        <f>VLOOKUP(Table2[[#This Row],[Home/Neutral]],pace_lookup,7,FALSE)</f>
        <v>95.9</v>
      </c>
      <c r="Q1121" s="5">
        <f>VLOOKUP(Table2[[#This Row],[Visitor/Neutral]],pace_lookup,7,FALSE)</f>
        <v>97.5</v>
      </c>
      <c r="R1121" s="9"/>
      <c r="V1121" s="2">
        <f>-home-VLOOKUP(Table2[[#This Row],[Home/Neutral]],rtg_vlookup,4,FALSE)+VLOOKUP(Table2[[#This Row],[Visitor/Neutral]],rtg_vlookup,4,FALSE)</f>
        <v>-5.0751184834123304</v>
      </c>
      <c r="W1121" s="25"/>
      <c r="X1121" s="2"/>
      <c r="Y1121" s="2">
        <f>Table2[[#This Row],[Away EV]]-Table2[[#This Row],[Home EV]]</f>
        <v>0.85404585758547569</v>
      </c>
      <c r="Z1121" s="33"/>
      <c r="AA1121" s="34"/>
      <c r="AB1121" s="5" t="b">
        <f>IF(VLOOKUP(Table2[[#This Row],[Home/Neutral]],division_lookup,9,FALSE)=VLOOKUP(Table2[[#This Row],[Visitor/Neutral]],division_lookup,9,FALSE),TRUE,FALSE)</f>
        <v>0</v>
      </c>
      <c r="AC1121" s="19" t="str">
        <f>VLOOKUP(Table2[[#This Row],[Home/Neutral]],division_lookup,9,FALSE)</f>
        <v>A</v>
      </c>
      <c r="AD1121" s="19"/>
      <c r="AE1121" s="19" t="str">
        <f>IF(Table2[[#This Row],[Total EV ®]]&lt;Table2[[#This Row],[Total (V)]],"UNDER","OVER")</f>
        <v>OVER</v>
      </c>
      <c r="AF1121" s="30">
        <f>Table2[[#This Row],[(A) Spread]]-Table2[[#This Row],[Spread (V)]]</f>
        <v>0</v>
      </c>
      <c r="AG1121" s="19"/>
      <c r="AH1121" s="2">
        <f>Table2[[#This Row],[EV]]-Table2[[#This Row],[Spread (V)]]</f>
        <v>0.85404585758547569</v>
      </c>
      <c r="AI1121" s="22">
        <f>Table2[[#This Row],[(A)]]-Table2[[#This Row],[Spread]]</f>
        <v>-5.0751184834123304</v>
      </c>
      <c r="AJ1121" s="1">
        <f>Table2[[#This Row],[(A) Err]]^2</f>
        <v>25.756827620673473</v>
      </c>
      <c r="AK1121" s="6">
        <f>Table2[[#This Row],[EV]]-Table2[[#This Row],[Spread]]</f>
        <v>0.85404585758547569</v>
      </c>
      <c r="AL1121" s="1">
        <f>Table2[[#This Row],[EV Err]]^2</f>
        <v>0.72939432685891059</v>
      </c>
    </row>
    <row r="1122" spans="1:38" x14ac:dyDescent="0.25">
      <c r="A1122" t="s">
        <v>191</v>
      </c>
      <c r="B1122" t="s">
        <v>13</v>
      </c>
      <c r="C1122" t="s">
        <v>8</v>
      </c>
      <c r="K1122" s="25">
        <f>(Table2[[#This Row],[Home Pace]]/100)*(VLOOKUP(Table2[[#This Row],[Home/Neutral]],home_lookup,8,FALSE)+VLOOKUP(Table2[[#This Row],[Home/Neutral]],OFR_lookup,2,FALSE)+VLOOKUP(Table2[[#This Row],[Visitor/Neutral]],def_diff_lookup,6,FALSE))</f>
        <v>103.53049108450401</v>
      </c>
      <c r="L1122" s="25"/>
      <c r="M1122" s="25">
        <f>(Table2[[#This Row],[Away Pace]]/100)*(VLOOKUP(Table2[[#This Row],[Visitor/Neutral]],OFR_lookup,2,FALSE)+VLOOKUP(Table2[[#This Row],[Home/Neutral]],def_diff_lookup,6,FALSE))</f>
        <v>107.406648</v>
      </c>
      <c r="N1122" s="25"/>
      <c r="O1122" s="25"/>
      <c r="P1122">
        <f>VLOOKUP(Table2[[#This Row],[Home/Neutral]],pace_lookup,7,FALSE)</f>
        <v>94.5</v>
      </c>
      <c r="Q1122" s="5">
        <f>VLOOKUP(Table2[[#This Row],[Visitor/Neutral]],pace_lookup,7,FALSE)</f>
        <v>97.2</v>
      </c>
      <c r="R1122" s="9"/>
      <c r="V1122" s="2">
        <f>-home-VLOOKUP(Table2[[#This Row],[Home/Neutral]],rtg_vlookup,4,FALSE)+VLOOKUP(Table2[[#This Row],[Visitor/Neutral]],rtg_vlookup,4,FALSE)</f>
        <v>-1.505118483412331</v>
      </c>
      <c r="W1122" s="25"/>
      <c r="X1122" s="2"/>
      <c r="Y1122" s="2">
        <f>Table2[[#This Row],[Away EV]]-Table2[[#This Row],[Home EV]]</f>
        <v>3.8761569154959972</v>
      </c>
      <c r="Z1122" s="33"/>
      <c r="AA1122" s="34"/>
      <c r="AB1122" s="5" t="b">
        <f>IF(VLOOKUP(Table2[[#This Row],[Home/Neutral]],division_lookup,9,FALSE)=VLOOKUP(Table2[[#This Row],[Visitor/Neutral]],division_lookup,9,FALSE),TRUE,FALSE)</f>
        <v>1</v>
      </c>
      <c r="AC1122" s="19" t="str">
        <f>VLOOKUP(Table2[[#This Row],[Home/Neutral]],division_lookup,9,FALSE)</f>
        <v>C</v>
      </c>
      <c r="AD1122" s="19"/>
      <c r="AE1122" s="19" t="str">
        <f>IF(Table2[[#This Row],[Total EV ®]]&lt;Table2[[#This Row],[Total (V)]],"UNDER","OVER")</f>
        <v>OVER</v>
      </c>
      <c r="AF1122" s="30">
        <f>Table2[[#This Row],[(A) Spread]]-Table2[[#This Row],[Spread (V)]]</f>
        <v>0</v>
      </c>
      <c r="AG1122" s="19"/>
      <c r="AH1122" s="2">
        <f>Table2[[#This Row],[EV]]-Table2[[#This Row],[Spread (V)]]</f>
        <v>3.8761569154959972</v>
      </c>
      <c r="AI1122" s="22">
        <f>Table2[[#This Row],[(A)]]-Table2[[#This Row],[Spread]]</f>
        <v>-1.505118483412331</v>
      </c>
      <c r="AJ1122" s="1">
        <f>Table2[[#This Row],[(A) Err]]^2</f>
        <v>2.2653816491094352</v>
      </c>
      <c r="AK1122" s="6">
        <f>Table2[[#This Row],[EV]]-Table2[[#This Row],[Spread]]</f>
        <v>3.8761569154959972</v>
      </c>
      <c r="AL1122" s="1">
        <f>Table2[[#This Row],[EV Err]]^2</f>
        <v>15.024592433547443</v>
      </c>
    </row>
    <row r="1123" spans="1:38" x14ac:dyDescent="0.25">
      <c r="A1123" t="s">
        <v>191</v>
      </c>
      <c r="B1123" t="s">
        <v>25</v>
      </c>
      <c r="C1123" t="s">
        <v>35</v>
      </c>
      <c r="K1123" s="25">
        <f>(Table2[[#This Row],[Home Pace]]/100)*(VLOOKUP(Table2[[#This Row],[Home/Neutral]],home_lookup,8,FALSE)+VLOOKUP(Table2[[#This Row],[Home/Neutral]],OFR_lookup,2,FALSE)+VLOOKUP(Table2[[#This Row],[Visitor/Neutral]],def_diff_lookup,6,FALSE))</f>
        <v>106.64222444427256</v>
      </c>
      <c r="L1123" s="25"/>
      <c r="M1123" s="25">
        <f>(Table2[[#This Row],[Away Pace]]/100)*(VLOOKUP(Table2[[#This Row],[Visitor/Neutral]],OFR_lookup,2,FALSE)+VLOOKUP(Table2[[#This Row],[Home/Neutral]],def_diff_lookup,6,FALSE))</f>
        <v>102.07804133333336</v>
      </c>
      <c r="N1123" s="25"/>
      <c r="O1123" s="25"/>
      <c r="P1123">
        <f>VLOOKUP(Table2[[#This Row],[Home/Neutral]],pace_lookup,7,FALSE)</f>
        <v>94.4</v>
      </c>
      <c r="Q1123" s="5">
        <f>VLOOKUP(Table2[[#This Row],[Visitor/Neutral]],pace_lookup,7,FALSE)</f>
        <v>102.2</v>
      </c>
      <c r="R1123" s="9"/>
      <c r="V1123" s="2">
        <f>-home-VLOOKUP(Table2[[#This Row],[Home/Neutral]],rtg_vlookup,4,FALSE)+VLOOKUP(Table2[[#This Row],[Visitor/Neutral]],rtg_vlookup,4,FALSE)</f>
        <v>-9.0251184834123315</v>
      </c>
      <c r="W1123" s="25"/>
      <c r="X1123" s="2"/>
      <c r="Y1123" s="2">
        <f>Table2[[#This Row],[Away EV]]-Table2[[#This Row],[Home EV]]</f>
        <v>-4.5641831109391973</v>
      </c>
      <c r="Z1123" s="33"/>
      <c r="AA1123" s="34"/>
      <c r="AB1123" s="5" t="b">
        <f>IF(VLOOKUP(Table2[[#This Row],[Home/Neutral]],division_lookup,9,FALSE)=VLOOKUP(Table2[[#This Row],[Visitor/Neutral]],division_lookup,9,FALSE),TRUE,FALSE)</f>
        <v>0</v>
      </c>
      <c r="AC1123" s="19" t="str">
        <f>VLOOKUP(Table2[[#This Row],[Home/Neutral]],division_lookup,9,FALSE)</f>
        <v>C</v>
      </c>
      <c r="AD1123" s="19"/>
      <c r="AE1123" s="19" t="str">
        <f>IF(Table2[[#This Row],[Total EV ®]]&lt;Table2[[#This Row],[Total (V)]],"UNDER","OVER")</f>
        <v>OVER</v>
      </c>
      <c r="AF1123" s="30">
        <f>Table2[[#This Row],[(A) Spread]]-Table2[[#This Row],[Spread (V)]]</f>
        <v>0</v>
      </c>
      <c r="AG1123" s="19"/>
      <c r="AH1123" s="2">
        <f>Table2[[#This Row],[EV]]-Table2[[#This Row],[Spread (V)]]</f>
        <v>-4.5641831109391973</v>
      </c>
      <c r="AI1123" s="22">
        <f>Table2[[#This Row],[(A)]]-Table2[[#This Row],[Spread]]</f>
        <v>-9.0251184834123315</v>
      </c>
      <c r="AJ1123" s="1">
        <f>Table2[[#This Row],[(A) Err]]^2</f>
        <v>81.452763639630902</v>
      </c>
      <c r="AK1123" s="6">
        <f>Table2[[#This Row],[EV]]-Table2[[#This Row],[Spread]]</f>
        <v>-4.5641831109391973</v>
      </c>
      <c r="AL1123" s="1">
        <f>Table2[[#This Row],[EV Err]]^2</f>
        <v>20.831767470182609</v>
      </c>
    </row>
    <row r="1124" spans="1:38" x14ac:dyDescent="0.25">
      <c r="A1124" t="s">
        <v>191</v>
      </c>
      <c r="B1124" t="s">
        <v>22</v>
      </c>
      <c r="C1124" t="s">
        <v>24</v>
      </c>
      <c r="K1124" s="25">
        <f>(Table2[[#This Row],[Home Pace]]/100)*(VLOOKUP(Table2[[#This Row],[Home/Neutral]],home_lookup,8,FALSE)+VLOOKUP(Table2[[#This Row],[Home/Neutral]],OFR_lookup,2,FALSE)+VLOOKUP(Table2[[#This Row],[Visitor/Neutral]],def_diff_lookup,6,FALSE))</f>
        <v>114.67552922968976</v>
      </c>
      <c r="L1124" s="25"/>
      <c r="M1124" s="25">
        <f>(Table2[[#This Row],[Away Pace]]/100)*(VLOOKUP(Table2[[#This Row],[Visitor/Neutral]],OFR_lookup,2,FALSE)+VLOOKUP(Table2[[#This Row],[Home/Neutral]],def_diff_lookup,6,FALSE))</f>
        <v>114.44610600000003</v>
      </c>
      <c r="N1124" s="25"/>
      <c r="O1124" s="25"/>
      <c r="P1124">
        <f>VLOOKUP(Table2[[#This Row],[Home/Neutral]],pace_lookup,7,FALSE)</f>
        <v>94.7</v>
      </c>
      <c r="Q1124" s="5">
        <f>VLOOKUP(Table2[[#This Row],[Visitor/Neutral]],pace_lookup,7,FALSE)</f>
        <v>99.9</v>
      </c>
      <c r="R1124" s="9"/>
      <c r="V1124" s="2">
        <f>-home-VLOOKUP(Table2[[#This Row],[Home/Neutral]],rtg_vlookup,4,FALSE)+VLOOKUP(Table2[[#This Row],[Visitor/Neutral]],rtg_vlookup,4,FALSE)</f>
        <v>-3.3751184834123311</v>
      </c>
      <c r="W1124" s="25"/>
      <c r="X1124" s="2"/>
      <c r="Y1124" s="2">
        <f>Table2[[#This Row],[Away EV]]-Table2[[#This Row],[Home EV]]</f>
        <v>-0.22942322968972917</v>
      </c>
      <c r="Z1124" s="33"/>
      <c r="AA1124" s="34"/>
      <c r="AB1124" s="5" t="b">
        <f>IF(VLOOKUP(Table2[[#This Row],[Home/Neutral]],division_lookup,9,FALSE)=VLOOKUP(Table2[[#This Row],[Visitor/Neutral]],division_lookup,9,FALSE),TRUE,FALSE)</f>
        <v>0</v>
      </c>
      <c r="AC1124" s="19" t="str">
        <f>VLOOKUP(Table2[[#This Row],[Home/Neutral]],division_lookup,9,FALSE)</f>
        <v>NW</v>
      </c>
      <c r="AD1124" s="19"/>
      <c r="AE1124" s="19" t="str">
        <f>IF(Table2[[#This Row],[Total EV ®]]&lt;Table2[[#This Row],[Total (V)]],"UNDER","OVER")</f>
        <v>OVER</v>
      </c>
      <c r="AF1124" s="30">
        <f>Table2[[#This Row],[(A) Spread]]-Table2[[#This Row],[Spread (V)]]</f>
        <v>0</v>
      </c>
      <c r="AG1124" s="19"/>
      <c r="AH1124" s="2">
        <f>Table2[[#This Row],[EV]]-Table2[[#This Row],[Spread (V)]]</f>
        <v>-0.22942322968972917</v>
      </c>
      <c r="AI1124" s="22">
        <f>Table2[[#This Row],[(A)]]-Table2[[#This Row],[Spread]]</f>
        <v>-3.3751184834123311</v>
      </c>
      <c r="AJ1124" s="1">
        <f>Table2[[#This Row],[(A) Err]]^2</f>
        <v>11.391424777071554</v>
      </c>
      <c r="AK1124" s="6">
        <f>Table2[[#This Row],[EV]]-Table2[[#This Row],[Spread]]</f>
        <v>-0.22942322968972917</v>
      </c>
      <c r="AL1124" s="1">
        <f>Table2[[#This Row],[EV Err]]^2</f>
        <v>5.2635018321266228E-2</v>
      </c>
    </row>
    <row r="1125" spans="1:38" x14ac:dyDescent="0.25">
      <c r="A1125" t="s">
        <v>191</v>
      </c>
      <c r="B1125" t="s">
        <v>36</v>
      </c>
      <c r="C1125" t="s">
        <v>4</v>
      </c>
      <c r="K1125" s="25">
        <f>(Table2[[#This Row],[Home Pace]]/100)*(VLOOKUP(Table2[[#This Row],[Home/Neutral]],home_lookup,8,FALSE)+VLOOKUP(Table2[[#This Row],[Home/Neutral]],OFR_lookup,2,FALSE)+VLOOKUP(Table2[[#This Row],[Visitor/Neutral]],def_diff_lookup,6,FALSE))</f>
        <v>101.25841156604042</v>
      </c>
      <c r="L1125" s="25"/>
      <c r="M1125" s="25">
        <f>(Table2[[#This Row],[Away Pace]]/100)*(VLOOKUP(Table2[[#This Row],[Visitor/Neutral]],OFR_lookup,2,FALSE)+VLOOKUP(Table2[[#This Row],[Home/Neutral]],def_diff_lookup,6,FALSE))</f>
        <v>113.708504</v>
      </c>
      <c r="N1125" s="25"/>
      <c r="O1125" s="25"/>
      <c r="P1125">
        <f>VLOOKUP(Table2[[#This Row],[Home/Neutral]],pace_lookup,7,FALSE)</f>
        <v>102.2</v>
      </c>
      <c r="Q1125" s="5">
        <f>VLOOKUP(Table2[[#This Row],[Visitor/Neutral]],pace_lookup,7,FALSE)</f>
        <v>96.6</v>
      </c>
      <c r="R1125" s="9"/>
      <c r="V1125" s="2">
        <f>-home-VLOOKUP(Table2[[#This Row],[Home/Neutral]],rtg_vlookup,4,FALSE)+VLOOKUP(Table2[[#This Row],[Visitor/Neutral]],rtg_vlookup,4,FALSE)</f>
        <v>18.114881516587669</v>
      </c>
      <c r="W1125" s="25"/>
      <c r="X1125" s="2"/>
      <c r="Y1125" s="2">
        <f>Table2[[#This Row],[Away EV]]-Table2[[#This Row],[Home EV]]</f>
        <v>12.450092433959583</v>
      </c>
      <c r="Z1125" s="33"/>
      <c r="AA1125" s="34"/>
      <c r="AB1125" s="5" t="b">
        <f>IF(VLOOKUP(Table2[[#This Row],[Home/Neutral]],division_lookup,9,FALSE)=VLOOKUP(Table2[[#This Row],[Visitor/Neutral]],division_lookup,9,FALSE),TRUE,FALSE)</f>
        <v>1</v>
      </c>
      <c r="AC1125" s="19" t="str">
        <f>VLOOKUP(Table2[[#This Row],[Home/Neutral]],division_lookup,9,FALSE)</f>
        <v>P</v>
      </c>
      <c r="AD1125" s="19"/>
      <c r="AE1125" s="19" t="str">
        <f>IF(Table2[[#This Row],[Total EV ®]]&lt;Table2[[#This Row],[Total (V)]],"UNDER","OVER")</f>
        <v>OVER</v>
      </c>
      <c r="AF1125" s="30">
        <f>Table2[[#This Row],[(A) Spread]]-Table2[[#This Row],[Spread (V)]]</f>
        <v>0</v>
      </c>
      <c r="AG1125" s="19"/>
      <c r="AH1125" s="2">
        <f>Table2[[#This Row],[EV]]-Table2[[#This Row],[Spread (V)]]</f>
        <v>12.450092433959583</v>
      </c>
      <c r="AI1125" s="22">
        <f>Table2[[#This Row],[(A)]]-Table2[[#This Row],[Spread]]</f>
        <v>18.114881516587669</v>
      </c>
      <c r="AJ1125" s="1">
        <f>Table2[[#This Row],[(A) Err]]^2</f>
        <v>328.14893236000955</v>
      </c>
      <c r="AK1125" s="6">
        <f>Table2[[#This Row],[EV]]-Table2[[#This Row],[Spread]]</f>
        <v>12.450092433959583</v>
      </c>
      <c r="AL1125" s="1">
        <f>Table2[[#This Row],[EV Err]]^2</f>
        <v>155.00480161413765</v>
      </c>
    </row>
    <row r="1126" spans="1:38" x14ac:dyDescent="0.25">
      <c r="A1126" t="s">
        <v>191</v>
      </c>
      <c r="B1126" t="s">
        <v>32</v>
      </c>
      <c r="C1126" t="s">
        <v>17</v>
      </c>
      <c r="K1126" s="25">
        <f>(Table2[[#This Row],[Home Pace]]/100)*(VLOOKUP(Table2[[#This Row],[Home/Neutral]],home_lookup,8,FALSE)+VLOOKUP(Table2[[#This Row],[Home/Neutral]],OFR_lookup,2,FALSE)+VLOOKUP(Table2[[#This Row],[Visitor/Neutral]],def_diff_lookup,6,FALSE))</f>
        <v>112.4523311200184</v>
      </c>
      <c r="L1126" s="25"/>
      <c r="M1126" s="25">
        <f>(Table2[[#This Row],[Away Pace]]/100)*(VLOOKUP(Table2[[#This Row],[Visitor/Neutral]],OFR_lookup,2,FALSE)+VLOOKUP(Table2[[#This Row],[Home/Neutral]],def_diff_lookup,6,FALSE))</f>
        <v>114.96727466666668</v>
      </c>
      <c r="N1126" s="25"/>
      <c r="O1126" s="25"/>
      <c r="P1126">
        <f>VLOOKUP(Table2[[#This Row],[Home/Neutral]],pace_lookup,7,FALSE)</f>
        <v>98.6</v>
      </c>
      <c r="Q1126" s="5">
        <f>VLOOKUP(Table2[[#This Row],[Visitor/Neutral]],pace_lookup,7,FALSE)</f>
        <v>96.7</v>
      </c>
      <c r="R1126" s="9"/>
      <c r="V1126" s="2">
        <f>-home-VLOOKUP(Table2[[#This Row],[Home/Neutral]],rtg_vlookup,4,FALSE)+VLOOKUP(Table2[[#This Row],[Visitor/Neutral]],rtg_vlookup,4,FALSE)</f>
        <v>4.3948815165876693</v>
      </c>
      <c r="W1126" s="25"/>
      <c r="X1126" s="2"/>
      <c r="Y1126" s="2">
        <f>Table2[[#This Row],[Away EV]]-Table2[[#This Row],[Home EV]]</f>
        <v>2.5149435466482828</v>
      </c>
      <c r="Z1126" s="33"/>
      <c r="AA1126" s="34"/>
      <c r="AB1126" s="5" t="b">
        <f>IF(VLOOKUP(Table2[[#This Row],[Home/Neutral]],division_lookup,9,FALSE)=VLOOKUP(Table2[[#This Row],[Visitor/Neutral]],division_lookup,9,FALSE),TRUE,FALSE)</f>
        <v>0</v>
      </c>
      <c r="AC1126" s="19" t="str">
        <f>VLOOKUP(Table2[[#This Row],[Home/Neutral]],division_lookup,9,FALSE)</f>
        <v>NW</v>
      </c>
      <c r="AD1126" s="19"/>
      <c r="AE1126" s="19" t="str">
        <f>IF(Table2[[#This Row],[Total EV ®]]&lt;Table2[[#This Row],[Total (V)]],"UNDER","OVER")</f>
        <v>OVER</v>
      </c>
      <c r="AF1126" s="30">
        <f>Table2[[#This Row],[(A) Spread]]-Table2[[#This Row],[Spread (V)]]</f>
        <v>0</v>
      </c>
      <c r="AG1126" s="19"/>
      <c r="AH1126" s="2">
        <f>Table2[[#This Row],[EV]]-Table2[[#This Row],[Spread (V)]]</f>
        <v>2.5149435466482828</v>
      </c>
      <c r="AI1126" s="22">
        <f>Table2[[#This Row],[(A)]]-Table2[[#This Row],[Spread]]</f>
        <v>4.3948815165876693</v>
      </c>
      <c r="AJ1126" s="1">
        <f>Table2[[#This Row],[(A) Err]]^2</f>
        <v>19.314983544843933</v>
      </c>
      <c r="AK1126" s="6">
        <f>Table2[[#This Row],[EV]]-Table2[[#This Row],[Spread]]</f>
        <v>2.5149435466482828</v>
      </c>
      <c r="AL1126" s="1">
        <f>Table2[[#This Row],[EV Err]]^2</f>
        <v>6.3249410428278434</v>
      </c>
    </row>
    <row r="1127" spans="1:38" x14ac:dyDescent="0.25">
      <c r="A1127" t="s">
        <v>192</v>
      </c>
      <c r="B1127" t="s">
        <v>26</v>
      </c>
      <c r="C1127" t="s">
        <v>38</v>
      </c>
      <c r="K1127" s="25">
        <f>(Table2[[#This Row],[Home Pace]]/100)*(VLOOKUP(Table2[[#This Row],[Home/Neutral]],home_lookup,8,FALSE)+VLOOKUP(Table2[[#This Row],[Home/Neutral]],OFR_lookup,2,FALSE)+VLOOKUP(Table2[[#This Row],[Visitor/Neutral]],def_diff_lookup,6,FALSE))</f>
        <v>107.91696358918159</v>
      </c>
      <c r="L1127" s="25"/>
      <c r="M1127" s="25">
        <f>(Table2[[#This Row],[Away Pace]]/100)*(VLOOKUP(Table2[[#This Row],[Visitor/Neutral]],OFR_lookup,2,FALSE)+VLOOKUP(Table2[[#This Row],[Home/Neutral]],def_diff_lookup,6,FALSE))</f>
        <v>94.662208000000021</v>
      </c>
      <c r="N1127" s="25"/>
      <c r="O1127" s="25"/>
      <c r="P1127">
        <f>VLOOKUP(Table2[[#This Row],[Home/Neutral]],pace_lookup,7,FALSE)</f>
        <v>96</v>
      </c>
      <c r="Q1127" s="5">
        <f>VLOOKUP(Table2[[#This Row],[Visitor/Neutral]],pace_lookup,7,FALSE)</f>
        <v>94.2</v>
      </c>
      <c r="R1127" s="9"/>
      <c r="V1127" s="2">
        <f>-home-VLOOKUP(Table2[[#This Row],[Home/Neutral]],rtg_vlookup,4,FALSE)+VLOOKUP(Table2[[#This Row],[Visitor/Neutral]],rtg_vlookup,4,FALSE)</f>
        <v>-11.19511848341233</v>
      </c>
      <c r="W1127" s="25"/>
      <c r="X1127" s="2"/>
      <c r="Y1127" s="2">
        <f>Table2[[#This Row],[Away EV]]-Table2[[#This Row],[Home EV]]</f>
        <v>-13.25475558918157</v>
      </c>
      <c r="Z1127" s="33"/>
      <c r="AA1127" s="34"/>
      <c r="AB1127" s="5" t="b">
        <f>IF(VLOOKUP(Table2[[#This Row],[Home/Neutral]],division_lookup,9,FALSE)=VLOOKUP(Table2[[#This Row],[Visitor/Neutral]],division_lookup,9,FALSE),TRUE,FALSE)</f>
        <v>0</v>
      </c>
      <c r="AC1127" s="19" t="str">
        <f>VLOOKUP(Table2[[#This Row],[Home/Neutral]],division_lookup,9,FALSE)</f>
        <v>A</v>
      </c>
      <c r="AD1127" s="19"/>
      <c r="AE1127" s="19" t="str">
        <f>IF(Table2[[#This Row],[Total EV ®]]&lt;Table2[[#This Row],[Total (V)]],"UNDER","OVER")</f>
        <v>OVER</v>
      </c>
      <c r="AF1127" s="30">
        <f>Table2[[#This Row],[(A) Spread]]-Table2[[#This Row],[Spread (V)]]</f>
        <v>0</v>
      </c>
      <c r="AG1127" s="19"/>
      <c r="AH1127" s="2">
        <f>Table2[[#This Row],[EV]]-Table2[[#This Row],[Spread (V)]]</f>
        <v>-13.25475558918157</v>
      </c>
      <c r="AI1127" s="22">
        <f>Table2[[#This Row],[(A)]]-Table2[[#This Row],[Spread]]</f>
        <v>-11.19511848341233</v>
      </c>
      <c r="AJ1127" s="1">
        <f>Table2[[#This Row],[(A) Err]]^2</f>
        <v>125.33067785764038</v>
      </c>
      <c r="AK1127" s="6">
        <f>Table2[[#This Row],[EV]]-Table2[[#This Row],[Spread]]</f>
        <v>-13.25475558918157</v>
      </c>
      <c r="AL1127" s="1">
        <f>Table2[[#This Row],[EV Err]]^2</f>
        <v>175.68854572894008</v>
      </c>
    </row>
    <row r="1128" spans="1:38" x14ac:dyDescent="0.25">
      <c r="A1128" t="s">
        <v>192</v>
      </c>
      <c r="B1128" t="s">
        <v>16</v>
      </c>
      <c r="C1128" t="s">
        <v>27</v>
      </c>
      <c r="K1128" s="25">
        <f>(Table2[[#This Row],[Home Pace]]/100)*(VLOOKUP(Table2[[#This Row],[Home/Neutral]],home_lookup,8,FALSE)+VLOOKUP(Table2[[#This Row],[Home/Neutral]],OFR_lookup,2,FALSE)+VLOOKUP(Table2[[#This Row],[Visitor/Neutral]],def_diff_lookup,6,FALSE))</f>
        <v>103.30460601115951</v>
      </c>
      <c r="L1128" s="25"/>
      <c r="M1128" s="25">
        <f>(Table2[[#This Row],[Away Pace]]/100)*(VLOOKUP(Table2[[#This Row],[Visitor/Neutral]],OFR_lookup,2,FALSE)+VLOOKUP(Table2[[#This Row],[Home/Neutral]],def_diff_lookup,6,FALSE))</f>
        <v>102.49536000000001</v>
      </c>
      <c r="N1128" s="25"/>
      <c r="O1128" s="25"/>
      <c r="P1128">
        <f>VLOOKUP(Table2[[#This Row],[Home/Neutral]],pace_lookup,7,FALSE)</f>
        <v>97.5</v>
      </c>
      <c r="Q1128" s="5">
        <f>VLOOKUP(Table2[[#This Row],[Visitor/Neutral]],pace_lookup,7,FALSE)</f>
        <v>99</v>
      </c>
      <c r="R1128" s="9"/>
      <c r="V1128" s="2">
        <f>-home-VLOOKUP(Table2[[#This Row],[Home/Neutral]],rtg_vlookup,4,FALSE)+VLOOKUP(Table2[[#This Row],[Visitor/Neutral]],rtg_vlookup,4,FALSE)</f>
        <v>-5.9351184834123307</v>
      </c>
      <c r="W1128" s="25"/>
      <c r="X1128" s="2"/>
      <c r="Y1128" s="2">
        <f>Table2[[#This Row],[Away EV]]-Table2[[#This Row],[Home EV]]</f>
        <v>-0.80924601115950168</v>
      </c>
      <c r="Z1128" s="33"/>
      <c r="AA1128" s="34"/>
      <c r="AB1128" s="5" t="b">
        <f>IF(VLOOKUP(Table2[[#This Row],[Home/Neutral]],division_lookup,9,FALSE)=VLOOKUP(Table2[[#This Row],[Visitor/Neutral]],division_lookup,9,FALSE),TRUE,FALSE)</f>
        <v>0</v>
      </c>
      <c r="AC1128" s="19" t="str">
        <f>VLOOKUP(Table2[[#This Row],[Home/Neutral]],division_lookup,9,FALSE)</f>
        <v>SE</v>
      </c>
      <c r="AD1128" s="19"/>
      <c r="AE1128" s="19" t="str">
        <f>IF(Table2[[#This Row],[Total EV ®]]&lt;Table2[[#This Row],[Total (V)]],"UNDER","OVER")</f>
        <v>OVER</v>
      </c>
      <c r="AF1128" s="30">
        <f>Table2[[#This Row],[(A) Spread]]-Table2[[#This Row],[Spread (V)]]</f>
        <v>0</v>
      </c>
      <c r="AG1128" s="19"/>
      <c r="AH1128" s="2">
        <f>Table2[[#This Row],[EV]]-Table2[[#This Row],[Spread (V)]]</f>
        <v>-0.80924601115950168</v>
      </c>
      <c r="AI1128" s="22">
        <f>Table2[[#This Row],[(A)]]-Table2[[#This Row],[Spread]]</f>
        <v>-5.9351184834123307</v>
      </c>
      <c r="AJ1128" s="1">
        <f>Table2[[#This Row],[(A) Err]]^2</f>
        <v>35.225631412142683</v>
      </c>
      <c r="AK1128" s="6">
        <f>Table2[[#This Row],[EV]]-Table2[[#This Row],[Spread]]</f>
        <v>-0.80924601115950168</v>
      </c>
      <c r="AL1128" s="1">
        <f>Table2[[#This Row],[EV Err]]^2</f>
        <v>0.65487910657756432</v>
      </c>
    </row>
    <row r="1129" spans="1:38" x14ac:dyDescent="0.25">
      <c r="A1129" t="s">
        <v>192</v>
      </c>
      <c r="B1129" t="s">
        <v>8</v>
      </c>
      <c r="C1129" t="s">
        <v>39</v>
      </c>
      <c r="K1129" s="25">
        <f>(Table2[[#This Row],[Home Pace]]/100)*(VLOOKUP(Table2[[#This Row],[Home/Neutral]],home_lookup,8,FALSE)+VLOOKUP(Table2[[#This Row],[Home/Neutral]],OFR_lookup,2,FALSE)+VLOOKUP(Table2[[#This Row],[Visitor/Neutral]],def_diff_lookup,6,FALSE))</f>
        <v>107.7221403689818</v>
      </c>
      <c r="L1129" s="25"/>
      <c r="M1129" s="25">
        <f>(Table2[[#This Row],[Away Pace]]/100)*(VLOOKUP(Table2[[#This Row],[Visitor/Neutral]],OFR_lookup,2,FALSE)+VLOOKUP(Table2[[#This Row],[Home/Neutral]],def_diff_lookup,6,FALSE))</f>
        <v>95.638400000000004</v>
      </c>
      <c r="N1129" s="25"/>
      <c r="O1129" s="25"/>
      <c r="P1129">
        <f>VLOOKUP(Table2[[#This Row],[Home/Neutral]],pace_lookup,7,FALSE)</f>
        <v>97.2</v>
      </c>
      <c r="Q1129" s="5">
        <f>VLOOKUP(Table2[[#This Row],[Visitor/Neutral]],pace_lookup,7,FALSE)</f>
        <v>97.5</v>
      </c>
      <c r="R1129" s="9"/>
      <c r="V1129" s="2">
        <f>-home-VLOOKUP(Table2[[#This Row],[Home/Neutral]],rtg_vlookup,4,FALSE)+VLOOKUP(Table2[[#This Row],[Visitor/Neutral]],rtg_vlookup,4,FALSE)</f>
        <v>-18.85511848341233</v>
      </c>
      <c r="W1129" s="25"/>
      <c r="X1129" s="2"/>
      <c r="Y1129" s="2">
        <f>Table2[[#This Row],[Away EV]]-Table2[[#This Row],[Home EV]]</f>
        <v>-12.083740368981793</v>
      </c>
      <c r="Z1129" s="33"/>
      <c r="AA1129" s="34"/>
      <c r="AB1129" s="5" t="b">
        <f>IF(VLOOKUP(Table2[[#This Row],[Home/Neutral]],division_lookup,9,FALSE)=VLOOKUP(Table2[[#This Row],[Visitor/Neutral]],division_lookup,9,FALSE),TRUE,FALSE)</f>
        <v>0</v>
      </c>
      <c r="AC1129" s="19" t="str">
        <f>VLOOKUP(Table2[[#This Row],[Home/Neutral]],division_lookup,9,FALSE)</f>
        <v>C</v>
      </c>
      <c r="AD1129" s="19"/>
      <c r="AE1129" s="19" t="str">
        <f>IF(Table2[[#This Row],[Total EV ®]]&lt;Table2[[#This Row],[Total (V)]],"UNDER","OVER")</f>
        <v>OVER</v>
      </c>
      <c r="AF1129" s="30">
        <f>Table2[[#This Row],[(A) Spread]]-Table2[[#This Row],[Spread (V)]]</f>
        <v>0</v>
      </c>
      <c r="AG1129" s="19"/>
      <c r="AH1129" s="2">
        <f>Table2[[#This Row],[EV]]-Table2[[#This Row],[Spread (V)]]</f>
        <v>-12.083740368981793</v>
      </c>
      <c r="AI1129" s="22">
        <f>Table2[[#This Row],[(A)]]-Table2[[#This Row],[Spread]]</f>
        <v>-18.85511848341233</v>
      </c>
      <c r="AJ1129" s="1">
        <f>Table2[[#This Row],[(A) Err]]^2</f>
        <v>355.51549302351725</v>
      </c>
      <c r="AK1129" s="6">
        <f>Table2[[#This Row],[EV]]-Table2[[#This Row],[Spread]]</f>
        <v>-12.083740368981793</v>
      </c>
      <c r="AL1129" s="1">
        <f>Table2[[#This Row],[EV Err]]^2</f>
        <v>146.01678130496023</v>
      </c>
    </row>
    <row r="1130" spans="1:38" x14ac:dyDescent="0.25">
      <c r="A1130" t="s">
        <v>192</v>
      </c>
      <c r="B1130" t="s">
        <v>10</v>
      </c>
      <c r="C1130" t="s">
        <v>17</v>
      </c>
      <c r="K1130" s="25">
        <f>(Table2[[#This Row],[Home Pace]]/100)*(VLOOKUP(Table2[[#This Row],[Home/Neutral]],home_lookup,8,FALSE)+VLOOKUP(Table2[[#This Row],[Home/Neutral]],OFR_lookup,2,FALSE)+VLOOKUP(Table2[[#This Row],[Visitor/Neutral]],def_diff_lookup,6,FALSE))</f>
        <v>110.48617853790562</v>
      </c>
      <c r="L1130" s="25"/>
      <c r="M1130" s="25">
        <f>(Table2[[#This Row],[Away Pace]]/100)*(VLOOKUP(Table2[[#This Row],[Visitor/Neutral]],OFR_lookup,2,FALSE)+VLOOKUP(Table2[[#This Row],[Home/Neutral]],def_diff_lookup,6,FALSE))</f>
        <v>111.59244466666668</v>
      </c>
      <c r="N1130" s="25"/>
      <c r="O1130" s="25"/>
      <c r="P1130">
        <f>VLOOKUP(Table2[[#This Row],[Home/Neutral]],pace_lookup,7,FALSE)</f>
        <v>100.3</v>
      </c>
      <c r="Q1130" s="5">
        <f>VLOOKUP(Table2[[#This Row],[Visitor/Neutral]],pace_lookup,7,FALSE)</f>
        <v>96.7</v>
      </c>
      <c r="R1130" s="9"/>
      <c r="V1130" s="2">
        <f>-home-VLOOKUP(Table2[[#This Row],[Home/Neutral]],rtg_vlookup,4,FALSE)+VLOOKUP(Table2[[#This Row],[Visitor/Neutral]],rtg_vlookup,4,FALSE)</f>
        <v>-6.965118483412331</v>
      </c>
      <c r="W1130" s="25"/>
      <c r="X1130" s="2"/>
      <c r="Y1130" s="2">
        <f>Table2[[#This Row],[Away EV]]-Table2[[#This Row],[Home EV]]</f>
        <v>1.1062661287610638</v>
      </c>
      <c r="Z1130" s="33"/>
      <c r="AA1130" s="34"/>
      <c r="AB1130" s="5" t="b">
        <f>IF(VLOOKUP(Table2[[#This Row],[Home/Neutral]],division_lookup,9,FALSE)=VLOOKUP(Table2[[#This Row],[Visitor/Neutral]],division_lookup,9,FALSE),TRUE,FALSE)</f>
        <v>0</v>
      </c>
      <c r="AC1130" s="19" t="str">
        <f>VLOOKUP(Table2[[#This Row],[Home/Neutral]],division_lookup,9,FALSE)</f>
        <v>P</v>
      </c>
      <c r="AD1130" s="19"/>
      <c r="AE1130" s="19" t="str">
        <f>IF(Table2[[#This Row],[Total EV ®]]&lt;Table2[[#This Row],[Total (V)]],"UNDER","OVER")</f>
        <v>OVER</v>
      </c>
      <c r="AF1130" s="30">
        <f>Table2[[#This Row],[(A) Spread]]-Table2[[#This Row],[Spread (V)]]</f>
        <v>0</v>
      </c>
      <c r="AG1130" s="19"/>
      <c r="AH1130" s="2">
        <f>Table2[[#This Row],[EV]]-Table2[[#This Row],[Spread (V)]]</f>
        <v>1.1062661287610638</v>
      </c>
      <c r="AI1130" s="22">
        <f>Table2[[#This Row],[(A)]]-Table2[[#This Row],[Spread]]</f>
        <v>-6.965118483412331</v>
      </c>
      <c r="AJ1130" s="1">
        <f>Table2[[#This Row],[(A) Err]]^2</f>
        <v>48.512875487972089</v>
      </c>
      <c r="AK1130" s="6">
        <f>Table2[[#This Row],[EV]]-Table2[[#This Row],[Spread]]</f>
        <v>1.1062661287610638</v>
      </c>
      <c r="AL1130" s="1">
        <f>Table2[[#This Row],[EV Err]]^2</f>
        <v>1.2238247476439905</v>
      </c>
    </row>
    <row r="1131" spans="1:38" x14ac:dyDescent="0.25">
      <c r="A1131" t="s">
        <v>192</v>
      </c>
      <c r="B1131" t="s">
        <v>23</v>
      </c>
      <c r="C1131" t="s">
        <v>37</v>
      </c>
      <c r="K1131" s="25">
        <f>(Table2[[#This Row],[Home Pace]]/100)*(VLOOKUP(Table2[[#This Row],[Home/Neutral]],home_lookup,8,FALSE)+VLOOKUP(Table2[[#This Row],[Home/Neutral]],OFR_lookup,2,FALSE)+VLOOKUP(Table2[[#This Row],[Visitor/Neutral]],def_diff_lookup,6,FALSE))</f>
        <v>99.103887358713592</v>
      </c>
      <c r="L1131" s="25"/>
      <c r="M1131" s="25">
        <f>(Table2[[#This Row],[Away Pace]]/100)*(VLOOKUP(Table2[[#This Row],[Visitor/Neutral]],OFR_lookup,2,FALSE)+VLOOKUP(Table2[[#This Row],[Home/Neutral]],def_diff_lookup,6,FALSE))</f>
        <v>84.161594000000008</v>
      </c>
      <c r="N1131" s="25"/>
      <c r="O1131" s="25"/>
      <c r="P1131">
        <f>VLOOKUP(Table2[[#This Row],[Home/Neutral]],pace_lookup,7,FALSE)</f>
        <v>92.5</v>
      </c>
      <c r="Q1131" s="5">
        <f>VLOOKUP(Table2[[#This Row],[Visitor/Neutral]],pace_lookup,7,FALSE)</f>
        <v>92.1</v>
      </c>
      <c r="R1131" s="9"/>
      <c r="V1131" s="2">
        <f>-home-VLOOKUP(Table2[[#This Row],[Home/Neutral]],rtg_vlookup,4,FALSE)+VLOOKUP(Table2[[#This Row],[Visitor/Neutral]],rtg_vlookup,4,FALSE)</f>
        <v>-12.605118483412332</v>
      </c>
      <c r="W1131" s="25"/>
      <c r="X1131" s="2"/>
      <c r="Y1131" s="2">
        <f>Table2[[#This Row],[Away EV]]-Table2[[#This Row],[Home EV]]</f>
        <v>-14.942293358713584</v>
      </c>
      <c r="Z1131" s="33"/>
      <c r="AA1131" s="34"/>
      <c r="AB1131" s="5" t="b">
        <f>IF(VLOOKUP(Table2[[#This Row],[Home/Neutral]],division_lookup,9,FALSE)=VLOOKUP(Table2[[#This Row],[Visitor/Neutral]],division_lookup,9,FALSE),TRUE,FALSE)</f>
        <v>1</v>
      </c>
      <c r="AC1131" s="19" t="str">
        <f>VLOOKUP(Table2[[#This Row],[Home/Neutral]],division_lookup,9,FALSE)</f>
        <v>SW</v>
      </c>
      <c r="AD1131" s="19"/>
      <c r="AE1131" s="19" t="str">
        <f>IF(Table2[[#This Row],[Total EV ®]]&lt;Table2[[#This Row],[Total (V)]],"UNDER","OVER")</f>
        <v>OVER</v>
      </c>
      <c r="AF1131" s="30">
        <f>Table2[[#This Row],[(A) Spread]]-Table2[[#This Row],[Spread (V)]]</f>
        <v>0</v>
      </c>
      <c r="AG1131" s="19"/>
      <c r="AH1131" s="2">
        <f>Table2[[#This Row],[EV]]-Table2[[#This Row],[Spread (V)]]</f>
        <v>-14.942293358713584</v>
      </c>
      <c r="AI1131" s="22">
        <f>Table2[[#This Row],[(A)]]-Table2[[#This Row],[Spread]]</f>
        <v>-12.605118483412332</v>
      </c>
      <c r="AJ1131" s="1">
        <f>Table2[[#This Row],[(A) Err]]^2</f>
        <v>158.88901198086319</v>
      </c>
      <c r="AK1131" s="6">
        <f>Table2[[#This Row],[EV]]-Table2[[#This Row],[Spread]]</f>
        <v>-14.942293358713584</v>
      </c>
      <c r="AL1131" s="1">
        <f>Table2[[#This Row],[EV Err]]^2</f>
        <v>223.27213081785609</v>
      </c>
    </row>
    <row r="1132" spans="1:38" x14ac:dyDescent="0.25">
      <c r="A1132" t="s">
        <v>192</v>
      </c>
      <c r="B1132" t="s">
        <v>21</v>
      </c>
      <c r="C1132" t="s">
        <v>31</v>
      </c>
      <c r="K1132" s="25">
        <f>(Table2[[#This Row],[Home Pace]]/100)*(VLOOKUP(Table2[[#This Row],[Home/Neutral]],home_lookup,8,FALSE)+VLOOKUP(Table2[[#This Row],[Home/Neutral]],OFR_lookup,2,FALSE)+VLOOKUP(Table2[[#This Row],[Visitor/Neutral]],def_diff_lookup,6,FALSE))</f>
        <v>105.9248511752439</v>
      </c>
      <c r="L1132" s="25"/>
      <c r="M1132" s="25">
        <f>(Table2[[#This Row],[Away Pace]]/100)*(VLOOKUP(Table2[[#This Row],[Visitor/Neutral]],OFR_lookup,2,FALSE)+VLOOKUP(Table2[[#This Row],[Home/Neutral]],def_diff_lookup,6,FALSE))</f>
        <v>100.81024000000001</v>
      </c>
      <c r="N1132" s="25"/>
      <c r="O1132" s="25"/>
      <c r="P1132">
        <f>VLOOKUP(Table2[[#This Row],[Home/Neutral]],pace_lookup,7,FALSE)</f>
        <v>94.2</v>
      </c>
      <c r="Q1132" s="5">
        <f>VLOOKUP(Table2[[#This Row],[Visitor/Neutral]],pace_lookup,7,FALSE)</f>
        <v>96</v>
      </c>
      <c r="R1132" s="9"/>
      <c r="V1132" s="2">
        <f>-home-VLOOKUP(Table2[[#This Row],[Home/Neutral]],rtg_vlookup,4,FALSE)+VLOOKUP(Table2[[#This Row],[Visitor/Neutral]],rtg_vlookup,4,FALSE)</f>
        <v>-4.8751184834123311</v>
      </c>
      <c r="W1132" s="25"/>
      <c r="X1132" s="2"/>
      <c r="Y1132" s="2">
        <f>Table2[[#This Row],[Away EV]]-Table2[[#This Row],[Home EV]]</f>
        <v>-5.1146111752438941</v>
      </c>
      <c r="Z1132" s="33"/>
      <c r="AA1132" s="34"/>
      <c r="AB1132" s="5" t="b">
        <f>IF(VLOOKUP(Table2[[#This Row],[Home/Neutral]],division_lookup,9,FALSE)=VLOOKUP(Table2[[#This Row],[Visitor/Neutral]],division_lookup,9,FALSE),TRUE,FALSE)</f>
        <v>0</v>
      </c>
      <c r="AC1132" s="19" t="str">
        <f>VLOOKUP(Table2[[#This Row],[Home/Neutral]],division_lookup,9,FALSE)</f>
        <v>SE</v>
      </c>
      <c r="AD1132" s="19"/>
      <c r="AE1132" s="19" t="str">
        <f>IF(Table2[[#This Row],[Total EV ®]]&lt;Table2[[#This Row],[Total (V)]],"UNDER","OVER")</f>
        <v>OVER</v>
      </c>
      <c r="AF1132" s="30">
        <f>Table2[[#This Row],[(A) Spread]]-Table2[[#This Row],[Spread (V)]]</f>
        <v>0</v>
      </c>
      <c r="AG1132" s="19"/>
      <c r="AH1132" s="2">
        <f>Table2[[#This Row],[EV]]-Table2[[#This Row],[Spread (V)]]</f>
        <v>-5.1146111752438941</v>
      </c>
      <c r="AI1132" s="22">
        <f>Table2[[#This Row],[(A)]]-Table2[[#This Row],[Spread]]</f>
        <v>-4.8751184834123311</v>
      </c>
      <c r="AJ1132" s="1">
        <f>Table2[[#This Row],[(A) Err]]^2</f>
        <v>23.766780227308548</v>
      </c>
      <c r="AK1132" s="6">
        <f>Table2[[#This Row],[EV]]-Table2[[#This Row],[Spread]]</f>
        <v>-5.1146111752438941</v>
      </c>
      <c r="AL1132" s="1">
        <f>Table2[[#This Row],[EV Err]]^2</f>
        <v>26.159247473929728</v>
      </c>
    </row>
    <row r="1133" spans="1:38" x14ac:dyDescent="0.25">
      <c r="A1133" t="s">
        <v>192</v>
      </c>
      <c r="B1133" t="s">
        <v>30</v>
      </c>
      <c r="C1133" t="s">
        <v>25</v>
      </c>
      <c r="K1133" s="25">
        <f>(Table2[[#This Row],[Home Pace]]/100)*(VLOOKUP(Table2[[#This Row],[Home/Neutral]],home_lookup,8,FALSE)+VLOOKUP(Table2[[#This Row],[Home/Neutral]],OFR_lookup,2,FALSE)+VLOOKUP(Table2[[#This Row],[Visitor/Neutral]],def_diff_lookup,6,FALSE))</f>
        <v>104.54040034993645</v>
      </c>
      <c r="L1133" s="25"/>
      <c r="M1133" s="25">
        <f>(Table2[[#This Row],[Away Pace]]/100)*(VLOOKUP(Table2[[#This Row],[Visitor/Neutral]],OFR_lookup,2,FALSE)+VLOOKUP(Table2[[#This Row],[Home/Neutral]],def_diff_lookup,6,FALSE))</f>
        <v>98.686389333333352</v>
      </c>
      <c r="N1133" s="25"/>
      <c r="O1133" s="25"/>
      <c r="P1133">
        <f>VLOOKUP(Table2[[#This Row],[Home/Neutral]],pace_lookup,7,FALSE)</f>
        <v>96.8</v>
      </c>
      <c r="Q1133" s="5">
        <f>VLOOKUP(Table2[[#This Row],[Visitor/Neutral]],pace_lookup,7,FALSE)</f>
        <v>94.4</v>
      </c>
      <c r="R1133" s="9"/>
      <c r="V1133" s="2">
        <f>-home-VLOOKUP(Table2[[#This Row],[Home/Neutral]],rtg_vlookup,4,FALSE)+VLOOKUP(Table2[[#This Row],[Visitor/Neutral]],rtg_vlookup,4,FALSE)</f>
        <v>-0.22511848341233098</v>
      </c>
      <c r="W1133" s="25"/>
      <c r="X1133" s="2"/>
      <c r="Y1133" s="2">
        <f>Table2[[#This Row],[Away EV]]-Table2[[#This Row],[Home EV]]</f>
        <v>-5.8540110166030956</v>
      </c>
      <c r="Z1133" s="33"/>
      <c r="AA1133" s="34"/>
      <c r="AB1133" s="5" t="b">
        <f>IF(VLOOKUP(Table2[[#This Row],[Home/Neutral]],division_lookup,9,FALSE)=VLOOKUP(Table2[[#This Row],[Visitor/Neutral]],division_lookup,9,FALSE),TRUE,FALSE)</f>
        <v>1</v>
      </c>
      <c r="AC1133" s="19" t="str">
        <f>VLOOKUP(Table2[[#This Row],[Home/Neutral]],division_lookup,9,FALSE)</f>
        <v>C</v>
      </c>
      <c r="AD1133" s="19"/>
      <c r="AE1133" s="19" t="str">
        <f>IF(Table2[[#This Row],[Total EV ®]]&lt;Table2[[#This Row],[Total (V)]],"UNDER","OVER")</f>
        <v>OVER</v>
      </c>
      <c r="AF1133" s="30">
        <f>Table2[[#This Row],[(A) Spread]]-Table2[[#This Row],[Spread (V)]]</f>
        <v>0</v>
      </c>
      <c r="AG1133" s="19"/>
      <c r="AH1133" s="2">
        <f>Table2[[#This Row],[EV]]-Table2[[#This Row],[Spread (V)]]</f>
        <v>-5.8540110166030956</v>
      </c>
      <c r="AI1133" s="22">
        <f>Table2[[#This Row],[(A)]]-Table2[[#This Row],[Spread]]</f>
        <v>-0.22511848341233098</v>
      </c>
      <c r="AJ1133" s="1">
        <f>Table2[[#This Row],[(A) Err]]^2</f>
        <v>5.0678331573867939E-2</v>
      </c>
      <c r="AK1133" s="6">
        <f>Table2[[#This Row],[EV]]-Table2[[#This Row],[Spread]]</f>
        <v>-5.8540110166030956</v>
      </c>
      <c r="AL1133" s="1">
        <f>Table2[[#This Row],[EV Err]]^2</f>
        <v>34.269444982510407</v>
      </c>
    </row>
    <row r="1134" spans="1:38" x14ac:dyDescent="0.25">
      <c r="A1134" t="s">
        <v>192</v>
      </c>
      <c r="B1134" t="s">
        <v>34</v>
      </c>
      <c r="C1134" t="s">
        <v>29</v>
      </c>
      <c r="K1134" s="25">
        <f>(Table2[[#This Row],[Home Pace]]/100)*(VLOOKUP(Table2[[#This Row],[Home/Neutral]],home_lookup,8,FALSE)+VLOOKUP(Table2[[#This Row],[Home/Neutral]],OFR_lookup,2,FALSE)+VLOOKUP(Table2[[#This Row],[Visitor/Neutral]],def_diff_lookup,6,FALSE))</f>
        <v>108.17783864565556</v>
      </c>
      <c r="L1134" s="25"/>
      <c r="M1134" s="25">
        <f>(Table2[[#This Row],[Away Pace]]/100)*(VLOOKUP(Table2[[#This Row],[Visitor/Neutral]],OFR_lookup,2,FALSE)+VLOOKUP(Table2[[#This Row],[Home/Neutral]],def_diff_lookup,6,FALSE))</f>
        <v>100.45104533333334</v>
      </c>
      <c r="N1134" s="25"/>
      <c r="O1134" s="25"/>
      <c r="P1134">
        <f>VLOOKUP(Table2[[#This Row],[Home/Neutral]],pace_lookup,7,FALSE)</f>
        <v>98.8</v>
      </c>
      <c r="Q1134" s="5">
        <f>VLOOKUP(Table2[[#This Row],[Visitor/Neutral]],pace_lookup,7,FALSE)</f>
        <v>93.8</v>
      </c>
      <c r="R1134" s="9"/>
      <c r="V1134" s="2">
        <f>-home-VLOOKUP(Table2[[#This Row],[Home/Neutral]],rtg_vlookup,4,FALSE)+VLOOKUP(Table2[[#This Row],[Visitor/Neutral]],rtg_vlookup,4,FALSE)</f>
        <v>1.4881516587669452E-2</v>
      </c>
      <c r="W1134" s="25"/>
      <c r="X1134" s="2"/>
      <c r="Y1134" s="2">
        <f>Table2[[#This Row],[Away EV]]-Table2[[#This Row],[Home EV]]</f>
        <v>-7.726793312322215</v>
      </c>
      <c r="Z1134" s="33"/>
      <c r="AA1134" s="34"/>
      <c r="AB1134" s="5" t="b">
        <f>IF(VLOOKUP(Table2[[#This Row],[Home/Neutral]],division_lookup,9,FALSE)=VLOOKUP(Table2[[#This Row],[Visitor/Neutral]],division_lookup,9,FALSE),TRUE,FALSE)</f>
        <v>0</v>
      </c>
      <c r="AC1134" s="19" t="str">
        <f>VLOOKUP(Table2[[#This Row],[Home/Neutral]],division_lookup,9,FALSE)</f>
        <v>SW</v>
      </c>
      <c r="AD1134" s="19"/>
      <c r="AE1134" s="19" t="str">
        <f>IF(Table2[[#This Row],[Total EV ®]]&lt;Table2[[#This Row],[Total (V)]],"UNDER","OVER")</f>
        <v>OVER</v>
      </c>
      <c r="AF1134" s="30">
        <f>Table2[[#This Row],[(A) Spread]]-Table2[[#This Row],[Spread (V)]]</f>
        <v>0</v>
      </c>
      <c r="AG1134" s="19"/>
      <c r="AH1134" s="2">
        <f>Table2[[#This Row],[EV]]-Table2[[#This Row],[Spread (V)]]</f>
        <v>-7.726793312322215</v>
      </c>
      <c r="AI1134" s="22">
        <f>Table2[[#This Row],[(A)]]-Table2[[#This Row],[Spread]]</f>
        <v>1.4881516587669452E-2</v>
      </c>
      <c r="AJ1134" s="1">
        <f>Table2[[#This Row],[(A) Err]]^2</f>
        <v>2.2145953594908106E-4</v>
      </c>
      <c r="AK1134" s="6">
        <f>Table2[[#This Row],[EV]]-Table2[[#This Row],[Spread]]</f>
        <v>-7.726793312322215</v>
      </c>
      <c r="AL1134" s="1">
        <f>Table2[[#This Row],[EV Err]]^2</f>
        <v>59.703334891347303</v>
      </c>
    </row>
    <row r="1135" spans="1:38" x14ac:dyDescent="0.25">
      <c r="A1135" t="s">
        <v>192</v>
      </c>
      <c r="B1135" t="s">
        <v>18</v>
      </c>
      <c r="C1135" t="s">
        <v>6</v>
      </c>
      <c r="K1135" s="25">
        <f>(Table2[[#This Row],[Home Pace]]/100)*(VLOOKUP(Table2[[#This Row],[Home/Neutral]],home_lookup,8,FALSE)+VLOOKUP(Table2[[#This Row],[Home/Neutral]],OFR_lookup,2,FALSE)+VLOOKUP(Table2[[#This Row],[Visitor/Neutral]],def_diff_lookup,6,FALSE))</f>
        <v>100.58675616021132</v>
      </c>
      <c r="L1135" s="25"/>
      <c r="M1135" s="25">
        <f>(Table2[[#This Row],[Away Pace]]/100)*(VLOOKUP(Table2[[#This Row],[Visitor/Neutral]],OFR_lookup,2,FALSE)+VLOOKUP(Table2[[#This Row],[Home/Neutral]],def_diff_lookup,6,FALSE))</f>
        <v>99.459350666666666</v>
      </c>
      <c r="N1135" s="25"/>
      <c r="O1135" s="25"/>
      <c r="P1135">
        <f>VLOOKUP(Table2[[#This Row],[Home/Neutral]],pace_lookup,7,FALSE)</f>
        <v>99.5</v>
      </c>
      <c r="Q1135" s="5">
        <f>VLOOKUP(Table2[[#This Row],[Visitor/Neutral]],pace_lookup,7,FALSE)</f>
        <v>93.1</v>
      </c>
      <c r="R1135" s="9"/>
      <c r="V1135" s="2">
        <f>-home-VLOOKUP(Table2[[#This Row],[Home/Neutral]],rtg_vlookup,4,FALSE)+VLOOKUP(Table2[[#This Row],[Visitor/Neutral]],rtg_vlookup,4,FALSE)</f>
        <v>1.9448815165876692</v>
      </c>
      <c r="W1135" s="25"/>
      <c r="X1135" s="2"/>
      <c r="Y1135" s="2">
        <f>Table2[[#This Row],[Away EV]]-Table2[[#This Row],[Home EV]]</f>
        <v>-1.1274054935446571</v>
      </c>
      <c r="Z1135" s="33"/>
      <c r="AA1135" s="34"/>
      <c r="AB1135" s="5" t="b">
        <f>IF(VLOOKUP(Table2[[#This Row],[Home/Neutral]],division_lookup,9,FALSE)=VLOOKUP(Table2[[#This Row],[Visitor/Neutral]],division_lookup,9,FALSE),TRUE,FALSE)</f>
        <v>0</v>
      </c>
      <c r="AC1135" s="19" t="str">
        <f>VLOOKUP(Table2[[#This Row],[Home/Neutral]],division_lookup,9,FALSE)</f>
        <v>NW</v>
      </c>
      <c r="AD1135" s="19"/>
      <c r="AE1135" s="19" t="str">
        <f>IF(Table2[[#This Row],[Total EV ®]]&lt;Table2[[#This Row],[Total (V)]],"UNDER","OVER")</f>
        <v>OVER</v>
      </c>
      <c r="AF1135" s="30">
        <f>Table2[[#This Row],[(A) Spread]]-Table2[[#This Row],[Spread (V)]]</f>
        <v>0</v>
      </c>
      <c r="AG1135" s="19"/>
      <c r="AH1135" s="2">
        <f>Table2[[#This Row],[EV]]-Table2[[#This Row],[Spread (V)]]</f>
        <v>-1.1274054935446571</v>
      </c>
      <c r="AI1135" s="22">
        <f>Table2[[#This Row],[(A)]]-Table2[[#This Row],[Spread]]</f>
        <v>1.9448815165876692</v>
      </c>
      <c r="AJ1135" s="1">
        <f>Table2[[#This Row],[(A) Err]]^2</f>
        <v>3.782564113564352</v>
      </c>
      <c r="AK1135" s="6">
        <f>Table2[[#This Row],[EV]]-Table2[[#This Row],[Spread]]</f>
        <v>-1.1274054935446571</v>
      </c>
      <c r="AL1135" s="1">
        <f>Table2[[#This Row],[EV Err]]^2</f>
        <v>1.2710431468746719</v>
      </c>
    </row>
    <row r="1136" spans="1:38" x14ac:dyDescent="0.25">
      <c r="A1136" t="s">
        <v>192</v>
      </c>
      <c r="B1136" t="s">
        <v>14</v>
      </c>
      <c r="C1136" t="s">
        <v>33</v>
      </c>
      <c r="K1136" s="25">
        <f>(Table2[[#This Row],[Home Pace]]/100)*(VLOOKUP(Table2[[#This Row],[Home/Neutral]],home_lookup,8,FALSE)+VLOOKUP(Table2[[#This Row],[Home/Neutral]],OFR_lookup,2,FALSE)+VLOOKUP(Table2[[#This Row],[Visitor/Neutral]],def_diff_lookup,6,FALSE))</f>
        <v>109.54610414241452</v>
      </c>
      <c r="L1136" s="25"/>
      <c r="M1136" s="25">
        <f>(Table2[[#This Row],[Away Pace]]/100)*(VLOOKUP(Table2[[#This Row],[Visitor/Neutral]],OFR_lookup,2,FALSE)+VLOOKUP(Table2[[#This Row],[Home/Neutral]],def_diff_lookup,6,FALSE))</f>
        <v>103.54273466666668</v>
      </c>
      <c r="N1136" s="25"/>
      <c r="O1136" s="25"/>
      <c r="P1136">
        <f>VLOOKUP(Table2[[#This Row],[Home/Neutral]],pace_lookup,7,FALSE)</f>
        <v>95.9</v>
      </c>
      <c r="Q1136" s="5">
        <f>VLOOKUP(Table2[[#This Row],[Visitor/Neutral]],pace_lookup,7,FALSE)</f>
        <v>98.2</v>
      </c>
      <c r="R1136" s="9"/>
      <c r="V1136" s="2">
        <f>-home-VLOOKUP(Table2[[#This Row],[Home/Neutral]],rtg_vlookup,4,FALSE)+VLOOKUP(Table2[[#This Row],[Visitor/Neutral]],rtg_vlookup,4,FALSE)</f>
        <v>-12.935118483412332</v>
      </c>
      <c r="W1136" s="25"/>
      <c r="X1136" s="2"/>
      <c r="Y1136" s="2">
        <f>Table2[[#This Row],[Away EV]]-Table2[[#This Row],[Home EV]]</f>
        <v>-6.0033694757478457</v>
      </c>
      <c r="Z1136" s="33"/>
      <c r="AA1136" s="34"/>
      <c r="AB1136" s="5" t="b">
        <f>IF(VLOOKUP(Table2[[#This Row],[Home/Neutral]],division_lookup,9,FALSE)=VLOOKUP(Table2[[#This Row],[Visitor/Neutral]],division_lookup,9,FALSE),TRUE,FALSE)</f>
        <v>0</v>
      </c>
      <c r="AC1136" s="19" t="str">
        <f>VLOOKUP(Table2[[#This Row],[Home/Neutral]],division_lookup,9,FALSE)</f>
        <v>A</v>
      </c>
      <c r="AD1136" s="19"/>
      <c r="AE1136" s="19" t="str">
        <f>IF(Table2[[#This Row],[Total EV ®]]&lt;Table2[[#This Row],[Total (V)]],"UNDER","OVER")</f>
        <v>OVER</v>
      </c>
      <c r="AF1136" s="30">
        <f>Table2[[#This Row],[(A) Spread]]-Table2[[#This Row],[Spread (V)]]</f>
        <v>0</v>
      </c>
      <c r="AG1136" s="19"/>
      <c r="AH1136" s="2">
        <f>Table2[[#This Row],[EV]]-Table2[[#This Row],[Spread (V)]]</f>
        <v>-6.0033694757478457</v>
      </c>
      <c r="AI1136" s="22">
        <f>Table2[[#This Row],[(A)]]-Table2[[#This Row],[Spread]]</f>
        <v>-12.935118483412332</v>
      </c>
      <c r="AJ1136" s="1">
        <f>Table2[[#This Row],[(A) Err]]^2</f>
        <v>167.31729017991535</v>
      </c>
      <c r="AK1136" s="6">
        <f>Table2[[#This Row],[EV]]-Table2[[#This Row],[Spread]]</f>
        <v>-6.0033694757478457</v>
      </c>
      <c r="AL1136" s="1">
        <f>Table2[[#This Row],[EV Err]]^2</f>
        <v>36.040445062340964</v>
      </c>
    </row>
    <row r="1137" spans="1:38" x14ac:dyDescent="0.25">
      <c r="A1137" t="s">
        <v>192</v>
      </c>
      <c r="B1137" t="s">
        <v>20</v>
      </c>
      <c r="C1137" t="s">
        <v>28</v>
      </c>
      <c r="K1137" s="25">
        <f>(Table2[[#This Row],[Home Pace]]/100)*(VLOOKUP(Table2[[#This Row],[Home/Neutral]],home_lookup,8,FALSE)+VLOOKUP(Table2[[#This Row],[Home/Neutral]],OFR_lookup,2,FALSE)+VLOOKUP(Table2[[#This Row],[Visitor/Neutral]],def_diff_lookup,6,FALSE))</f>
        <v>106.61942528915178</v>
      </c>
      <c r="L1137" s="25"/>
      <c r="M1137" s="25">
        <f>(Table2[[#This Row],[Away Pace]]/100)*(VLOOKUP(Table2[[#This Row],[Visitor/Neutral]],OFR_lookup,2,FALSE)+VLOOKUP(Table2[[#This Row],[Home/Neutral]],def_diff_lookup,6,FALSE))</f>
        <v>102.00160200000001</v>
      </c>
      <c r="N1137" s="25"/>
      <c r="O1137" s="25"/>
      <c r="P1137">
        <f>VLOOKUP(Table2[[#This Row],[Home/Neutral]],pace_lookup,7,FALSE)</f>
        <v>90.9</v>
      </c>
      <c r="Q1137" s="5">
        <f>VLOOKUP(Table2[[#This Row],[Visitor/Neutral]],pace_lookup,7,FALSE)</f>
        <v>96.3</v>
      </c>
      <c r="R1137" s="9"/>
      <c r="V1137" s="2">
        <f>-home-VLOOKUP(Table2[[#This Row],[Home/Neutral]],rtg_vlookup,4,FALSE)+VLOOKUP(Table2[[#This Row],[Visitor/Neutral]],rtg_vlookup,4,FALSE)</f>
        <v>-6.3751184834123311</v>
      </c>
      <c r="W1137" s="25"/>
      <c r="X1137" s="2"/>
      <c r="Y1137" s="2">
        <f>Table2[[#This Row],[Away EV]]-Table2[[#This Row],[Home EV]]</f>
        <v>-4.6178232891517723</v>
      </c>
      <c r="Z1137" s="33"/>
      <c r="AA1137" s="34"/>
      <c r="AB1137" s="5" t="b">
        <f>IF(VLOOKUP(Table2[[#This Row],[Home/Neutral]],division_lookup,9,FALSE)=VLOOKUP(Table2[[#This Row],[Visitor/Neutral]],division_lookup,9,FALSE),TRUE,FALSE)</f>
        <v>0</v>
      </c>
      <c r="AC1137" s="19" t="str">
        <f>VLOOKUP(Table2[[#This Row],[Home/Neutral]],division_lookup,9,FALSE)</f>
        <v>NW</v>
      </c>
      <c r="AD1137" s="19"/>
      <c r="AE1137" s="19" t="str">
        <f>IF(Table2[[#This Row],[Total EV ®]]&lt;Table2[[#This Row],[Total (V)]],"UNDER","OVER")</f>
        <v>OVER</v>
      </c>
      <c r="AF1137" s="30">
        <f>Table2[[#This Row],[(A) Spread]]-Table2[[#This Row],[Spread (V)]]</f>
        <v>0</v>
      </c>
      <c r="AG1137" s="19"/>
      <c r="AH1137" s="2">
        <f>Table2[[#This Row],[EV]]-Table2[[#This Row],[Spread (V)]]</f>
        <v>-4.6178232891517723</v>
      </c>
      <c r="AI1137" s="22">
        <f>Table2[[#This Row],[(A)]]-Table2[[#This Row],[Spread]]</f>
        <v>-6.3751184834123311</v>
      </c>
      <c r="AJ1137" s="1">
        <f>Table2[[#This Row],[(A) Err]]^2</f>
        <v>40.642135677545539</v>
      </c>
      <c r="AK1137" s="6">
        <f>Table2[[#This Row],[EV]]-Table2[[#This Row],[Spread]]</f>
        <v>-4.6178232891517723</v>
      </c>
      <c r="AL1137" s="1">
        <f>Table2[[#This Row],[EV Err]]^2</f>
        <v>21.324291929832494</v>
      </c>
    </row>
    <row r="1138" spans="1:38" x14ac:dyDescent="0.25">
      <c r="A1138" t="s">
        <v>193</v>
      </c>
      <c r="B1138" t="s">
        <v>35</v>
      </c>
      <c r="C1138" t="s">
        <v>38</v>
      </c>
      <c r="K1138" s="25">
        <f>(Table2[[#This Row],[Home Pace]]/100)*(VLOOKUP(Table2[[#This Row],[Home/Neutral]],home_lookup,8,FALSE)+VLOOKUP(Table2[[#This Row],[Home/Neutral]],OFR_lookup,2,FALSE)+VLOOKUP(Table2[[#This Row],[Visitor/Neutral]],def_diff_lookup,6,FALSE))</f>
        <v>108.75447121209625</v>
      </c>
      <c r="L1138" s="25"/>
      <c r="M1138" s="25">
        <f>(Table2[[#This Row],[Away Pace]]/100)*(VLOOKUP(Table2[[#This Row],[Visitor/Neutral]],OFR_lookup,2,FALSE)+VLOOKUP(Table2[[#This Row],[Home/Neutral]],def_diff_lookup,6,FALSE))</f>
        <v>96.376648000000017</v>
      </c>
      <c r="N1138" s="25"/>
      <c r="O1138" s="25"/>
      <c r="P1138">
        <f>VLOOKUP(Table2[[#This Row],[Home/Neutral]],pace_lookup,7,FALSE)</f>
        <v>102.2</v>
      </c>
      <c r="Q1138" s="5">
        <f>VLOOKUP(Table2[[#This Row],[Visitor/Neutral]],pace_lookup,7,FALSE)</f>
        <v>94.2</v>
      </c>
      <c r="R1138" s="9"/>
      <c r="V1138" s="2">
        <f>-home-VLOOKUP(Table2[[#This Row],[Home/Neutral]],rtg_vlookup,4,FALSE)+VLOOKUP(Table2[[#This Row],[Visitor/Neutral]],rtg_vlookup,4,FALSE)</f>
        <v>-5.1051184834123307</v>
      </c>
      <c r="W1138" s="25"/>
      <c r="X1138" s="2"/>
      <c r="Y1138" s="2">
        <f>Table2[[#This Row],[Away EV]]-Table2[[#This Row],[Home EV]]</f>
        <v>-12.377823212096231</v>
      </c>
      <c r="Z1138" s="33"/>
      <c r="AA1138" s="34"/>
      <c r="AB1138" s="5" t="b">
        <f>IF(VLOOKUP(Table2[[#This Row],[Home/Neutral]],division_lookup,9,FALSE)=VLOOKUP(Table2[[#This Row],[Visitor/Neutral]],division_lookup,9,FALSE),TRUE,FALSE)</f>
        <v>0</v>
      </c>
      <c r="AC1138" s="19" t="str">
        <f>VLOOKUP(Table2[[#This Row],[Home/Neutral]],division_lookup,9,FALSE)</f>
        <v>A</v>
      </c>
      <c r="AD1138" s="19"/>
      <c r="AE1138" s="19" t="str">
        <f>IF(Table2[[#This Row],[Total EV ®]]&lt;Table2[[#This Row],[Total (V)]],"UNDER","OVER")</f>
        <v>OVER</v>
      </c>
      <c r="AF1138" s="30">
        <f>Table2[[#This Row],[(A) Spread]]-Table2[[#This Row],[Spread (V)]]</f>
        <v>0</v>
      </c>
      <c r="AG1138" s="19"/>
      <c r="AH1138" s="2">
        <f>Table2[[#This Row],[EV]]-Table2[[#This Row],[Spread (V)]]</f>
        <v>-12.377823212096231</v>
      </c>
      <c r="AI1138" s="22">
        <f>Table2[[#This Row],[(A)]]-Table2[[#This Row],[Spread]]</f>
        <v>-5.1051184834123307</v>
      </c>
      <c r="AJ1138" s="1">
        <f>Table2[[#This Row],[(A) Err]]^2</f>
        <v>26.062234729678217</v>
      </c>
      <c r="AK1138" s="6">
        <f>Table2[[#This Row],[EV]]-Table2[[#This Row],[Spread]]</f>
        <v>-12.377823212096231</v>
      </c>
      <c r="AL1138" s="1">
        <f>Table2[[#This Row],[EV Err]]^2</f>
        <v>153.21050746990826</v>
      </c>
    </row>
    <row r="1139" spans="1:38" x14ac:dyDescent="0.25">
      <c r="A1139" t="s">
        <v>193</v>
      </c>
      <c r="B1139" t="s">
        <v>13</v>
      </c>
      <c r="C1139" t="s">
        <v>11</v>
      </c>
      <c r="K1139" s="25">
        <f>(Table2[[#This Row],[Home Pace]]/100)*(VLOOKUP(Table2[[#This Row],[Home/Neutral]],home_lookup,8,FALSE)+VLOOKUP(Table2[[#This Row],[Home/Neutral]],OFR_lookup,2,FALSE)+VLOOKUP(Table2[[#This Row],[Visitor/Neutral]],def_diff_lookup,6,FALSE))</f>
        <v>98.021141084504009</v>
      </c>
      <c r="L1139" s="25"/>
      <c r="M1139" s="25">
        <f>(Table2[[#This Row],[Away Pace]]/100)*(VLOOKUP(Table2[[#This Row],[Visitor/Neutral]],OFR_lookup,2,FALSE)+VLOOKUP(Table2[[#This Row],[Home/Neutral]],def_diff_lookup,6,FALSE))</f>
        <v>103.82824466666668</v>
      </c>
      <c r="N1139" s="25"/>
      <c r="O1139" s="25"/>
      <c r="P1139">
        <f>VLOOKUP(Table2[[#This Row],[Home/Neutral]],pace_lookup,7,FALSE)</f>
        <v>94.5</v>
      </c>
      <c r="Q1139" s="5">
        <f>VLOOKUP(Table2[[#This Row],[Visitor/Neutral]],pace_lookup,7,FALSE)</f>
        <v>99.7</v>
      </c>
      <c r="R1139" s="9"/>
      <c r="V1139" s="2">
        <f>-home-VLOOKUP(Table2[[#This Row],[Home/Neutral]],rtg_vlookup,4,FALSE)+VLOOKUP(Table2[[#This Row],[Visitor/Neutral]],rtg_vlookup,4,FALSE)</f>
        <v>-2.045118483412331</v>
      </c>
      <c r="W1139" s="25"/>
      <c r="X1139" s="2"/>
      <c r="Y1139" s="2">
        <f>Table2[[#This Row],[Away EV]]-Table2[[#This Row],[Home EV]]</f>
        <v>5.807103582162668</v>
      </c>
      <c r="Z1139" s="33"/>
      <c r="AA1139" s="34"/>
      <c r="AB1139" s="5" t="b">
        <f>IF(VLOOKUP(Table2[[#This Row],[Home/Neutral]],division_lookup,9,FALSE)=VLOOKUP(Table2[[#This Row],[Visitor/Neutral]],division_lookup,9,FALSE),TRUE,FALSE)</f>
        <v>0</v>
      </c>
      <c r="AC1139" s="19" t="str">
        <f>VLOOKUP(Table2[[#This Row],[Home/Neutral]],division_lookup,9,FALSE)</f>
        <v>C</v>
      </c>
      <c r="AD1139" s="19"/>
      <c r="AE1139" s="19" t="str">
        <f>IF(Table2[[#This Row],[Total EV ®]]&lt;Table2[[#This Row],[Total (V)]],"UNDER","OVER")</f>
        <v>OVER</v>
      </c>
      <c r="AF1139" s="30">
        <f>Table2[[#This Row],[(A) Spread]]-Table2[[#This Row],[Spread (V)]]</f>
        <v>0</v>
      </c>
      <c r="AG1139" s="19"/>
      <c r="AH1139" s="2">
        <f>Table2[[#This Row],[EV]]-Table2[[#This Row],[Spread (V)]]</f>
        <v>5.807103582162668</v>
      </c>
      <c r="AI1139" s="22">
        <f>Table2[[#This Row],[(A)]]-Table2[[#This Row],[Spread]]</f>
        <v>-2.045118483412331</v>
      </c>
      <c r="AJ1139" s="1">
        <f>Table2[[#This Row],[(A) Err]]^2</f>
        <v>4.1825096111947531</v>
      </c>
      <c r="AK1139" s="6">
        <f>Table2[[#This Row],[EV]]-Table2[[#This Row],[Spread]]</f>
        <v>5.807103582162668</v>
      </c>
      <c r="AL1139" s="1">
        <f>Table2[[#This Row],[EV Err]]^2</f>
        <v>33.722452013966489</v>
      </c>
    </row>
    <row r="1140" spans="1:38" x14ac:dyDescent="0.25">
      <c r="A1140" t="s">
        <v>193</v>
      </c>
      <c r="B1140" t="s">
        <v>4</v>
      </c>
      <c r="C1140" t="s">
        <v>24</v>
      </c>
      <c r="K1140" s="25">
        <f>(Table2[[#This Row],[Home Pace]]/100)*(VLOOKUP(Table2[[#This Row],[Home/Neutral]],home_lookup,8,FALSE)+VLOOKUP(Table2[[#This Row],[Home/Neutral]],OFR_lookup,2,FALSE)+VLOOKUP(Table2[[#This Row],[Visitor/Neutral]],def_diff_lookup,6,FALSE))</f>
        <v>106.13610781393444</v>
      </c>
      <c r="L1140" s="25"/>
      <c r="M1140" s="25">
        <f>(Table2[[#This Row],[Away Pace]]/100)*(VLOOKUP(Table2[[#This Row],[Visitor/Neutral]],OFR_lookup,2,FALSE)+VLOOKUP(Table2[[#This Row],[Home/Neutral]],def_diff_lookup,6,FALSE))</f>
        <v>104.33622600000001</v>
      </c>
      <c r="N1140" s="25"/>
      <c r="O1140" s="25"/>
      <c r="P1140">
        <f>VLOOKUP(Table2[[#This Row],[Home/Neutral]],pace_lookup,7,FALSE)</f>
        <v>96.6</v>
      </c>
      <c r="Q1140" s="5">
        <f>VLOOKUP(Table2[[#This Row],[Visitor/Neutral]],pace_lookup,7,FALSE)</f>
        <v>99.9</v>
      </c>
      <c r="R1140" s="9"/>
      <c r="V1140" s="2">
        <f>-home-VLOOKUP(Table2[[#This Row],[Home/Neutral]],rtg_vlookup,4,FALSE)+VLOOKUP(Table2[[#This Row],[Visitor/Neutral]],rtg_vlookup,4,FALSE)</f>
        <v>-17.10511848341233</v>
      </c>
      <c r="W1140" s="25"/>
      <c r="X1140" s="2"/>
      <c r="Y1140" s="2">
        <f>Table2[[#This Row],[Away EV]]-Table2[[#This Row],[Home EV]]</f>
        <v>-1.7998818139344337</v>
      </c>
      <c r="Z1140" s="33"/>
      <c r="AA1140" s="34"/>
      <c r="AB1140" s="5" t="b">
        <f>IF(VLOOKUP(Table2[[#This Row],[Home/Neutral]],division_lookup,9,FALSE)=VLOOKUP(Table2[[#This Row],[Visitor/Neutral]],division_lookup,9,FALSE),TRUE,FALSE)</f>
        <v>1</v>
      </c>
      <c r="AC1140" s="19" t="str">
        <f>VLOOKUP(Table2[[#This Row],[Home/Neutral]],division_lookup,9,FALSE)</f>
        <v>P</v>
      </c>
      <c r="AD1140" s="19"/>
      <c r="AE1140" s="19" t="str">
        <f>IF(Table2[[#This Row],[Total EV ®]]&lt;Table2[[#This Row],[Total (V)]],"UNDER","OVER")</f>
        <v>OVER</v>
      </c>
      <c r="AF1140" s="30">
        <f>Table2[[#This Row],[(A) Spread]]-Table2[[#This Row],[Spread (V)]]</f>
        <v>0</v>
      </c>
      <c r="AG1140" s="19"/>
      <c r="AH1140" s="2">
        <f>Table2[[#This Row],[EV]]-Table2[[#This Row],[Spread (V)]]</f>
        <v>-1.7998818139344337</v>
      </c>
      <c r="AI1140" s="22">
        <f>Table2[[#This Row],[(A)]]-Table2[[#This Row],[Spread]]</f>
        <v>-17.10511848341233</v>
      </c>
      <c r="AJ1140" s="1">
        <f>Table2[[#This Row],[(A) Err]]^2</f>
        <v>292.5850783315741</v>
      </c>
      <c r="AK1140" s="6">
        <f>Table2[[#This Row],[EV]]-Table2[[#This Row],[Spread]]</f>
        <v>-1.7998818139344337</v>
      </c>
      <c r="AL1140" s="1">
        <f>Table2[[#This Row],[EV Err]]^2</f>
        <v>3.2395745441319073</v>
      </c>
    </row>
    <row r="1141" spans="1:38" x14ac:dyDescent="0.25">
      <c r="A1141" t="s">
        <v>193</v>
      </c>
      <c r="B1141" t="s">
        <v>22</v>
      </c>
      <c r="C1141" t="s">
        <v>29</v>
      </c>
      <c r="K1141" s="25">
        <f>(Table2[[#This Row],[Home Pace]]/100)*(VLOOKUP(Table2[[#This Row],[Home/Neutral]],home_lookup,8,FALSE)+VLOOKUP(Table2[[#This Row],[Home/Neutral]],OFR_lookup,2,FALSE)+VLOOKUP(Table2[[#This Row],[Visitor/Neutral]],def_diff_lookup,6,FALSE))</f>
        <v>114.06944922968975</v>
      </c>
      <c r="L1141" s="25"/>
      <c r="M1141" s="25">
        <f>(Table2[[#This Row],[Away Pace]]/100)*(VLOOKUP(Table2[[#This Row],[Visitor/Neutral]],OFR_lookup,2,FALSE)+VLOOKUP(Table2[[#This Row],[Home/Neutral]],def_diff_lookup,6,FALSE))</f>
        <v>104.47506533333335</v>
      </c>
      <c r="N1141" s="25"/>
      <c r="O1141" s="25"/>
      <c r="P1141">
        <f>VLOOKUP(Table2[[#This Row],[Home/Neutral]],pace_lookup,7,FALSE)</f>
        <v>94.7</v>
      </c>
      <c r="Q1141" s="5">
        <f>VLOOKUP(Table2[[#This Row],[Visitor/Neutral]],pace_lookup,7,FALSE)</f>
        <v>93.8</v>
      </c>
      <c r="R1141" s="9"/>
      <c r="V1141" s="2">
        <f>-home-VLOOKUP(Table2[[#This Row],[Home/Neutral]],rtg_vlookup,4,FALSE)+VLOOKUP(Table2[[#This Row],[Visitor/Neutral]],rtg_vlookup,4,FALSE)</f>
        <v>-5.9251184834123309</v>
      </c>
      <c r="W1141" s="25"/>
      <c r="X1141" s="2"/>
      <c r="Y1141" s="2">
        <f>Table2[[#This Row],[Away EV]]-Table2[[#This Row],[Home EV]]</f>
        <v>-9.5943838963564048</v>
      </c>
      <c r="Z1141" s="33"/>
      <c r="AA1141" s="34"/>
      <c r="AB1141" s="5" t="b">
        <f>IF(VLOOKUP(Table2[[#This Row],[Home/Neutral]],division_lookup,9,FALSE)=VLOOKUP(Table2[[#This Row],[Visitor/Neutral]],division_lookup,9,FALSE),TRUE,FALSE)</f>
        <v>0</v>
      </c>
      <c r="AC1141" s="19" t="str">
        <f>VLOOKUP(Table2[[#This Row],[Home/Neutral]],division_lookup,9,FALSE)</f>
        <v>NW</v>
      </c>
      <c r="AD1141" s="19"/>
      <c r="AE1141" s="19" t="str">
        <f>IF(Table2[[#This Row],[Total EV ®]]&lt;Table2[[#This Row],[Total (V)]],"UNDER","OVER")</f>
        <v>OVER</v>
      </c>
      <c r="AF1141" s="30">
        <f>Table2[[#This Row],[(A) Spread]]-Table2[[#This Row],[Spread (V)]]</f>
        <v>0</v>
      </c>
      <c r="AG1141" s="19"/>
      <c r="AH1141" s="2">
        <f>Table2[[#This Row],[EV]]-Table2[[#This Row],[Spread (V)]]</f>
        <v>-9.5943838963564048</v>
      </c>
      <c r="AI1141" s="22">
        <f>Table2[[#This Row],[(A)]]-Table2[[#This Row],[Spread]]</f>
        <v>-5.9251184834123309</v>
      </c>
      <c r="AJ1141" s="1">
        <f>Table2[[#This Row],[(A) Err]]^2</f>
        <v>35.107029042474437</v>
      </c>
      <c r="AK1141" s="6">
        <f>Table2[[#This Row],[EV]]-Table2[[#This Row],[Spread]]</f>
        <v>-9.5943838963564048</v>
      </c>
      <c r="AL1141" s="1">
        <f>Table2[[#This Row],[EV Err]]^2</f>
        <v>92.052202350663109</v>
      </c>
    </row>
    <row r="1142" spans="1:38" x14ac:dyDescent="0.25">
      <c r="A1142" t="s">
        <v>193</v>
      </c>
      <c r="B1142" t="s">
        <v>32</v>
      </c>
      <c r="C1142" t="s">
        <v>36</v>
      </c>
      <c r="K1142" s="25">
        <f>(Table2[[#This Row],[Home Pace]]/100)*(VLOOKUP(Table2[[#This Row],[Home/Neutral]],home_lookup,8,FALSE)+VLOOKUP(Table2[[#This Row],[Home/Neutral]],OFR_lookup,2,FALSE)+VLOOKUP(Table2[[#This Row],[Visitor/Neutral]],def_diff_lookup,6,FALSE))</f>
        <v>112.02835112001839</v>
      </c>
      <c r="L1142" s="25"/>
      <c r="M1142" s="25">
        <f>(Table2[[#This Row],[Away Pace]]/100)*(VLOOKUP(Table2[[#This Row],[Visitor/Neutral]],OFR_lookup,2,FALSE)+VLOOKUP(Table2[[#This Row],[Home/Neutral]],def_diff_lookup,6,FALSE))</f>
        <v>110.39712133333336</v>
      </c>
      <c r="N1142" s="25"/>
      <c r="O1142" s="25"/>
      <c r="P1142">
        <f>VLOOKUP(Table2[[#This Row],[Home/Neutral]],pace_lookup,7,FALSE)</f>
        <v>98.6</v>
      </c>
      <c r="Q1142" s="5">
        <f>VLOOKUP(Table2[[#This Row],[Visitor/Neutral]],pace_lookup,7,FALSE)</f>
        <v>102.2</v>
      </c>
      <c r="R1142" s="9"/>
      <c r="V1142" s="2">
        <f>-home-VLOOKUP(Table2[[#This Row],[Home/Neutral]],rtg_vlookup,4,FALSE)+VLOOKUP(Table2[[#This Row],[Visitor/Neutral]],rtg_vlookup,4,FALSE)</f>
        <v>-6.045118483412331</v>
      </c>
      <c r="W1142" s="25"/>
      <c r="X1142" s="2"/>
      <c r="Y1142" s="2">
        <f>Table2[[#This Row],[Away EV]]-Table2[[#This Row],[Home EV]]</f>
        <v>-1.6312297866850258</v>
      </c>
      <c r="Z1142" s="33"/>
      <c r="AA1142" s="34"/>
      <c r="AB1142" s="5" t="b">
        <f>IF(VLOOKUP(Table2[[#This Row],[Home/Neutral]],division_lookup,9,FALSE)=VLOOKUP(Table2[[#This Row],[Visitor/Neutral]],division_lookup,9,FALSE),TRUE,FALSE)</f>
        <v>0</v>
      </c>
      <c r="AC1142" s="19" t="str">
        <f>VLOOKUP(Table2[[#This Row],[Home/Neutral]],division_lookup,9,FALSE)</f>
        <v>NW</v>
      </c>
      <c r="AD1142" s="19"/>
      <c r="AE1142" s="19" t="str">
        <f>IF(Table2[[#This Row],[Total EV ®]]&lt;Table2[[#This Row],[Total (V)]],"UNDER","OVER")</f>
        <v>OVER</v>
      </c>
      <c r="AF1142" s="30">
        <f>Table2[[#This Row],[(A) Spread]]-Table2[[#This Row],[Spread (V)]]</f>
        <v>0</v>
      </c>
      <c r="AG1142" s="19"/>
      <c r="AH1142" s="2">
        <f>Table2[[#This Row],[EV]]-Table2[[#This Row],[Spread (V)]]</f>
        <v>-1.6312297866850258</v>
      </c>
      <c r="AI1142" s="22">
        <f>Table2[[#This Row],[(A)]]-Table2[[#This Row],[Spread]]</f>
        <v>-6.045118483412331</v>
      </c>
      <c r="AJ1142" s="1">
        <f>Table2[[#This Row],[(A) Err]]^2</f>
        <v>36.543457478493401</v>
      </c>
      <c r="AK1142" s="6">
        <f>Table2[[#This Row],[EV]]-Table2[[#This Row],[Spread]]</f>
        <v>-1.6312297866850258</v>
      </c>
      <c r="AL1142" s="1">
        <f>Table2[[#This Row],[EV Err]]^2</f>
        <v>2.6609106169684749</v>
      </c>
    </row>
    <row r="1143" spans="1:38" x14ac:dyDescent="0.25">
      <c r="A1143" t="s">
        <v>194</v>
      </c>
      <c r="B1143" t="s">
        <v>35</v>
      </c>
      <c r="C1143" t="s">
        <v>11</v>
      </c>
      <c r="K1143" s="25">
        <f>(Table2[[#This Row],[Home Pace]]/100)*(VLOOKUP(Table2[[#This Row],[Home/Neutral]],home_lookup,8,FALSE)+VLOOKUP(Table2[[#This Row],[Home/Neutral]],OFR_lookup,2,FALSE)+VLOOKUP(Table2[[#This Row],[Visitor/Neutral]],def_diff_lookup,6,FALSE))</f>
        <v>99.648451212096262</v>
      </c>
      <c r="L1143" s="25"/>
      <c r="M1143" s="25">
        <f>(Table2[[#This Row],[Away Pace]]/100)*(VLOOKUP(Table2[[#This Row],[Visitor/Neutral]],OFR_lookup,2,FALSE)+VLOOKUP(Table2[[#This Row],[Home/Neutral]],def_diff_lookup,6,FALSE))</f>
        <v>108.07546466666666</v>
      </c>
      <c r="N1143" s="25"/>
      <c r="O1143" s="25"/>
      <c r="P1143">
        <f>VLOOKUP(Table2[[#This Row],[Home/Neutral]],pace_lookup,7,FALSE)</f>
        <v>102.2</v>
      </c>
      <c r="Q1143" s="5">
        <f>VLOOKUP(Table2[[#This Row],[Visitor/Neutral]],pace_lookup,7,FALSE)</f>
        <v>99.7</v>
      </c>
      <c r="R1143" s="9"/>
      <c r="V1143" s="2">
        <f>-home-VLOOKUP(Table2[[#This Row],[Home/Neutral]],rtg_vlookup,4,FALSE)+VLOOKUP(Table2[[#This Row],[Visitor/Neutral]],rtg_vlookup,4,FALSE)</f>
        <v>9.9048815165876682</v>
      </c>
      <c r="W1143" s="25"/>
      <c r="X1143" s="2"/>
      <c r="Y1143" s="2">
        <f>Table2[[#This Row],[Away EV]]-Table2[[#This Row],[Home EV]]</f>
        <v>8.4270134545703996</v>
      </c>
      <c r="Z1143" s="33"/>
      <c r="AA1143" s="34"/>
      <c r="AB1143" s="5" t="b">
        <f>IF(VLOOKUP(Table2[[#This Row],[Home/Neutral]],division_lookup,9,FALSE)=VLOOKUP(Table2[[#This Row],[Visitor/Neutral]],division_lookup,9,FALSE),TRUE,FALSE)</f>
        <v>0</v>
      </c>
      <c r="AC1143" s="19" t="str">
        <f>VLOOKUP(Table2[[#This Row],[Home/Neutral]],division_lookup,9,FALSE)</f>
        <v>A</v>
      </c>
      <c r="AD1143" s="19"/>
      <c r="AE1143" s="19" t="str">
        <f>IF(Table2[[#This Row],[Total EV ®]]&lt;Table2[[#This Row],[Total (V)]],"UNDER","OVER")</f>
        <v>OVER</v>
      </c>
      <c r="AF1143" s="30">
        <f>Table2[[#This Row],[(A) Spread]]-Table2[[#This Row],[Spread (V)]]</f>
        <v>0</v>
      </c>
      <c r="AG1143" s="19"/>
      <c r="AH1143" s="2">
        <f>Table2[[#This Row],[EV]]-Table2[[#This Row],[Spread (V)]]</f>
        <v>8.4270134545703996</v>
      </c>
      <c r="AI1143" s="22">
        <f>Table2[[#This Row],[(A)]]-Table2[[#This Row],[Spread]]</f>
        <v>9.9048815165876682</v>
      </c>
      <c r="AJ1143" s="1">
        <f>Table2[[#This Row],[(A) Err]]^2</f>
        <v>98.106677857640022</v>
      </c>
      <c r="AK1143" s="6">
        <f>Table2[[#This Row],[EV]]-Table2[[#This Row],[Spread]]</f>
        <v>8.4270134545703996</v>
      </c>
      <c r="AL1143" s="1">
        <f>Table2[[#This Row],[EV Err]]^2</f>
        <v>71.014555763510543</v>
      </c>
    </row>
    <row r="1144" spans="1:38" x14ac:dyDescent="0.25">
      <c r="A1144" t="s">
        <v>194</v>
      </c>
      <c r="B1144" t="s">
        <v>8</v>
      </c>
      <c r="C1144" t="s">
        <v>33</v>
      </c>
      <c r="K1144" s="25">
        <f>(Table2[[#This Row],[Home Pace]]/100)*(VLOOKUP(Table2[[#This Row],[Home/Neutral]],home_lookup,8,FALSE)+VLOOKUP(Table2[[#This Row],[Home/Neutral]],OFR_lookup,2,FALSE)+VLOOKUP(Table2[[#This Row],[Visitor/Neutral]],def_diff_lookup,6,FALSE))</f>
        <v>107.1972603689818</v>
      </c>
      <c r="L1144" s="25"/>
      <c r="M1144" s="25">
        <f>(Table2[[#This Row],[Away Pace]]/100)*(VLOOKUP(Table2[[#This Row],[Visitor/Neutral]],OFR_lookup,2,FALSE)+VLOOKUP(Table2[[#This Row],[Home/Neutral]],def_diff_lookup,6,FALSE))</f>
        <v>99.752214666666674</v>
      </c>
      <c r="N1144" s="25"/>
      <c r="O1144" s="25"/>
      <c r="P1144">
        <f>VLOOKUP(Table2[[#This Row],[Home/Neutral]],pace_lookup,7,FALSE)</f>
        <v>97.2</v>
      </c>
      <c r="Q1144" s="5">
        <f>VLOOKUP(Table2[[#This Row],[Visitor/Neutral]],pace_lookup,7,FALSE)</f>
        <v>98.2</v>
      </c>
      <c r="R1144" s="9"/>
      <c r="V1144" s="2">
        <f>-home-VLOOKUP(Table2[[#This Row],[Home/Neutral]],rtg_vlookup,4,FALSE)+VLOOKUP(Table2[[#This Row],[Visitor/Neutral]],rtg_vlookup,4,FALSE)</f>
        <v>-14.82511848341233</v>
      </c>
      <c r="W1144" s="25"/>
      <c r="X1144" s="2"/>
      <c r="Y1144" s="2">
        <f>Table2[[#This Row],[Away EV]]-Table2[[#This Row],[Home EV]]</f>
        <v>-7.4450457023151273</v>
      </c>
      <c r="Z1144" s="33"/>
      <c r="AA1144" s="34"/>
      <c r="AB1144" s="5" t="b">
        <f>IF(VLOOKUP(Table2[[#This Row],[Home/Neutral]],division_lookup,9,FALSE)=VLOOKUP(Table2[[#This Row],[Visitor/Neutral]],division_lookup,9,FALSE),TRUE,FALSE)</f>
        <v>1</v>
      </c>
      <c r="AC1144" s="19" t="str">
        <f>VLOOKUP(Table2[[#This Row],[Home/Neutral]],division_lookup,9,FALSE)</f>
        <v>C</v>
      </c>
      <c r="AD1144" s="19"/>
      <c r="AE1144" s="19" t="str">
        <f>IF(Table2[[#This Row],[Total EV ®]]&lt;Table2[[#This Row],[Total (V)]],"UNDER","OVER")</f>
        <v>OVER</v>
      </c>
      <c r="AF1144" s="30">
        <f>Table2[[#This Row],[(A) Spread]]-Table2[[#This Row],[Spread (V)]]</f>
        <v>0</v>
      </c>
      <c r="AG1144" s="19"/>
      <c r="AH1144" s="2">
        <f>Table2[[#This Row],[EV]]-Table2[[#This Row],[Spread (V)]]</f>
        <v>-7.4450457023151273</v>
      </c>
      <c r="AI1144" s="22">
        <f>Table2[[#This Row],[(A)]]-Table2[[#This Row],[Spread]]</f>
        <v>-14.82511848341233</v>
      </c>
      <c r="AJ1144" s="1">
        <f>Table2[[#This Row],[(A) Err]]^2</f>
        <v>219.78413804721393</v>
      </c>
      <c r="AK1144" s="6">
        <f>Table2[[#This Row],[EV]]-Table2[[#This Row],[Spread]]</f>
        <v>-7.4450457023151273</v>
      </c>
      <c r="AL1144" s="1">
        <f>Table2[[#This Row],[EV Err]]^2</f>
        <v>55.428705509560949</v>
      </c>
    </row>
    <row r="1145" spans="1:38" x14ac:dyDescent="0.25">
      <c r="A1145" t="s">
        <v>194</v>
      </c>
      <c r="B1145" t="s">
        <v>10</v>
      </c>
      <c r="C1145" t="s">
        <v>28</v>
      </c>
      <c r="K1145" s="25">
        <f>(Table2[[#This Row],[Home Pace]]/100)*(VLOOKUP(Table2[[#This Row],[Home/Neutral]],home_lookup,8,FALSE)+VLOOKUP(Table2[[#This Row],[Home/Neutral]],OFR_lookup,2,FALSE)+VLOOKUP(Table2[[#This Row],[Visitor/Neutral]],def_diff_lookup,6,FALSE))</f>
        <v>110.18527853790562</v>
      </c>
      <c r="L1145" s="25"/>
      <c r="M1145" s="25">
        <f>(Table2[[#This Row],[Away Pace]]/100)*(VLOOKUP(Table2[[#This Row],[Visitor/Neutral]],OFR_lookup,2,FALSE)+VLOOKUP(Table2[[#This Row],[Home/Neutral]],def_diff_lookup,6,FALSE))</f>
        <v>104.91949199999999</v>
      </c>
      <c r="N1145" s="25"/>
      <c r="O1145" s="25"/>
      <c r="P1145">
        <f>VLOOKUP(Table2[[#This Row],[Home/Neutral]],pace_lookup,7,FALSE)</f>
        <v>100.3</v>
      </c>
      <c r="Q1145" s="5">
        <f>VLOOKUP(Table2[[#This Row],[Visitor/Neutral]],pace_lookup,7,FALSE)</f>
        <v>96.3</v>
      </c>
      <c r="R1145" s="9"/>
      <c r="V1145" s="2">
        <f>-home-VLOOKUP(Table2[[#This Row],[Home/Neutral]],rtg_vlookup,4,FALSE)+VLOOKUP(Table2[[#This Row],[Visitor/Neutral]],rtg_vlookup,4,FALSE)</f>
        <v>-13.115118483412331</v>
      </c>
      <c r="W1145" s="25"/>
      <c r="X1145" s="2"/>
      <c r="Y1145" s="2">
        <f>Table2[[#This Row],[Away EV]]-Table2[[#This Row],[Home EV]]</f>
        <v>-5.2657865379056261</v>
      </c>
      <c r="Z1145" s="33"/>
      <c r="AA1145" s="34"/>
      <c r="AB1145" s="5" t="b">
        <f>IF(VLOOKUP(Table2[[#This Row],[Home/Neutral]],division_lookup,9,FALSE)=VLOOKUP(Table2[[#This Row],[Visitor/Neutral]],division_lookup,9,FALSE),TRUE,FALSE)</f>
        <v>0</v>
      </c>
      <c r="AC1145" s="19" t="str">
        <f>VLOOKUP(Table2[[#This Row],[Home/Neutral]],division_lookup,9,FALSE)</f>
        <v>P</v>
      </c>
      <c r="AD1145" s="19"/>
      <c r="AE1145" s="19" t="str">
        <f>IF(Table2[[#This Row],[Total EV ®]]&lt;Table2[[#This Row],[Total (V)]],"UNDER","OVER")</f>
        <v>OVER</v>
      </c>
      <c r="AF1145" s="30">
        <f>Table2[[#This Row],[(A) Spread]]-Table2[[#This Row],[Spread (V)]]</f>
        <v>0</v>
      </c>
      <c r="AG1145" s="19"/>
      <c r="AH1145" s="2">
        <f>Table2[[#This Row],[EV]]-Table2[[#This Row],[Spread (V)]]</f>
        <v>-5.2657865379056261</v>
      </c>
      <c r="AI1145" s="22">
        <f>Table2[[#This Row],[(A)]]-Table2[[#This Row],[Spread]]</f>
        <v>-13.115118483412331</v>
      </c>
      <c r="AJ1145" s="1">
        <f>Table2[[#This Row],[(A) Err]]^2</f>
        <v>172.00633283394376</v>
      </c>
      <c r="AK1145" s="6">
        <f>Table2[[#This Row],[EV]]-Table2[[#This Row],[Spread]]</f>
        <v>-5.2657865379056261</v>
      </c>
      <c r="AL1145" s="1">
        <f>Table2[[#This Row],[EV Err]]^2</f>
        <v>27.728507862788121</v>
      </c>
    </row>
    <row r="1146" spans="1:38" x14ac:dyDescent="0.25">
      <c r="A1146" t="s">
        <v>194</v>
      </c>
      <c r="B1146" t="s">
        <v>24</v>
      </c>
      <c r="C1146" t="s">
        <v>23</v>
      </c>
      <c r="K1146" s="25">
        <f>(Table2[[#This Row],[Home Pace]]/100)*(VLOOKUP(Table2[[#This Row],[Home/Neutral]],home_lookup,8,FALSE)+VLOOKUP(Table2[[#This Row],[Home/Neutral]],OFR_lookup,2,FALSE)+VLOOKUP(Table2[[#This Row],[Visitor/Neutral]],def_diff_lookup,6,FALSE))</f>
        <v>104.81088432830941</v>
      </c>
      <c r="L1146" s="25"/>
      <c r="M1146" s="25">
        <f>(Table2[[#This Row],[Away Pace]]/100)*(VLOOKUP(Table2[[#This Row],[Visitor/Neutral]],OFR_lookup,2,FALSE)+VLOOKUP(Table2[[#This Row],[Home/Neutral]],def_diff_lookup,6,FALSE))</f>
        <v>100.15961666666668</v>
      </c>
      <c r="N1146" s="25"/>
      <c r="O1146" s="25"/>
      <c r="P1146">
        <f>VLOOKUP(Table2[[#This Row],[Home/Neutral]],pace_lookup,7,FALSE)</f>
        <v>99.9</v>
      </c>
      <c r="Q1146" s="5">
        <f>VLOOKUP(Table2[[#This Row],[Visitor/Neutral]],pace_lookup,7,FALSE)</f>
        <v>92.5</v>
      </c>
      <c r="R1146" s="9"/>
      <c r="V1146" s="2">
        <f>-home-VLOOKUP(Table2[[#This Row],[Home/Neutral]],rtg_vlookup,4,FALSE)+VLOOKUP(Table2[[#This Row],[Visitor/Neutral]],rtg_vlookup,4,FALSE)</f>
        <v>-0.58511848341233064</v>
      </c>
      <c r="W1146" s="25"/>
      <c r="X1146" s="2"/>
      <c r="Y1146" s="2">
        <f>Table2[[#This Row],[Away EV]]-Table2[[#This Row],[Home EV]]</f>
        <v>-4.6512676616427342</v>
      </c>
      <c r="Z1146" s="33"/>
      <c r="AA1146" s="34"/>
      <c r="AB1146" s="5" t="b">
        <f>IF(VLOOKUP(Table2[[#This Row],[Home/Neutral]],division_lookup,9,FALSE)=VLOOKUP(Table2[[#This Row],[Visitor/Neutral]],division_lookup,9,FALSE),TRUE,FALSE)</f>
        <v>0</v>
      </c>
      <c r="AC1146" s="19" t="str">
        <f>VLOOKUP(Table2[[#This Row],[Home/Neutral]],division_lookup,9,FALSE)</f>
        <v>P</v>
      </c>
      <c r="AD1146" s="19"/>
      <c r="AE1146" s="19" t="str">
        <f>IF(Table2[[#This Row],[Total EV ®]]&lt;Table2[[#This Row],[Total (V)]],"UNDER","OVER")</f>
        <v>OVER</v>
      </c>
      <c r="AF1146" s="30">
        <f>Table2[[#This Row],[(A) Spread]]-Table2[[#This Row],[Spread (V)]]</f>
        <v>0</v>
      </c>
      <c r="AG1146" s="19"/>
      <c r="AH1146" s="2">
        <f>Table2[[#This Row],[EV]]-Table2[[#This Row],[Spread (V)]]</f>
        <v>-4.6512676616427342</v>
      </c>
      <c r="AI1146" s="22">
        <f>Table2[[#This Row],[(A)]]-Table2[[#This Row],[Spread]]</f>
        <v>-0.58511848341233064</v>
      </c>
      <c r="AJ1146" s="1">
        <f>Table2[[#This Row],[(A) Err]]^2</f>
        <v>0.34236363963074584</v>
      </c>
      <c r="AK1146" s="6">
        <f>Table2[[#This Row],[EV]]-Table2[[#This Row],[Spread]]</f>
        <v>-4.6512676616427342</v>
      </c>
      <c r="AL1146" s="1">
        <f>Table2[[#This Row],[EV Err]]^2</f>
        <v>21.634290860243468</v>
      </c>
    </row>
    <row r="1147" spans="1:38" x14ac:dyDescent="0.25">
      <c r="A1147" t="s">
        <v>194</v>
      </c>
      <c r="B1147" t="s">
        <v>21</v>
      </c>
      <c r="C1147" t="s">
        <v>27</v>
      </c>
      <c r="K1147" s="25">
        <f>(Table2[[#This Row],[Home Pace]]/100)*(VLOOKUP(Table2[[#This Row],[Home/Neutral]],home_lookup,8,FALSE)+VLOOKUP(Table2[[#This Row],[Home/Neutral]],OFR_lookup,2,FALSE)+VLOOKUP(Table2[[#This Row],[Visitor/Neutral]],def_diff_lookup,6,FALSE))</f>
        <v>101.0829711752439</v>
      </c>
      <c r="L1147" s="25"/>
      <c r="M1147" s="25">
        <f>(Table2[[#This Row],[Away Pace]]/100)*(VLOOKUP(Table2[[#This Row],[Visitor/Neutral]],OFR_lookup,2,FALSE)+VLOOKUP(Table2[[#This Row],[Home/Neutral]],def_diff_lookup,6,FALSE))</f>
        <v>100.51536</v>
      </c>
      <c r="N1147" s="25"/>
      <c r="O1147" s="25"/>
      <c r="P1147">
        <f>VLOOKUP(Table2[[#This Row],[Home/Neutral]],pace_lookup,7,FALSE)</f>
        <v>94.2</v>
      </c>
      <c r="Q1147" s="5">
        <f>VLOOKUP(Table2[[#This Row],[Visitor/Neutral]],pace_lookup,7,FALSE)</f>
        <v>99</v>
      </c>
      <c r="R1147" s="9"/>
      <c r="V1147" s="2">
        <f>-home-VLOOKUP(Table2[[#This Row],[Home/Neutral]],rtg_vlookup,4,FALSE)+VLOOKUP(Table2[[#This Row],[Visitor/Neutral]],rtg_vlookup,4,FALSE)</f>
        <v>-3.2251184834123308</v>
      </c>
      <c r="W1147" s="25"/>
      <c r="X1147" s="2"/>
      <c r="Y1147" s="2">
        <f>Table2[[#This Row],[Away EV]]-Table2[[#This Row],[Home EV]]</f>
        <v>-0.56761117524389704</v>
      </c>
      <c r="Z1147" s="33"/>
      <c r="AA1147" s="34"/>
      <c r="AB1147" s="5" t="b">
        <f>IF(VLOOKUP(Table2[[#This Row],[Home/Neutral]],division_lookup,9,FALSE)=VLOOKUP(Table2[[#This Row],[Visitor/Neutral]],division_lookup,9,FALSE),TRUE,FALSE)</f>
        <v>0</v>
      </c>
      <c r="AC1147" s="19" t="str">
        <f>VLOOKUP(Table2[[#This Row],[Home/Neutral]],division_lookup,9,FALSE)</f>
        <v>SE</v>
      </c>
      <c r="AD1147" s="19"/>
      <c r="AE1147" s="19" t="str">
        <f>IF(Table2[[#This Row],[Total EV ®]]&lt;Table2[[#This Row],[Total (V)]],"UNDER","OVER")</f>
        <v>OVER</v>
      </c>
      <c r="AF1147" s="30">
        <f>Table2[[#This Row],[(A) Spread]]-Table2[[#This Row],[Spread (V)]]</f>
        <v>0</v>
      </c>
      <c r="AG1147" s="19"/>
      <c r="AH1147" s="2">
        <f>Table2[[#This Row],[EV]]-Table2[[#This Row],[Spread (V)]]</f>
        <v>-0.56761117524389704</v>
      </c>
      <c r="AI1147" s="22">
        <f>Table2[[#This Row],[(A)]]-Table2[[#This Row],[Spread]]</f>
        <v>-3.2251184834123308</v>
      </c>
      <c r="AJ1147" s="1">
        <f>Table2[[#This Row],[(A) Err]]^2</f>
        <v>10.401389232047853</v>
      </c>
      <c r="AK1147" s="6">
        <f>Table2[[#This Row],[EV]]-Table2[[#This Row],[Spread]]</f>
        <v>-0.56761117524389704</v>
      </c>
      <c r="AL1147" s="1">
        <f>Table2[[#This Row],[EV Err]]^2</f>
        <v>0.32218244626175802</v>
      </c>
    </row>
    <row r="1148" spans="1:38" x14ac:dyDescent="0.25">
      <c r="A1148" t="s">
        <v>194</v>
      </c>
      <c r="B1148" t="s">
        <v>30</v>
      </c>
      <c r="C1148" t="s">
        <v>37</v>
      </c>
      <c r="K1148" s="25">
        <f>(Table2[[#This Row],[Home Pace]]/100)*(VLOOKUP(Table2[[#This Row],[Home/Neutral]],home_lookup,8,FALSE)+VLOOKUP(Table2[[#This Row],[Home/Neutral]],OFR_lookup,2,FALSE)+VLOOKUP(Table2[[#This Row],[Visitor/Neutral]],def_diff_lookup,6,FALSE))</f>
        <v>105.15024034993644</v>
      </c>
      <c r="L1148" s="25"/>
      <c r="M1148" s="25">
        <f>(Table2[[#This Row],[Away Pace]]/100)*(VLOOKUP(Table2[[#This Row],[Visitor/Neutral]],OFR_lookup,2,FALSE)+VLOOKUP(Table2[[#This Row],[Home/Neutral]],def_diff_lookup,6,FALSE))</f>
        <v>89.973104000000006</v>
      </c>
      <c r="N1148" s="25"/>
      <c r="O1148" s="25"/>
      <c r="P1148">
        <f>VLOOKUP(Table2[[#This Row],[Home/Neutral]],pace_lookup,7,FALSE)</f>
        <v>96.8</v>
      </c>
      <c r="Q1148" s="5">
        <f>VLOOKUP(Table2[[#This Row],[Visitor/Neutral]],pace_lookup,7,FALSE)</f>
        <v>92.1</v>
      </c>
      <c r="R1148" s="9"/>
      <c r="V1148" s="2">
        <f>-home-VLOOKUP(Table2[[#This Row],[Home/Neutral]],rtg_vlookup,4,FALSE)+VLOOKUP(Table2[[#This Row],[Visitor/Neutral]],rtg_vlookup,4,FALSE)</f>
        <v>-7.6951184834123314</v>
      </c>
      <c r="W1148" s="25"/>
      <c r="X1148" s="2"/>
      <c r="Y1148" s="2">
        <f>Table2[[#This Row],[Away EV]]-Table2[[#This Row],[Home EV]]</f>
        <v>-15.177136349936433</v>
      </c>
      <c r="Z1148" s="33"/>
      <c r="AA1148" s="34"/>
      <c r="AB1148" s="5" t="b">
        <f>IF(VLOOKUP(Table2[[#This Row],[Home/Neutral]],division_lookup,9,FALSE)=VLOOKUP(Table2[[#This Row],[Visitor/Neutral]],division_lookup,9,FALSE),TRUE,FALSE)</f>
        <v>0</v>
      </c>
      <c r="AC1148" s="19" t="str">
        <f>VLOOKUP(Table2[[#This Row],[Home/Neutral]],division_lookup,9,FALSE)</f>
        <v>C</v>
      </c>
      <c r="AD1148" s="19"/>
      <c r="AE1148" s="19" t="str">
        <f>IF(Table2[[#This Row],[Total EV ®]]&lt;Table2[[#This Row],[Total (V)]],"UNDER","OVER")</f>
        <v>OVER</v>
      </c>
      <c r="AF1148" s="30">
        <f>Table2[[#This Row],[(A) Spread]]-Table2[[#This Row],[Spread (V)]]</f>
        <v>0</v>
      </c>
      <c r="AG1148" s="19"/>
      <c r="AH1148" s="2">
        <f>Table2[[#This Row],[EV]]-Table2[[#This Row],[Spread (V)]]</f>
        <v>-15.177136349936433</v>
      </c>
      <c r="AI1148" s="22">
        <f>Table2[[#This Row],[(A)]]-Table2[[#This Row],[Spread]]</f>
        <v>-7.6951184834123314</v>
      </c>
      <c r="AJ1148" s="1">
        <f>Table2[[#This Row],[(A) Err]]^2</f>
        <v>59.214848473754103</v>
      </c>
      <c r="AK1148" s="6">
        <f>Table2[[#This Row],[EV]]-Table2[[#This Row],[Spread]]</f>
        <v>-15.177136349936433</v>
      </c>
      <c r="AL1148" s="1">
        <f>Table2[[#This Row],[EV Err]]^2</f>
        <v>230.34546778456178</v>
      </c>
    </row>
    <row r="1149" spans="1:38" x14ac:dyDescent="0.25">
      <c r="A1149" t="s">
        <v>194</v>
      </c>
      <c r="B1149" t="s">
        <v>34</v>
      </c>
      <c r="C1149" t="s">
        <v>13</v>
      </c>
      <c r="K1149" s="25">
        <f>(Table2[[#This Row],[Home Pace]]/100)*(VLOOKUP(Table2[[#This Row],[Home/Neutral]],home_lookup,8,FALSE)+VLOOKUP(Table2[[#This Row],[Home/Neutral]],OFR_lookup,2,FALSE)+VLOOKUP(Table2[[#This Row],[Visitor/Neutral]],def_diff_lookup,6,FALSE))</f>
        <v>104.21595864565556</v>
      </c>
      <c r="L1149" s="25"/>
      <c r="M1149" s="25">
        <f>(Table2[[#This Row],[Away Pace]]/100)*(VLOOKUP(Table2[[#This Row],[Visitor/Neutral]],OFR_lookup,2,FALSE)+VLOOKUP(Table2[[#This Row],[Home/Neutral]],def_diff_lookup,6,FALSE))</f>
        <v>104.89563</v>
      </c>
      <c r="N1149" s="25"/>
      <c r="O1149" s="25"/>
      <c r="P1149">
        <f>VLOOKUP(Table2[[#This Row],[Home/Neutral]],pace_lookup,7,FALSE)</f>
        <v>98.8</v>
      </c>
      <c r="Q1149" s="5">
        <f>VLOOKUP(Table2[[#This Row],[Visitor/Neutral]],pace_lookup,7,FALSE)</f>
        <v>94.5</v>
      </c>
      <c r="R1149" s="9"/>
      <c r="V1149" s="2">
        <f>-home-VLOOKUP(Table2[[#This Row],[Home/Neutral]],rtg_vlookup,4,FALSE)+VLOOKUP(Table2[[#This Row],[Visitor/Neutral]],rtg_vlookup,4,FALSE)</f>
        <v>7.9448815165876692</v>
      </c>
      <c r="W1149" s="25"/>
      <c r="X1149" s="2"/>
      <c r="Y1149" s="2">
        <f>Table2[[#This Row],[Away EV]]-Table2[[#This Row],[Home EV]]</f>
        <v>0.67967135434443549</v>
      </c>
      <c r="Z1149" s="33"/>
      <c r="AA1149" s="34"/>
      <c r="AB1149" s="5" t="b">
        <f>IF(VLOOKUP(Table2[[#This Row],[Home/Neutral]],division_lookup,9,FALSE)=VLOOKUP(Table2[[#This Row],[Visitor/Neutral]],division_lookup,9,FALSE),TRUE,FALSE)</f>
        <v>0</v>
      </c>
      <c r="AC1149" s="19" t="str">
        <f>VLOOKUP(Table2[[#This Row],[Home/Neutral]],division_lookup,9,FALSE)</f>
        <v>SW</v>
      </c>
      <c r="AD1149" s="19"/>
      <c r="AE1149" s="19" t="str">
        <f>IF(Table2[[#This Row],[Total EV ®]]&lt;Table2[[#This Row],[Total (V)]],"UNDER","OVER")</f>
        <v>OVER</v>
      </c>
      <c r="AF1149" s="30">
        <f>Table2[[#This Row],[(A) Spread]]-Table2[[#This Row],[Spread (V)]]</f>
        <v>0</v>
      </c>
      <c r="AG1149" s="19"/>
      <c r="AH1149" s="2">
        <f>Table2[[#This Row],[EV]]-Table2[[#This Row],[Spread (V)]]</f>
        <v>0.67967135434443549</v>
      </c>
      <c r="AI1149" s="22">
        <f>Table2[[#This Row],[(A)]]-Table2[[#This Row],[Spread]]</f>
        <v>7.9448815165876692</v>
      </c>
      <c r="AJ1149" s="1">
        <f>Table2[[#This Row],[(A) Err]]^2</f>
        <v>63.121142312616385</v>
      </c>
      <c r="AK1149" s="6">
        <f>Table2[[#This Row],[EV]]-Table2[[#This Row],[Spread]]</f>
        <v>0.67967135434443549</v>
      </c>
      <c r="AL1149" s="1">
        <f>Table2[[#This Row],[EV Err]]^2</f>
        <v>0.46195314991639919</v>
      </c>
    </row>
    <row r="1150" spans="1:38" x14ac:dyDescent="0.25">
      <c r="A1150" t="s">
        <v>194</v>
      </c>
      <c r="B1150" t="s">
        <v>31</v>
      </c>
      <c r="C1150" t="s">
        <v>26</v>
      </c>
      <c r="K1150" s="25">
        <f>(Table2[[#This Row],[Home Pace]]/100)*(VLOOKUP(Table2[[#This Row],[Home/Neutral]],home_lookup,8,FALSE)+VLOOKUP(Table2[[#This Row],[Home/Neutral]],OFR_lookup,2,FALSE)+VLOOKUP(Table2[[#This Row],[Visitor/Neutral]],def_diff_lookup,6,FALSE))</f>
        <v>112.0317743021789</v>
      </c>
      <c r="L1150" s="25"/>
      <c r="M1150" s="25">
        <f>(Table2[[#This Row],[Away Pace]]/100)*(VLOOKUP(Table2[[#This Row],[Visitor/Neutral]],OFR_lookup,2,FALSE)+VLOOKUP(Table2[[#This Row],[Home/Neutral]],def_diff_lookup,6,FALSE))</f>
        <v>108.05824000000001</v>
      </c>
      <c r="N1150" s="25"/>
      <c r="O1150" s="25"/>
      <c r="P1150">
        <f>VLOOKUP(Table2[[#This Row],[Home/Neutral]],pace_lookup,7,FALSE)</f>
        <v>96</v>
      </c>
      <c r="Q1150" s="5">
        <f>VLOOKUP(Table2[[#This Row],[Visitor/Neutral]],pace_lookup,7,FALSE)</f>
        <v>96</v>
      </c>
      <c r="R1150" s="9"/>
      <c r="V1150" s="2">
        <f>-home-VLOOKUP(Table2[[#This Row],[Home/Neutral]],rtg_vlookup,4,FALSE)+VLOOKUP(Table2[[#This Row],[Visitor/Neutral]],rtg_vlookup,4,FALSE)</f>
        <v>-0.70511848341233052</v>
      </c>
      <c r="W1150" s="25"/>
      <c r="X1150" s="2"/>
      <c r="Y1150" s="2">
        <f>Table2[[#This Row],[Away EV]]-Table2[[#This Row],[Home EV]]</f>
        <v>-3.9735343021788907</v>
      </c>
      <c r="Z1150" s="33"/>
      <c r="AA1150" s="34"/>
      <c r="AB1150" s="5" t="b">
        <f>IF(VLOOKUP(Table2[[#This Row],[Home/Neutral]],division_lookup,9,FALSE)=VLOOKUP(Table2[[#This Row],[Visitor/Neutral]],division_lookup,9,FALSE),TRUE,FALSE)</f>
        <v>1</v>
      </c>
      <c r="AC1150" s="19" t="str">
        <f>VLOOKUP(Table2[[#This Row],[Home/Neutral]],division_lookup,9,FALSE)</f>
        <v>A</v>
      </c>
      <c r="AD1150" s="19"/>
      <c r="AE1150" s="19" t="str">
        <f>IF(Table2[[#This Row],[Total EV ®]]&lt;Table2[[#This Row],[Total (V)]],"UNDER","OVER")</f>
        <v>OVER</v>
      </c>
      <c r="AF1150" s="30">
        <f>Table2[[#This Row],[(A) Spread]]-Table2[[#This Row],[Spread (V)]]</f>
        <v>0</v>
      </c>
      <c r="AG1150" s="19"/>
      <c r="AH1150" s="2">
        <f>Table2[[#This Row],[EV]]-Table2[[#This Row],[Spread (V)]]</f>
        <v>-3.9735343021788907</v>
      </c>
      <c r="AI1150" s="22">
        <f>Table2[[#This Row],[(A)]]-Table2[[#This Row],[Spread]]</f>
        <v>-0.70511848341233052</v>
      </c>
      <c r="AJ1150" s="1">
        <f>Table2[[#This Row],[(A) Err]]^2</f>
        <v>0.49719207564970502</v>
      </c>
      <c r="AK1150" s="6">
        <f>Table2[[#This Row],[EV]]-Table2[[#This Row],[Spread]]</f>
        <v>-3.9735343021788907</v>
      </c>
      <c r="AL1150" s="1">
        <f>Table2[[#This Row],[EV Err]]^2</f>
        <v>15.788974850592284</v>
      </c>
    </row>
    <row r="1151" spans="1:38" x14ac:dyDescent="0.25">
      <c r="A1151" t="s">
        <v>194</v>
      </c>
      <c r="B1151" t="s">
        <v>18</v>
      </c>
      <c r="C1151" t="s">
        <v>16</v>
      </c>
      <c r="K1151" s="25">
        <f>(Table2[[#This Row],[Home Pace]]/100)*(VLOOKUP(Table2[[#This Row],[Home/Neutral]],home_lookup,8,FALSE)+VLOOKUP(Table2[[#This Row],[Home/Neutral]],OFR_lookup,2,FALSE)+VLOOKUP(Table2[[#This Row],[Visitor/Neutral]],def_diff_lookup,6,FALSE))</f>
        <v>101.11410616021132</v>
      </c>
      <c r="L1151" s="25"/>
      <c r="M1151" s="25">
        <f>(Table2[[#This Row],[Away Pace]]/100)*(VLOOKUP(Table2[[#This Row],[Visitor/Neutral]],OFR_lookup,2,FALSE)+VLOOKUP(Table2[[#This Row],[Home/Neutral]],def_diff_lookup,6,FALSE))</f>
        <v>100.40615</v>
      </c>
      <c r="N1151" s="25"/>
      <c r="O1151" s="25"/>
      <c r="P1151">
        <f>VLOOKUP(Table2[[#This Row],[Home/Neutral]],pace_lookup,7,FALSE)</f>
        <v>99.5</v>
      </c>
      <c r="Q1151" s="5">
        <f>VLOOKUP(Table2[[#This Row],[Visitor/Neutral]],pace_lookup,7,FALSE)</f>
        <v>97.5</v>
      </c>
      <c r="R1151" s="9"/>
      <c r="V1151" s="2">
        <f>-home-VLOOKUP(Table2[[#This Row],[Home/Neutral]],rtg_vlookup,4,FALSE)+VLOOKUP(Table2[[#This Row],[Visitor/Neutral]],rtg_vlookup,4,FALSE)</f>
        <v>-2.4351184834123307</v>
      </c>
      <c r="W1151" s="25"/>
      <c r="X1151" s="2"/>
      <c r="Y1151" s="2">
        <f>Table2[[#This Row],[Away EV]]-Table2[[#This Row],[Home EV]]</f>
        <v>-0.70795616021132446</v>
      </c>
      <c r="Z1151" s="33"/>
      <c r="AA1151" s="34"/>
      <c r="AB1151" s="5" t="b">
        <f>IF(VLOOKUP(Table2[[#This Row],[Home/Neutral]],division_lookup,9,FALSE)=VLOOKUP(Table2[[#This Row],[Visitor/Neutral]],division_lookup,9,FALSE),TRUE,FALSE)</f>
        <v>0</v>
      </c>
      <c r="AC1151" s="19" t="str">
        <f>VLOOKUP(Table2[[#This Row],[Home/Neutral]],division_lookup,9,FALSE)</f>
        <v>NW</v>
      </c>
      <c r="AD1151" s="19"/>
      <c r="AE1151" s="19" t="str">
        <f>IF(Table2[[#This Row],[Total EV ®]]&lt;Table2[[#This Row],[Total (V)]],"UNDER","OVER")</f>
        <v>OVER</v>
      </c>
      <c r="AF1151" s="30">
        <f>Table2[[#This Row],[(A) Spread]]-Table2[[#This Row],[Spread (V)]]</f>
        <v>0</v>
      </c>
      <c r="AG1151" s="19"/>
      <c r="AH1151" s="2">
        <f>Table2[[#This Row],[EV]]-Table2[[#This Row],[Spread (V)]]</f>
        <v>-0.70795616021132446</v>
      </c>
      <c r="AI1151" s="22">
        <f>Table2[[#This Row],[(A)]]-Table2[[#This Row],[Spread]]</f>
        <v>-2.4351184834123307</v>
      </c>
      <c r="AJ1151" s="1">
        <f>Table2[[#This Row],[(A) Err]]^2</f>
        <v>5.9298020282563693</v>
      </c>
      <c r="AK1151" s="6">
        <f>Table2[[#This Row],[EV]]-Table2[[#This Row],[Spread]]</f>
        <v>-0.70795616021132446</v>
      </c>
      <c r="AL1151" s="1">
        <f>Table2[[#This Row],[EV Err]]^2</f>
        <v>0.50120192478116254</v>
      </c>
    </row>
    <row r="1152" spans="1:38" x14ac:dyDescent="0.25">
      <c r="A1152" t="s">
        <v>194</v>
      </c>
      <c r="B1152" t="s">
        <v>36</v>
      </c>
      <c r="C1152" t="s">
        <v>17</v>
      </c>
      <c r="K1152" s="25">
        <f>(Table2[[#This Row],[Home Pace]]/100)*(VLOOKUP(Table2[[#This Row],[Home/Neutral]],home_lookup,8,FALSE)+VLOOKUP(Table2[[#This Row],[Home/Neutral]],OFR_lookup,2,FALSE)+VLOOKUP(Table2[[#This Row],[Visitor/Neutral]],def_diff_lookup,6,FALSE))</f>
        <v>110.83455156604043</v>
      </c>
      <c r="L1152" s="25"/>
      <c r="M1152" s="25">
        <f>(Table2[[#This Row],[Away Pace]]/100)*(VLOOKUP(Table2[[#This Row],[Visitor/Neutral]],OFR_lookup,2,FALSE)+VLOOKUP(Table2[[#This Row],[Home/Neutral]],def_diff_lookup,6,FALSE))</f>
        <v>112.83020466666667</v>
      </c>
      <c r="N1152" s="25"/>
      <c r="O1152" s="25"/>
      <c r="P1152">
        <f>VLOOKUP(Table2[[#This Row],[Home/Neutral]],pace_lookup,7,FALSE)</f>
        <v>102.2</v>
      </c>
      <c r="Q1152" s="5">
        <f>VLOOKUP(Table2[[#This Row],[Visitor/Neutral]],pace_lookup,7,FALSE)</f>
        <v>96.7</v>
      </c>
      <c r="R1152" s="9"/>
      <c r="V1152" s="2">
        <f>-home-VLOOKUP(Table2[[#This Row],[Home/Neutral]],rtg_vlookup,4,FALSE)+VLOOKUP(Table2[[#This Row],[Visitor/Neutral]],rtg_vlookup,4,FALSE)</f>
        <v>7.7148815165876696</v>
      </c>
      <c r="W1152" s="25"/>
      <c r="X1152" s="2"/>
      <c r="Y1152" s="2">
        <f>Table2[[#This Row],[Away EV]]-Table2[[#This Row],[Home EV]]</f>
        <v>1.9956531006262423</v>
      </c>
      <c r="Z1152" s="33"/>
      <c r="AA1152" s="34"/>
      <c r="AB1152" s="5" t="b">
        <f>IF(VLOOKUP(Table2[[#This Row],[Home/Neutral]],division_lookup,9,FALSE)=VLOOKUP(Table2[[#This Row],[Visitor/Neutral]],division_lookup,9,FALSE),TRUE,FALSE)</f>
        <v>0</v>
      </c>
      <c r="AC1152" s="19" t="str">
        <f>VLOOKUP(Table2[[#This Row],[Home/Neutral]],division_lookup,9,FALSE)</f>
        <v>P</v>
      </c>
      <c r="AD1152" s="19"/>
      <c r="AE1152" s="19" t="str">
        <f>IF(Table2[[#This Row],[Total EV ®]]&lt;Table2[[#This Row],[Total (V)]],"UNDER","OVER")</f>
        <v>OVER</v>
      </c>
      <c r="AF1152" s="30">
        <f>Table2[[#This Row],[(A) Spread]]-Table2[[#This Row],[Spread (V)]]</f>
        <v>0</v>
      </c>
      <c r="AG1152" s="19"/>
      <c r="AH1152" s="2">
        <f>Table2[[#This Row],[EV]]-Table2[[#This Row],[Spread (V)]]</f>
        <v>1.9956531006262423</v>
      </c>
      <c r="AI1152" s="22">
        <f>Table2[[#This Row],[(A)]]-Table2[[#This Row],[Spread]]</f>
        <v>7.7148815165876696</v>
      </c>
      <c r="AJ1152" s="1">
        <f>Table2[[#This Row],[(A) Err]]^2</f>
        <v>59.519396814986059</v>
      </c>
      <c r="AK1152" s="6">
        <f>Table2[[#This Row],[EV]]-Table2[[#This Row],[Spread]]</f>
        <v>1.9956531006262423</v>
      </c>
      <c r="AL1152" s="1">
        <f>Table2[[#This Row],[EV Err]]^2</f>
        <v>3.9826312980391352</v>
      </c>
    </row>
    <row r="1153" spans="1:38" x14ac:dyDescent="0.25">
      <c r="A1153" t="s">
        <v>194</v>
      </c>
      <c r="B1153" t="s">
        <v>6</v>
      </c>
      <c r="C1153" t="s">
        <v>20</v>
      </c>
      <c r="K1153" s="25">
        <f>(Table2[[#This Row],[Home Pace]]/100)*(VLOOKUP(Table2[[#This Row],[Home/Neutral]],home_lookup,8,FALSE)+VLOOKUP(Table2[[#This Row],[Home/Neutral]],OFR_lookup,2,FALSE)+VLOOKUP(Table2[[#This Row],[Visitor/Neutral]],def_diff_lookup,6,FALSE))</f>
        <v>101.67230787062245</v>
      </c>
      <c r="L1153" s="25"/>
      <c r="M1153" s="25">
        <f>(Table2[[#This Row],[Away Pace]]/100)*(VLOOKUP(Table2[[#This Row],[Visitor/Neutral]],OFR_lookup,2,FALSE)+VLOOKUP(Table2[[#This Row],[Home/Neutral]],def_diff_lookup,6,FALSE))</f>
        <v>94.809306000000021</v>
      </c>
      <c r="N1153" s="25"/>
      <c r="O1153" s="25"/>
      <c r="P1153">
        <f>VLOOKUP(Table2[[#This Row],[Home/Neutral]],pace_lookup,7,FALSE)</f>
        <v>93.1</v>
      </c>
      <c r="Q1153" s="5">
        <f>VLOOKUP(Table2[[#This Row],[Visitor/Neutral]],pace_lookup,7,FALSE)</f>
        <v>90.9</v>
      </c>
      <c r="R1153" s="9"/>
      <c r="V1153" s="2">
        <f>-home-VLOOKUP(Table2[[#This Row],[Home/Neutral]],rtg_vlookup,4,FALSE)+VLOOKUP(Table2[[#This Row],[Visitor/Neutral]],rtg_vlookup,4,FALSE)</f>
        <v>-7.9851184834123305</v>
      </c>
      <c r="W1153" s="25"/>
      <c r="X1153" s="2"/>
      <c r="Y1153" s="2">
        <f>Table2[[#This Row],[Away EV]]-Table2[[#This Row],[Home EV]]</f>
        <v>-6.8630018706224263</v>
      </c>
      <c r="Z1153" s="33"/>
      <c r="AA1153" s="34"/>
      <c r="AB1153" s="5" t="b">
        <f>IF(VLOOKUP(Table2[[#This Row],[Home/Neutral]],division_lookup,9,FALSE)=VLOOKUP(Table2[[#This Row],[Visitor/Neutral]],division_lookup,9,FALSE),TRUE,FALSE)</f>
        <v>0</v>
      </c>
      <c r="AC1153" s="19" t="str">
        <f>VLOOKUP(Table2[[#This Row],[Home/Neutral]],division_lookup,9,FALSE)</f>
        <v>SW</v>
      </c>
      <c r="AD1153" s="19"/>
      <c r="AE1153" s="19" t="str">
        <f>IF(Table2[[#This Row],[Total EV ®]]&lt;Table2[[#This Row],[Total (V)]],"UNDER","OVER")</f>
        <v>OVER</v>
      </c>
      <c r="AF1153" s="30">
        <f>Table2[[#This Row],[(A) Spread]]-Table2[[#This Row],[Spread (V)]]</f>
        <v>0</v>
      </c>
      <c r="AG1153" s="19"/>
      <c r="AH1153" s="2">
        <f>Table2[[#This Row],[EV]]-Table2[[#This Row],[Spread (V)]]</f>
        <v>-6.8630018706224263</v>
      </c>
      <c r="AI1153" s="22">
        <f>Table2[[#This Row],[(A)]]-Table2[[#This Row],[Spread]]</f>
        <v>-7.9851184834123305</v>
      </c>
      <c r="AJ1153" s="1">
        <f>Table2[[#This Row],[(A) Err]]^2</f>
        <v>63.762117194133239</v>
      </c>
      <c r="AK1153" s="6">
        <f>Table2[[#This Row],[EV]]-Table2[[#This Row],[Spread]]</f>
        <v>-6.8630018706224263</v>
      </c>
      <c r="AL1153" s="1">
        <f>Table2[[#This Row],[EV Err]]^2</f>
        <v>47.10079467616692</v>
      </c>
    </row>
    <row r="1154" spans="1:38" x14ac:dyDescent="0.25">
      <c r="A1154" t="s">
        <v>194</v>
      </c>
      <c r="B1154" t="s">
        <v>14</v>
      </c>
      <c r="C1154" t="s">
        <v>39</v>
      </c>
      <c r="K1154" s="25">
        <f>(Table2[[#This Row],[Home Pace]]/100)*(VLOOKUP(Table2[[#This Row],[Home/Neutral]],home_lookup,8,FALSE)+VLOOKUP(Table2[[#This Row],[Home/Neutral]],OFR_lookup,2,FALSE)+VLOOKUP(Table2[[#This Row],[Visitor/Neutral]],def_diff_lookup,6,FALSE))</f>
        <v>110.06396414241451</v>
      </c>
      <c r="L1154" s="25"/>
      <c r="M1154" s="25">
        <f>(Table2[[#This Row],[Away Pace]]/100)*(VLOOKUP(Table2[[#This Row],[Visitor/Neutral]],OFR_lookup,2,FALSE)+VLOOKUP(Table2[[#This Row],[Home/Neutral]],def_diff_lookup,6,FALSE))</f>
        <v>99.401900000000012</v>
      </c>
      <c r="N1154" s="25"/>
      <c r="O1154" s="25"/>
      <c r="P1154">
        <f>VLOOKUP(Table2[[#This Row],[Home/Neutral]],pace_lookup,7,FALSE)</f>
        <v>95.9</v>
      </c>
      <c r="Q1154" s="5">
        <f>VLOOKUP(Table2[[#This Row],[Visitor/Neutral]],pace_lookup,7,FALSE)</f>
        <v>97.5</v>
      </c>
      <c r="R1154" s="9"/>
      <c r="V1154" s="2">
        <f>-home-VLOOKUP(Table2[[#This Row],[Home/Neutral]],rtg_vlookup,4,FALSE)+VLOOKUP(Table2[[#This Row],[Visitor/Neutral]],rtg_vlookup,4,FALSE)</f>
        <v>-16.965118483412329</v>
      </c>
      <c r="W1154" s="25"/>
      <c r="X1154" s="2"/>
      <c r="Y1154" s="2">
        <f>Table2[[#This Row],[Away EV]]-Table2[[#This Row],[Home EV]]</f>
        <v>-10.662064142414494</v>
      </c>
      <c r="Z1154" s="33"/>
      <c r="AA1154" s="34"/>
      <c r="AB1154" s="5" t="b">
        <f>IF(VLOOKUP(Table2[[#This Row],[Home/Neutral]],division_lookup,9,FALSE)=VLOOKUP(Table2[[#This Row],[Visitor/Neutral]],division_lookup,9,FALSE),TRUE,FALSE)</f>
        <v>1</v>
      </c>
      <c r="AC1154" s="19" t="str">
        <f>VLOOKUP(Table2[[#This Row],[Home/Neutral]],division_lookup,9,FALSE)</f>
        <v>A</v>
      </c>
      <c r="AD1154" s="19"/>
      <c r="AE1154" s="19" t="str">
        <f>IF(Table2[[#This Row],[Total EV ®]]&lt;Table2[[#This Row],[Total (V)]],"UNDER","OVER")</f>
        <v>OVER</v>
      </c>
      <c r="AF1154" s="30">
        <f>Table2[[#This Row],[(A) Spread]]-Table2[[#This Row],[Spread (V)]]</f>
        <v>0</v>
      </c>
      <c r="AG1154" s="19"/>
      <c r="AH1154" s="2">
        <f>Table2[[#This Row],[EV]]-Table2[[#This Row],[Spread (V)]]</f>
        <v>-10.662064142414494</v>
      </c>
      <c r="AI1154" s="22">
        <f>Table2[[#This Row],[(A)]]-Table2[[#This Row],[Spread]]</f>
        <v>-16.965118483412329</v>
      </c>
      <c r="AJ1154" s="1">
        <f>Table2[[#This Row],[(A) Err]]^2</f>
        <v>287.81524515621862</v>
      </c>
      <c r="AK1154" s="6">
        <f>Table2[[#This Row],[EV]]-Table2[[#This Row],[Spread]]</f>
        <v>-10.662064142414494</v>
      </c>
      <c r="AL1154" s="1">
        <f>Table2[[#This Row],[EV Err]]^2</f>
        <v>113.67961177696091</v>
      </c>
    </row>
    <row r="1155" spans="1:38" x14ac:dyDescent="0.25">
      <c r="A1155" t="s">
        <v>195</v>
      </c>
      <c r="B1155" t="s">
        <v>8</v>
      </c>
      <c r="C1155" t="s">
        <v>38</v>
      </c>
      <c r="K1155" s="25">
        <f>(Table2[[#This Row],[Home Pace]]/100)*(VLOOKUP(Table2[[#This Row],[Home/Neutral]],home_lookup,8,FALSE)+VLOOKUP(Table2[[#This Row],[Home/Neutral]],OFR_lookup,2,FALSE)+VLOOKUP(Table2[[#This Row],[Visitor/Neutral]],def_diff_lookup,6,FALSE))</f>
        <v>105.86562036898181</v>
      </c>
      <c r="L1155" s="25"/>
      <c r="M1155" s="25">
        <f>(Table2[[#This Row],[Away Pace]]/100)*(VLOOKUP(Table2[[#This Row],[Visitor/Neutral]],OFR_lookup,2,FALSE)+VLOOKUP(Table2[[#This Row],[Home/Neutral]],def_diff_lookup,6,FALSE))</f>
        <v>91.157968000000025</v>
      </c>
      <c r="N1155" s="25"/>
      <c r="O1155" s="25"/>
      <c r="P1155">
        <f>VLOOKUP(Table2[[#This Row],[Home/Neutral]],pace_lookup,7,FALSE)</f>
        <v>97.2</v>
      </c>
      <c r="Q1155" s="5">
        <f>VLOOKUP(Table2[[#This Row],[Visitor/Neutral]],pace_lookup,7,FALSE)</f>
        <v>94.2</v>
      </c>
      <c r="R1155" s="9"/>
      <c r="V1155" s="2">
        <f>-home-VLOOKUP(Table2[[#This Row],[Home/Neutral]],rtg_vlookup,4,FALSE)+VLOOKUP(Table2[[#This Row],[Visitor/Neutral]],rtg_vlookup,4,FALSE)</f>
        <v>-18.275118483412328</v>
      </c>
      <c r="W1155" s="25"/>
      <c r="X1155" s="2"/>
      <c r="Y1155" s="2">
        <f>Table2[[#This Row],[Away EV]]-Table2[[#This Row],[Home EV]]</f>
        <v>-14.707652368981783</v>
      </c>
      <c r="Z1155" s="33"/>
      <c r="AA1155" s="34"/>
      <c r="AB1155" s="5" t="b">
        <f>IF(VLOOKUP(Table2[[#This Row],[Home/Neutral]],division_lookup,9,FALSE)=VLOOKUP(Table2[[#This Row],[Visitor/Neutral]],division_lookup,9,FALSE),TRUE,FALSE)</f>
        <v>0</v>
      </c>
      <c r="AC1155" s="19" t="str">
        <f>VLOOKUP(Table2[[#This Row],[Home/Neutral]],division_lookup,9,FALSE)</f>
        <v>C</v>
      </c>
      <c r="AD1155" s="19"/>
      <c r="AE1155" s="19" t="str">
        <f>IF(Table2[[#This Row],[Total EV ®]]&lt;Table2[[#This Row],[Total (V)]],"UNDER","OVER")</f>
        <v>OVER</v>
      </c>
      <c r="AF1155" s="30">
        <f>Table2[[#This Row],[(A) Spread]]-Table2[[#This Row],[Spread (V)]]</f>
        <v>0</v>
      </c>
      <c r="AG1155" s="19"/>
      <c r="AH1155" s="2">
        <f>Table2[[#This Row],[EV]]-Table2[[#This Row],[Spread (V)]]</f>
        <v>-14.707652368981783</v>
      </c>
      <c r="AI1155" s="22">
        <f>Table2[[#This Row],[(A)]]-Table2[[#This Row],[Spread]]</f>
        <v>-18.275118483412328</v>
      </c>
      <c r="AJ1155" s="1">
        <f>Table2[[#This Row],[(A) Err]]^2</f>
        <v>333.97995558275892</v>
      </c>
      <c r="AK1155" s="6">
        <f>Table2[[#This Row],[EV]]-Table2[[#This Row],[Spread]]</f>
        <v>-14.707652368981783</v>
      </c>
      <c r="AL1155" s="1">
        <f>Table2[[#This Row],[EV Err]]^2</f>
        <v>216.31503820681547</v>
      </c>
    </row>
    <row r="1156" spans="1:38" x14ac:dyDescent="0.25">
      <c r="A1156" t="s">
        <v>195</v>
      </c>
      <c r="B1156" t="s">
        <v>10</v>
      </c>
      <c r="C1156" t="s">
        <v>22</v>
      </c>
      <c r="K1156" s="25">
        <f>(Table2[[#This Row],[Home Pace]]/100)*(VLOOKUP(Table2[[#This Row],[Home/Neutral]],home_lookup,8,FALSE)+VLOOKUP(Table2[[#This Row],[Home/Neutral]],OFR_lookup,2,FALSE)+VLOOKUP(Table2[[#This Row],[Visitor/Neutral]],def_diff_lookup,6,FALSE))</f>
        <v>111.23842853790561</v>
      </c>
      <c r="L1156" s="25"/>
      <c r="M1156" s="25">
        <f>(Table2[[#This Row],[Away Pace]]/100)*(VLOOKUP(Table2[[#This Row],[Visitor/Neutral]],OFR_lookup,2,FALSE)+VLOOKUP(Table2[[#This Row],[Home/Neutral]],def_diff_lookup,6,FALSE))</f>
        <v>106.83170133333336</v>
      </c>
      <c r="N1156" s="25"/>
      <c r="O1156" s="25"/>
      <c r="P1156">
        <f>VLOOKUP(Table2[[#This Row],[Home/Neutral]],pace_lookup,7,FALSE)</f>
        <v>100.3</v>
      </c>
      <c r="Q1156" s="5">
        <f>VLOOKUP(Table2[[#This Row],[Visitor/Neutral]],pace_lookup,7,FALSE)</f>
        <v>94.7</v>
      </c>
      <c r="R1156" s="9"/>
      <c r="V1156" s="2">
        <f>-home-VLOOKUP(Table2[[#This Row],[Home/Neutral]],rtg_vlookup,4,FALSE)+VLOOKUP(Table2[[#This Row],[Visitor/Neutral]],rtg_vlookup,4,FALSE)</f>
        <v>-10.295118483412331</v>
      </c>
      <c r="W1156" s="25"/>
      <c r="X1156" s="2"/>
      <c r="Y1156" s="2">
        <f>Table2[[#This Row],[Away EV]]-Table2[[#This Row],[Home EV]]</f>
        <v>-4.406727204572249</v>
      </c>
      <c r="Z1156" s="33"/>
      <c r="AA1156" s="34"/>
      <c r="AB1156" s="5" t="b">
        <f>IF(VLOOKUP(Table2[[#This Row],[Home/Neutral]],division_lookup,9,FALSE)=VLOOKUP(Table2[[#This Row],[Visitor/Neutral]],division_lookup,9,FALSE),TRUE,FALSE)</f>
        <v>0</v>
      </c>
      <c r="AC1156" s="19" t="str">
        <f>VLOOKUP(Table2[[#This Row],[Home/Neutral]],division_lookup,9,FALSE)</f>
        <v>P</v>
      </c>
      <c r="AD1156" s="19"/>
      <c r="AE1156" s="19" t="str">
        <f>IF(Table2[[#This Row],[Total EV ®]]&lt;Table2[[#This Row],[Total (V)]],"UNDER","OVER")</f>
        <v>OVER</v>
      </c>
      <c r="AF1156" s="30">
        <f>Table2[[#This Row],[(A) Spread]]-Table2[[#This Row],[Spread (V)]]</f>
        <v>0</v>
      </c>
      <c r="AG1156" s="19"/>
      <c r="AH1156" s="2">
        <f>Table2[[#This Row],[EV]]-Table2[[#This Row],[Spread (V)]]</f>
        <v>-4.406727204572249</v>
      </c>
      <c r="AI1156" s="22">
        <f>Table2[[#This Row],[(A)]]-Table2[[#This Row],[Spread]]</f>
        <v>-10.295118483412331</v>
      </c>
      <c r="AJ1156" s="1">
        <f>Table2[[#This Row],[(A) Err]]^2</f>
        <v>105.98946458749822</v>
      </c>
      <c r="AK1156" s="6">
        <f>Table2[[#This Row],[EV]]-Table2[[#This Row],[Spread]]</f>
        <v>-4.406727204572249</v>
      </c>
      <c r="AL1156" s="1">
        <f>Table2[[#This Row],[EV Err]]^2</f>
        <v>19.419244655517147</v>
      </c>
    </row>
    <row r="1157" spans="1:38" x14ac:dyDescent="0.25">
      <c r="A1157" t="s">
        <v>195</v>
      </c>
      <c r="B1157" t="s">
        <v>33</v>
      </c>
      <c r="C1157" t="s">
        <v>14</v>
      </c>
      <c r="K1157" s="25">
        <f>(Table2[[#This Row],[Home Pace]]/100)*(VLOOKUP(Table2[[#This Row],[Home/Neutral]],home_lookup,8,FALSE)+VLOOKUP(Table2[[#This Row],[Home/Neutral]],OFR_lookup,2,FALSE)+VLOOKUP(Table2[[#This Row],[Visitor/Neutral]],def_diff_lookup,6,FALSE))</f>
        <v>109.37497852057507</v>
      </c>
      <c r="L1157" s="25"/>
      <c r="M1157" s="25">
        <f>(Table2[[#This Row],[Away Pace]]/100)*(VLOOKUP(Table2[[#This Row],[Visitor/Neutral]],OFR_lookup,2,FALSE)+VLOOKUP(Table2[[#This Row],[Home/Neutral]],def_diff_lookup,6,FALSE))</f>
        <v>110.91857933333335</v>
      </c>
      <c r="N1157" s="25"/>
      <c r="O1157" s="25"/>
      <c r="P1157">
        <f>VLOOKUP(Table2[[#This Row],[Home/Neutral]],pace_lookup,7,FALSE)</f>
        <v>98.2</v>
      </c>
      <c r="Q1157" s="5">
        <f>VLOOKUP(Table2[[#This Row],[Visitor/Neutral]],pace_lookup,7,FALSE)</f>
        <v>95.9</v>
      </c>
      <c r="R1157" s="9"/>
      <c r="V1157" s="2">
        <f>-home-VLOOKUP(Table2[[#This Row],[Home/Neutral]],rtg_vlookup,4,FALSE)+VLOOKUP(Table2[[#This Row],[Visitor/Neutral]],rtg_vlookup,4,FALSE)</f>
        <v>7.4848815165876692</v>
      </c>
      <c r="W1157" s="25"/>
      <c r="X1157" s="2"/>
      <c r="Y1157" s="2">
        <f>Table2[[#This Row],[Away EV]]-Table2[[#This Row],[Home EV]]</f>
        <v>1.5436008127582852</v>
      </c>
      <c r="Z1157" s="33"/>
      <c r="AA1157" s="34"/>
      <c r="AB1157" s="5" t="b">
        <f>IF(VLOOKUP(Table2[[#This Row],[Home/Neutral]],division_lookup,9,FALSE)=VLOOKUP(Table2[[#This Row],[Visitor/Neutral]],division_lookup,9,FALSE),TRUE,FALSE)</f>
        <v>0</v>
      </c>
      <c r="AC1157" s="19" t="str">
        <f>VLOOKUP(Table2[[#This Row],[Home/Neutral]],division_lookup,9,FALSE)</f>
        <v>C</v>
      </c>
      <c r="AD1157" s="19"/>
      <c r="AE1157" s="19" t="str">
        <f>IF(Table2[[#This Row],[Total EV ®]]&lt;Table2[[#This Row],[Total (V)]],"UNDER","OVER")</f>
        <v>OVER</v>
      </c>
      <c r="AF1157" s="30">
        <f>Table2[[#This Row],[(A) Spread]]-Table2[[#This Row],[Spread (V)]]</f>
        <v>0</v>
      </c>
      <c r="AG1157" s="19"/>
      <c r="AH1157" s="2">
        <f>Table2[[#This Row],[EV]]-Table2[[#This Row],[Spread (V)]]</f>
        <v>1.5436008127582852</v>
      </c>
      <c r="AI1157" s="22">
        <f>Table2[[#This Row],[(A)]]-Table2[[#This Row],[Spread]]</f>
        <v>7.4848815165876692</v>
      </c>
      <c r="AJ1157" s="1">
        <f>Table2[[#This Row],[(A) Err]]^2</f>
        <v>56.023451317355729</v>
      </c>
      <c r="AK1157" s="6">
        <f>Table2[[#This Row],[EV]]-Table2[[#This Row],[Spread]]</f>
        <v>1.5436008127582852</v>
      </c>
      <c r="AL1157" s="1">
        <f>Table2[[#This Row],[EV Err]]^2</f>
        <v>2.3827034691480384</v>
      </c>
    </row>
    <row r="1158" spans="1:38" x14ac:dyDescent="0.25">
      <c r="A1158" t="s">
        <v>195</v>
      </c>
      <c r="B1158" t="s">
        <v>34</v>
      </c>
      <c r="C1158" t="s">
        <v>27</v>
      </c>
      <c r="K1158" s="25">
        <f>(Table2[[#This Row],[Home Pace]]/100)*(VLOOKUP(Table2[[#This Row],[Home/Neutral]],home_lookup,8,FALSE)+VLOOKUP(Table2[[#This Row],[Home/Neutral]],OFR_lookup,2,FALSE)+VLOOKUP(Table2[[#This Row],[Visitor/Neutral]],def_diff_lookup,6,FALSE))</f>
        <v>104.48271864565555</v>
      </c>
      <c r="L1158" s="25"/>
      <c r="M1158" s="25">
        <f>(Table2[[#This Row],[Away Pace]]/100)*(VLOOKUP(Table2[[#This Row],[Visitor/Neutral]],OFR_lookup,2,FALSE)+VLOOKUP(Table2[[#This Row],[Home/Neutral]],def_diff_lookup,6,FALSE))</f>
        <v>103.99025999999999</v>
      </c>
      <c r="N1158" s="25"/>
      <c r="O1158" s="25"/>
      <c r="P1158">
        <f>VLOOKUP(Table2[[#This Row],[Home/Neutral]],pace_lookup,7,FALSE)</f>
        <v>98.8</v>
      </c>
      <c r="Q1158" s="5">
        <f>VLOOKUP(Table2[[#This Row],[Visitor/Neutral]],pace_lookup,7,FALSE)</f>
        <v>99</v>
      </c>
      <c r="R1158" s="9"/>
      <c r="V1158" s="2">
        <f>-home-VLOOKUP(Table2[[#This Row],[Home/Neutral]],rtg_vlookup,4,FALSE)+VLOOKUP(Table2[[#This Row],[Visitor/Neutral]],rtg_vlookup,4,FALSE)</f>
        <v>1.7148815165876696</v>
      </c>
      <c r="W1158" s="25"/>
      <c r="X1158" s="2"/>
      <c r="Y1158" s="2">
        <f>Table2[[#This Row],[Away EV]]-Table2[[#This Row],[Home EV]]</f>
        <v>-0.49245864565556019</v>
      </c>
      <c r="Z1158" s="33"/>
      <c r="AA1158" s="34"/>
      <c r="AB1158" s="5" t="b">
        <f>IF(VLOOKUP(Table2[[#This Row],[Home/Neutral]],division_lookup,9,FALSE)=VLOOKUP(Table2[[#This Row],[Visitor/Neutral]],division_lookup,9,FALSE),TRUE,FALSE)</f>
        <v>0</v>
      </c>
      <c r="AC1158" s="19" t="str">
        <f>VLOOKUP(Table2[[#This Row],[Home/Neutral]],division_lookup,9,FALSE)</f>
        <v>SW</v>
      </c>
      <c r="AD1158" s="19"/>
      <c r="AE1158" s="19" t="str">
        <f>IF(Table2[[#This Row],[Total EV ®]]&lt;Table2[[#This Row],[Total (V)]],"UNDER","OVER")</f>
        <v>OVER</v>
      </c>
      <c r="AF1158" s="30">
        <f>Table2[[#This Row],[(A) Spread]]-Table2[[#This Row],[Spread (V)]]</f>
        <v>0</v>
      </c>
      <c r="AG1158" s="19"/>
      <c r="AH1158" s="2">
        <f>Table2[[#This Row],[EV]]-Table2[[#This Row],[Spread (V)]]</f>
        <v>-0.49245864565556019</v>
      </c>
      <c r="AI1158" s="22">
        <f>Table2[[#This Row],[(A)]]-Table2[[#This Row],[Spread]]</f>
        <v>1.7148815165876696</v>
      </c>
      <c r="AJ1158" s="1">
        <f>Table2[[#This Row],[(A) Err]]^2</f>
        <v>2.9408186159340257</v>
      </c>
      <c r="AK1158" s="6">
        <f>Table2[[#This Row],[EV]]-Table2[[#This Row],[Spread]]</f>
        <v>-0.49245864565556019</v>
      </c>
      <c r="AL1158" s="1">
        <f>Table2[[#This Row],[EV Err]]^2</f>
        <v>0.24251551768090859</v>
      </c>
    </row>
    <row r="1159" spans="1:38" x14ac:dyDescent="0.25">
      <c r="A1159" t="s">
        <v>195</v>
      </c>
      <c r="B1159" t="s">
        <v>31</v>
      </c>
      <c r="C1159" t="s">
        <v>13</v>
      </c>
      <c r="K1159" s="25">
        <f>(Table2[[#This Row],[Home Pace]]/100)*(VLOOKUP(Table2[[#This Row],[Home/Neutral]],home_lookup,8,FALSE)+VLOOKUP(Table2[[#This Row],[Home/Neutral]],OFR_lookup,2,FALSE)+VLOOKUP(Table2[[#This Row],[Visitor/Neutral]],def_diff_lookup,6,FALSE))</f>
        <v>109.6893743021789</v>
      </c>
      <c r="L1159" s="25"/>
      <c r="M1159" s="25">
        <f>(Table2[[#This Row],[Away Pace]]/100)*(VLOOKUP(Table2[[#This Row],[Visitor/Neutral]],OFR_lookup,2,FALSE)+VLOOKUP(Table2[[#This Row],[Home/Neutral]],def_diff_lookup,6,FALSE))</f>
        <v>109.60173</v>
      </c>
      <c r="N1159" s="25"/>
      <c r="O1159" s="25"/>
      <c r="P1159">
        <f>VLOOKUP(Table2[[#This Row],[Home/Neutral]],pace_lookup,7,FALSE)</f>
        <v>96</v>
      </c>
      <c r="Q1159" s="5">
        <f>VLOOKUP(Table2[[#This Row],[Visitor/Neutral]],pace_lookup,7,FALSE)</f>
        <v>94.5</v>
      </c>
      <c r="R1159" s="9"/>
      <c r="V1159" s="2">
        <f>-home-VLOOKUP(Table2[[#This Row],[Home/Neutral]],rtg_vlookup,4,FALSE)+VLOOKUP(Table2[[#This Row],[Visitor/Neutral]],rtg_vlookup,4,FALSE)</f>
        <v>5.1548815165876691</v>
      </c>
      <c r="W1159" s="25"/>
      <c r="X1159" s="2"/>
      <c r="Y1159" s="2">
        <f>Table2[[#This Row],[Away EV]]-Table2[[#This Row],[Home EV]]</f>
        <v>-8.7644302178901512E-2</v>
      </c>
      <c r="Z1159" s="33"/>
      <c r="AA1159" s="34"/>
      <c r="AB1159" s="5" t="b">
        <f>IF(VLOOKUP(Table2[[#This Row],[Home/Neutral]],division_lookup,9,FALSE)=VLOOKUP(Table2[[#This Row],[Visitor/Neutral]],division_lookup,9,FALSE),TRUE,FALSE)</f>
        <v>0</v>
      </c>
      <c r="AC1159" s="19" t="str">
        <f>VLOOKUP(Table2[[#This Row],[Home/Neutral]],division_lookup,9,FALSE)</f>
        <v>A</v>
      </c>
      <c r="AD1159" s="19"/>
      <c r="AE1159" s="19" t="str">
        <f>IF(Table2[[#This Row],[Total EV ®]]&lt;Table2[[#This Row],[Total (V)]],"UNDER","OVER")</f>
        <v>OVER</v>
      </c>
      <c r="AF1159" s="30">
        <f>Table2[[#This Row],[(A) Spread]]-Table2[[#This Row],[Spread (V)]]</f>
        <v>0</v>
      </c>
      <c r="AG1159" s="19"/>
      <c r="AH1159" s="2">
        <f>Table2[[#This Row],[EV]]-Table2[[#This Row],[Spread (V)]]</f>
        <v>-8.7644302178901512E-2</v>
      </c>
      <c r="AI1159" s="22">
        <f>Table2[[#This Row],[(A)]]-Table2[[#This Row],[Spread]]</f>
        <v>5.1548815165876691</v>
      </c>
      <c r="AJ1159" s="1">
        <f>Table2[[#This Row],[(A) Err]]^2</f>
        <v>26.572803450057187</v>
      </c>
      <c r="AK1159" s="6">
        <f>Table2[[#This Row],[EV]]-Table2[[#This Row],[Spread]]</f>
        <v>-8.7644302178901512E-2</v>
      </c>
      <c r="AL1159" s="1">
        <f>Table2[[#This Row],[EV Err]]^2</f>
        <v>7.6815237044266004E-3</v>
      </c>
    </row>
    <row r="1160" spans="1:38" x14ac:dyDescent="0.25">
      <c r="A1160" t="s">
        <v>195</v>
      </c>
      <c r="B1160" t="s">
        <v>18</v>
      </c>
      <c r="C1160" t="s">
        <v>30</v>
      </c>
      <c r="K1160" s="25">
        <f>(Table2[[#This Row],[Home Pace]]/100)*(VLOOKUP(Table2[[#This Row],[Home/Neutral]],home_lookup,8,FALSE)+VLOOKUP(Table2[[#This Row],[Home/Neutral]],OFR_lookup,2,FALSE)+VLOOKUP(Table2[[#This Row],[Visitor/Neutral]],def_diff_lookup,6,FALSE))</f>
        <v>104.79560616021132</v>
      </c>
      <c r="L1160" s="25"/>
      <c r="M1160" s="25">
        <f>(Table2[[#This Row],[Away Pace]]/100)*(VLOOKUP(Table2[[#This Row],[Visitor/Neutral]],OFR_lookup,2,FALSE)+VLOOKUP(Table2[[#This Row],[Home/Neutral]],def_diff_lookup,6,FALSE))</f>
        <v>98.301045333333334</v>
      </c>
      <c r="N1160" s="25"/>
      <c r="O1160" s="25"/>
      <c r="P1160">
        <f>VLOOKUP(Table2[[#This Row],[Home/Neutral]],pace_lookup,7,FALSE)</f>
        <v>99.5</v>
      </c>
      <c r="Q1160" s="5">
        <f>VLOOKUP(Table2[[#This Row],[Visitor/Neutral]],pace_lookup,7,FALSE)</f>
        <v>96.8</v>
      </c>
      <c r="R1160" s="9"/>
      <c r="V1160" s="2">
        <f>-home-VLOOKUP(Table2[[#This Row],[Home/Neutral]],rtg_vlookup,4,FALSE)+VLOOKUP(Table2[[#This Row],[Visitor/Neutral]],rtg_vlookup,4,FALSE)</f>
        <v>-7.5651184834123306</v>
      </c>
      <c r="W1160" s="25"/>
      <c r="X1160" s="2"/>
      <c r="Y1160" s="2">
        <f>Table2[[#This Row],[Away EV]]-Table2[[#This Row],[Home EV]]</f>
        <v>-6.4945608268779864</v>
      </c>
      <c r="Z1160" s="33"/>
      <c r="AA1160" s="34"/>
      <c r="AB1160" s="5" t="b">
        <f>IF(VLOOKUP(Table2[[#This Row],[Home/Neutral]],division_lookup,9,FALSE)=VLOOKUP(Table2[[#This Row],[Visitor/Neutral]],division_lookup,9,FALSE),TRUE,FALSE)</f>
        <v>0</v>
      </c>
      <c r="AC1160" s="19" t="str">
        <f>VLOOKUP(Table2[[#This Row],[Home/Neutral]],division_lookup,9,FALSE)</f>
        <v>NW</v>
      </c>
      <c r="AD1160" s="19"/>
      <c r="AE1160" s="19" t="str">
        <f>IF(Table2[[#This Row],[Total EV ®]]&lt;Table2[[#This Row],[Total (V)]],"UNDER","OVER")</f>
        <v>OVER</v>
      </c>
      <c r="AF1160" s="30">
        <f>Table2[[#This Row],[(A) Spread]]-Table2[[#This Row],[Spread (V)]]</f>
        <v>0</v>
      </c>
      <c r="AG1160" s="19"/>
      <c r="AH1160" s="2">
        <f>Table2[[#This Row],[EV]]-Table2[[#This Row],[Spread (V)]]</f>
        <v>-6.4945608268779864</v>
      </c>
      <c r="AI1160" s="22">
        <f>Table2[[#This Row],[(A)]]-Table2[[#This Row],[Spread]]</f>
        <v>-7.5651184834123306</v>
      </c>
      <c r="AJ1160" s="1">
        <f>Table2[[#This Row],[(A) Err]]^2</f>
        <v>57.231017668066883</v>
      </c>
      <c r="AK1160" s="6">
        <f>Table2[[#This Row],[EV]]-Table2[[#This Row],[Spread]]</f>
        <v>-6.4945608268779864</v>
      </c>
      <c r="AL1160" s="1">
        <f>Table2[[#This Row],[EV Err]]^2</f>
        <v>42.179320334018072</v>
      </c>
    </row>
    <row r="1161" spans="1:38" x14ac:dyDescent="0.25">
      <c r="A1161" t="s">
        <v>195</v>
      </c>
      <c r="B1161" t="s">
        <v>39</v>
      </c>
      <c r="C1161" t="s">
        <v>35</v>
      </c>
      <c r="K1161" s="25">
        <f>(Table2[[#This Row],[Home Pace]]/100)*(VLOOKUP(Table2[[#This Row],[Home/Neutral]],home_lookup,8,FALSE)+VLOOKUP(Table2[[#This Row],[Home/Neutral]],OFR_lookup,2,FALSE)+VLOOKUP(Table2[[#This Row],[Visitor/Neutral]],def_diff_lookup,6,FALSE))</f>
        <v>110.81852211468578</v>
      </c>
      <c r="L1161" s="25"/>
      <c r="M1161" s="25">
        <f>(Table2[[#This Row],[Away Pace]]/100)*(VLOOKUP(Table2[[#This Row],[Visitor/Neutral]],OFR_lookup,2,FALSE)+VLOOKUP(Table2[[#This Row],[Home/Neutral]],def_diff_lookup,6,FALSE))</f>
        <v>108.93566133333334</v>
      </c>
      <c r="N1161" s="25"/>
      <c r="O1161" s="25"/>
      <c r="P1161">
        <f>VLOOKUP(Table2[[#This Row],[Home/Neutral]],pace_lookup,7,FALSE)</f>
        <v>97.5</v>
      </c>
      <c r="Q1161" s="5">
        <f>VLOOKUP(Table2[[#This Row],[Visitor/Neutral]],pace_lookup,7,FALSE)</f>
        <v>102.2</v>
      </c>
      <c r="R1161" s="9"/>
      <c r="V1161" s="2">
        <f>-home-VLOOKUP(Table2[[#This Row],[Home/Neutral]],rtg_vlookup,4,FALSE)+VLOOKUP(Table2[[#This Row],[Visitor/Neutral]],rtg_vlookup,4,FALSE)</f>
        <v>0.2348815165876692</v>
      </c>
      <c r="W1161" s="25"/>
      <c r="X1161" s="2"/>
      <c r="Y1161" s="2">
        <f>Table2[[#This Row],[Away EV]]-Table2[[#This Row],[Home EV]]</f>
        <v>-1.8828607813524343</v>
      </c>
      <c r="Z1161" s="33"/>
      <c r="AA1161" s="34"/>
      <c r="AB1161" s="5" t="b">
        <f>IF(VLOOKUP(Table2[[#This Row],[Home/Neutral]],division_lookup,9,FALSE)=VLOOKUP(Table2[[#This Row],[Visitor/Neutral]],division_lookup,9,FALSE),TRUE,FALSE)</f>
        <v>1</v>
      </c>
      <c r="AC1161" s="19" t="str">
        <f>VLOOKUP(Table2[[#This Row],[Home/Neutral]],division_lookup,9,FALSE)</f>
        <v>A</v>
      </c>
      <c r="AD1161" s="19"/>
      <c r="AE1161" s="19" t="str">
        <f>IF(Table2[[#This Row],[Total EV ®]]&lt;Table2[[#This Row],[Total (V)]],"UNDER","OVER")</f>
        <v>OVER</v>
      </c>
      <c r="AF1161" s="30">
        <f>Table2[[#This Row],[(A) Spread]]-Table2[[#This Row],[Spread (V)]]</f>
        <v>0</v>
      </c>
      <c r="AG1161" s="19"/>
      <c r="AH1161" s="2">
        <f>Table2[[#This Row],[EV]]-Table2[[#This Row],[Spread (V)]]</f>
        <v>-1.8828607813524343</v>
      </c>
      <c r="AI1161" s="22">
        <f>Table2[[#This Row],[(A)]]-Table2[[#This Row],[Spread]]</f>
        <v>0.2348815165876692</v>
      </c>
      <c r="AJ1161" s="1">
        <f>Table2[[#This Row],[(A) Err]]^2</f>
        <v>5.5169326834523524E-2</v>
      </c>
      <c r="AK1161" s="6">
        <f>Table2[[#This Row],[EV]]-Table2[[#This Row],[Spread]]</f>
        <v>-1.8828607813524343</v>
      </c>
      <c r="AL1161" s="1">
        <f>Table2[[#This Row],[EV Err]]^2</f>
        <v>3.5451647219550995</v>
      </c>
    </row>
    <row r="1162" spans="1:38" x14ac:dyDescent="0.25">
      <c r="A1162" t="s">
        <v>195</v>
      </c>
      <c r="B1162" t="s">
        <v>29</v>
      </c>
      <c r="C1162" t="s">
        <v>37</v>
      </c>
      <c r="K1162" s="25">
        <f>(Table2[[#This Row],[Home Pace]]/100)*(VLOOKUP(Table2[[#This Row],[Home/Neutral]],home_lookup,8,FALSE)+VLOOKUP(Table2[[#This Row],[Home/Neutral]],OFR_lookup,2,FALSE)+VLOOKUP(Table2[[#This Row],[Visitor/Neutral]],def_diff_lookup,6,FALSE))</f>
        <v>106.09080926898523</v>
      </c>
      <c r="L1162" s="25"/>
      <c r="M1162" s="25">
        <f>(Table2[[#This Row],[Away Pace]]/100)*(VLOOKUP(Table2[[#This Row],[Visitor/Neutral]],OFR_lookup,2,FALSE)+VLOOKUP(Table2[[#This Row],[Home/Neutral]],def_diff_lookup,6,FALSE))</f>
        <v>91.253293999999997</v>
      </c>
      <c r="N1162" s="25"/>
      <c r="O1162" s="25"/>
      <c r="P1162">
        <f>VLOOKUP(Table2[[#This Row],[Home/Neutral]],pace_lookup,7,FALSE)</f>
        <v>93.8</v>
      </c>
      <c r="Q1162" s="5">
        <f>VLOOKUP(Table2[[#This Row],[Visitor/Neutral]],pace_lookup,7,FALSE)</f>
        <v>92.1</v>
      </c>
      <c r="R1162" s="9"/>
      <c r="V1162" s="2">
        <f>-home-VLOOKUP(Table2[[#This Row],[Home/Neutral]],rtg_vlookup,4,FALSE)+VLOOKUP(Table2[[#This Row],[Visitor/Neutral]],rtg_vlookup,4,FALSE)</f>
        <v>-7.9151184834123312</v>
      </c>
      <c r="W1162" s="25"/>
      <c r="X1162" s="2"/>
      <c r="Y1162" s="2">
        <f>Table2[[#This Row],[Away EV]]-Table2[[#This Row],[Home EV]]</f>
        <v>-14.837515268985229</v>
      </c>
      <c r="Z1162" s="33"/>
      <c r="AA1162" s="34"/>
      <c r="AB1162" s="5" t="b">
        <f>IF(VLOOKUP(Table2[[#This Row],[Home/Neutral]],division_lookup,9,FALSE)=VLOOKUP(Table2[[#This Row],[Visitor/Neutral]],division_lookup,9,FALSE),TRUE,FALSE)</f>
        <v>0</v>
      </c>
      <c r="AC1162" s="19" t="str">
        <f>VLOOKUP(Table2[[#This Row],[Home/Neutral]],division_lookup,9,FALSE)</f>
        <v>P</v>
      </c>
      <c r="AD1162" s="19"/>
      <c r="AE1162" s="19" t="str">
        <f>IF(Table2[[#This Row],[Total EV ®]]&lt;Table2[[#This Row],[Total (V)]],"UNDER","OVER")</f>
        <v>OVER</v>
      </c>
      <c r="AF1162" s="30">
        <f>Table2[[#This Row],[(A) Spread]]-Table2[[#This Row],[Spread (V)]]</f>
        <v>0</v>
      </c>
      <c r="AG1162" s="19"/>
      <c r="AH1162" s="2">
        <f>Table2[[#This Row],[EV]]-Table2[[#This Row],[Spread (V)]]</f>
        <v>-14.837515268985229</v>
      </c>
      <c r="AI1162" s="22">
        <f>Table2[[#This Row],[(A)]]-Table2[[#This Row],[Spread]]</f>
        <v>-7.9151184834123312</v>
      </c>
      <c r="AJ1162" s="1">
        <f>Table2[[#This Row],[(A) Err]]^2</f>
        <v>62.649100606455519</v>
      </c>
      <c r="AK1162" s="6">
        <f>Table2[[#This Row],[EV]]-Table2[[#This Row],[Spread]]</f>
        <v>-14.837515268985229</v>
      </c>
      <c r="AL1162" s="1">
        <f>Table2[[#This Row],[EV Err]]^2</f>
        <v>220.1518593573698</v>
      </c>
    </row>
    <row r="1163" spans="1:38" x14ac:dyDescent="0.25">
      <c r="A1163" t="s">
        <v>195</v>
      </c>
      <c r="B1163" t="s">
        <v>6</v>
      </c>
      <c r="C1163" t="s">
        <v>23</v>
      </c>
      <c r="K1163" s="25">
        <f>(Table2[[#This Row],[Home Pace]]/100)*(VLOOKUP(Table2[[#This Row],[Home/Neutral]],home_lookup,8,FALSE)+VLOOKUP(Table2[[#This Row],[Home/Neutral]],OFR_lookup,2,FALSE)+VLOOKUP(Table2[[#This Row],[Visitor/Neutral]],def_diff_lookup,6,FALSE))</f>
        <v>98.953787870622449</v>
      </c>
      <c r="L1163" s="25"/>
      <c r="M1163" s="25">
        <f>(Table2[[#This Row],[Away Pace]]/100)*(VLOOKUP(Table2[[#This Row],[Visitor/Neutral]],OFR_lookup,2,FALSE)+VLOOKUP(Table2[[#This Row],[Home/Neutral]],def_diff_lookup,6,FALSE))</f>
        <v>94.369116666666685</v>
      </c>
      <c r="N1163" s="25"/>
      <c r="O1163" s="25"/>
      <c r="P1163">
        <f>VLOOKUP(Table2[[#This Row],[Home/Neutral]],pace_lookup,7,FALSE)</f>
        <v>93.1</v>
      </c>
      <c r="Q1163" s="5">
        <f>VLOOKUP(Table2[[#This Row],[Visitor/Neutral]],pace_lookup,7,FALSE)</f>
        <v>92.5</v>
      </c>
      <c r="R1163" s="9"/>
      <c r="V1163" s="2">
        <f>-home-VLOOKUP(Table2[[#This Row],[Home/Neutral]],rtg_vlookup,4,FALSE)+VLOOKUP(Table2[[#This Row],[Visitor/Neutral]],rtg_vlookup,4,FALSE)</f>
        <v>-7.3251184834123304</v>
      </c>
      <c r="W1163" s="25"/>
      <c r="X1163" s="2"/>
      <c r="Y1163" s="2">
        <f>Table2[[#This Row],[Away EV]]-Table2[[#This Row],[Home EV]]</f>
        <v>-4.5846712039557644</v>
      </c>
      <c r="Z1163" s="33"/>
      <c r="AA1163" s="34"/>
      <c r="AB1163" s="5" t="b">
        <f>IF(VLOOKUP(Table2[[#This Row],[Home/Neutral]],division_lookup,9,FALSE)=VLOOKUP(Table2[[#This Row],[Visitor/Neutral]],division_lookup,9,FALSE),TRUE,FALSE)</f>
        <v>1</v>
      </c>
      <c r="AC1163" s="19" t="str">
        <f>VLOOKUP(Table2[[#This Row],[Home/Neutral]],division_lookup,9,FALSE)</f>
        <v>SW</v>
      </c>
      <c r="AD1163" s="19"/>
      <c r="AE1163" s="19" t="str">
        <f>IF(Table2[[#This Row],[Total EV ®]]&lt;Table2[[#This Row],[Total (V)]],"UNDER","OVER")</f>
        <v>OVER</v>
      </c>
      <c r="AF1163" s="30">
        <f>Table2[[#This Row],[(A) Spread]]-Table2[[#This Row],[Spread (V)]]</f>
        <v>0</v>
      </c>
      <c r="AG1163" s="19"/>
      <c r="AH1163" s="2">
        <f>Table2[[#This Row],[EV]]-Table2[[#This Row],[Spread (V)]]</f>
        <v>-4.5846712039557644</v>
      </c>
      <c r="AI1163" s="22">
        <f>Table2[[#This Row],[(A)]]-Table2[[#This Row],[Spread]]</f>
        <v>-7.3251184834123304</v>
      </c>
      <c r="AJ1163" s="1">
        <f>Table2[[#This Row],[(A) Err]]^2</f>
        <v>53.657360796028961</v>
      </c>
      <c r="AK1163" s="6">
        <f>Table2[[#This Row],[EV]]-Table2[[#This Row],[Spread]]</f>
        <v>-4.5846712039557644</v>
      </c>
      <c r="AL1163" s="1">
        <f>Table2[[#This Row],[EV Err]]^2</f>
        <v>21.019210048381197</v>
      </c>
    </row>
    <row r="1164" spans="1:38" x14ac:dyDescent="0.25">
      <c r="A1164" t="s">
        <v>195</v>
      </c>
      <c r="B1164" t="s">
        <v>20</v>
      </c>
      <c r="C1164" t="s">
        <v>32</v>
      </c>
      <c r="K1164" s="25">
        <f>(Table2[[#This Row],[Home Pace]]/100)*(VLOOKUP(Table2[[#This Row],[Home/Neutral]],home_lookup,8,FALSE)+VLOOKUP(Table2[[#This Row],[Home/Neutral]],OFR_lookup,2,FALSE)+VLOOKUP(Table2[[#This Row],[Visitor/Neutral]],def_diff_lookup,6,FALSE))</f>
        <v>108.51014528915178</v>
      </c>
      <c r="L1164" s="25"/>
      <c r="M1164" s="25">
        <f>(Table2[[#This Row],[Away Pace]]/100)*(VLOOKUP(Table2[[#This Row],[Visitor/Neutral]],OFR_lookup,2,FALSE)+VLOOKUP(Table2[[#This Row],[Home/Neutral]],def_diff_lookup,6,FALSE))</f>
        <v>105.52237733333335</v>
      </c>
      <c r="N1164" s="25"/>
      <c r="O1164" s="25"/>
      <c r="P1164">
        <f>VLOOKUP(Table2[[#This Row],[Home/Neutral]],pace_lookup,7,FALSE)</f>
        <v>90.9</v>
      </c>
      <c r="Q1164" s="5">
        <f>VLOOKUP(Table2[[#This Row],[Visitor/Neutral]],pace_lookup,7,FALSE)</f>
        <v>98.6</v>
      </c>
      <c r="R1164" s="9"/>
      <c r="V1164" s="2">
        <f>-home-VLOOKUP(Table2[[#This Row],[Home/Neutral]],rtg_vlookup,4,FALSE)+VLOOKUP(Table2[[#This Row],[Visitor/Neutral]],rtg_vlookup,4,FALSE)</f>
        <v>-7.3451184834123309</v>
      </c>
      <c r="W1164" s="25"/>
      <c r="X1164" s="2"/>
      <c r="Y1164" s="2">
        <f>Table2[[#This Row],[Away EV]]-Table2[[#This Row],[Home EV]]</f>
        <v>-2.9877679558184269</v>
      </c>
      <c r="Z1164" s="33"/>
      <c r="AA1164" s="34"/>
      <c r="AB1164" s="5" t="b">
        <f>IF(VLOOKUP(Table2[[#This Row],[Home/Neutral]],division_lookup,9,FALSE)=VLOOKUP(Table2[[#This Row],[Visitor/Neutral]],division_lookup,9,FALSE),TRUE,FALSE)</f>
        <v>1</v>
      </c>
      <c r="AC1164" s="19" t="str">
        <f>VLOOKUP(Table2[[#This Row],[Home/Neutral]],division_lookup,9,FALSE)</f>
        <v>NW</v>
      </c>
      <c r="AD1164" s="19"/>
      <c r="AE1164" s="19" t="str">
        <f>IF(Table2[[#This Row],[Total EV ®]]&lt;Table2[[#This Row],[Total (V)]],"UNDER","OVER")</f>
        <v>OVER</v>
      </c>
      <c r="AF1164" s="30">
        <f>Table2[[#This Row],[(A) Spread]]-Table2[[#This Row],[Spread (V)]]</f>
        <v>0</v>
      </c>
      <c r="AG1164" s="19"/>
      <c r="AH1164" s="2">
        <f>Table2[[#This Row],[EV]]-Table2[[#This Row],[Spread (V)]]</f>
        <v>-2.9877679558184269</v>
      </c>
      <c r="AI1164" s="22">
        <f>Table2[[#This Row],[(A)]]-Table2[[#This Row],[Spread]]</f>
        <v>-7.3451184834123309</v>
      </c>
      <c r="AJ1164" s="1">
        <f>Table2[[#This Row],[(A) Err]]^2</f>
        <v>53.950765535365463</v>
      </c>
      <c r="AK1164" s="6">
        <f>Table2[[#This Row],[EV]]-Table2[[#This Row],[Spread]]</f>
        <v>-2.9877679558184269</v>
      </c>
      <c r="AL1164" s="1">
        <f>Table2[[#This Row],[EV Err]]^2</f>
        <v>8.926757357815422</v>
      </c>
    </row>
    <row r="1165" spans="1:38" x14ac:dyDescent="0.25">
      <c r="A1165" t="s">
        <v>195</v>
      </c>
      <c r="B1165" t="s">
        <v>28</v>
      </c>
      <c r="C1165" t="s">
        <v>16</v>
      </c>
      <c r="K1165" s="25">
        <f>(Table2[[#This Row],[Home Pace]]/100)*(VLOOKUP(Table2[[#This Row],[Home/Neutral]],home_lookup,8,FALSE)+VLOOKUP(Table2[[#This Row],[Home/Neutral]],OFR_lookup,2,FALSE)+VLOOKUP(Table2[[#This Row],[Visitor/Neutral]],def_diff_lookup,6,FALSE))</f>
        <v>106.62053553204274</v>
      </c>
      <c r="L1165" s="25"/>
      <c r="M1165" s="25">
        <f>(Table2[[#This Row],[Away Pace]]/100)*(VLOOKUP(Table2[[#This Row],[Visitor/Neutral]],OFR_lookup,2,FALSE)+VLOOKUP(Table2[[#This Row],[Home/Neutral]],def_diff_lookup,6,FALSE))</f>
        <v>107.38715000000001</v>
      </c>
      <c r="N1165" s="25"/>
      <c r="O1165" s="25"/>
      <c r="P1165">
        <f>VLOOKUP(Table2[[#This Row],[Home/Neutral]],pace_lookup,7,FALSE)</f>
        <v>96.3</v>
      </c>
      <c r="Q1165" s="5">
        <f>VLOOKUP(Table2[[#This Row],[Visitor/Neutral]],pace_lookup,7,FALSE)</f>
        <v>97.5</v>
      </c>
      <c r="R1165" s="9"/>
      <c r="V1165" s="2">
        <f>-home-VLOOKUP(Table2[[#This Row],[Home/Neutral]],rtg_vlookup,4,FALSE)+VLOOKUP(Table2[[#This Row],[Visitor/Neutral]],rtg_vlookup,4,FALSE)</f>
        <v>1.8048815165876695</v>
      </c>
      <c r="W1165" s="25"/>
      <c r="X1165" s="2"/>
      <c r="Y1165" s="2">
        <f>Table2[[#This Row],[Away EV]]-Table2[[#This Row],[Home EV]]</f>
        <v>0.76661446795726818</v>
      </c>
      <c r="Z1165" s="33"/>
      <c r="AA1165" s="34"/>
      <c r="AB1165" s="5" t="b">
        <f>IF(VLOOKUP(Table2[[#This Row],[Home/Neutral]],division_lookup,9,FALSE)=VLOOKUP(Table2[[#This Row],[Visitor/Neutral]],division_lookup,9,FALSE),TRUE,FALSE)</f>
        <v>1</v>
      </c>
      <c r="AC1165" s="19" t="str">
        <f>VLOOKUP(Table2[[#This Row],[Home/Neutral]],division_lookup,9,FALSE)</f>
        <v>SE</v>
      </c>
      <c r="AD1165" s="19"/>
      <c r="AE1165" s="19" t="str">
        <f>IF(Table2[[#This Row],[Total EV ®]]&lt;Table2[[#This Row],[Total (V)]],"UNDER","OVER")</f>
        <v>OVER</v>
      </c>
      <c r="AF1165" s="30">
        <f>Table2[[#This Row],[(A) Spread]]-Table2[[#This Row],[Spread (V)]]</f>
        <v>0</v>
      </c>
      <c r="AG1165" s="19"/>
      <c r="AH1165" s="2">
        <f>Table2[[#This Row],[EV]]-Table2[[#This Row],[Spread (V)]]</f>
        <v>0.76661446795726818</v>
      </c>
      <c r="AI1165" s="22">
        <f>Table2[[#This Row],[(A)]]-Table2[[#This Row],[Spread]]</f>
        <v>1.8048815165876695</v>
      </c>
      <c r="AJ1165" s="1">
        <f>Table2[[#This Row],[(A) Err]]^2</f>
        <v>3.2575972889198059</v>
      </c>
      <c r="AK1165" s="6">
        <f>Table2[[#This Row],[EV]]-Table2[[#This Row],[Spread]]</f>
        <v>0.76661446795726818</v>
      </c>
      <c r="AL1165" s="1">
        <f>Table2[[#This Row],[EV Err]]^2</f>
        <v>0.58769774248140538</v>
      </c>
    </row>
    <row r="1166" spans="1:38" x14ac:dyDescent="0.25">
      <c r="A1166" t="s">
        <v>196</v>
      </c>
      <c r="B1166" t="s">
        <v>26</v>
      </c>
      <c r="C1166" t="s">
        <v>8</v>
      </c>
      <c r="K1166" s="25">
        <f>(Table2[[#This Row],[Home Pace]]/100)*(VLOOKUP(Table2[[#This Row],[Home/Neutral]],home_lookup,8,FALSE)+VLOOKUP(Table2[[#This Row],[Home/Neutral]],OFR_lookup,2,FALSE)+VLOOKUP(Table2[[#This Row],[Visitor/Neutral]],def_diff_lookup,6,FALSE))</f>
        <v>104.96016358918159</v>
      </c>
      <c r="L1166" s="25"/>
      <c r="M1166" s="25">
        <f>(Table2[[#This Row],[Away Pace]]/100)*(VLOOKUP(Table2[[#This Row],[Visitor/Neutral]],OFR_lookup,2,FALSE)+VLOOKUP(Table2[[#This Row],[Home/Neutral]],def_diff_lookup,6,FALSE))</f>
        <v>109.778328</v>
      </c>
      <c r="N1166" s="25"/>
      <c r="O1166" s="25"/>
      <c r="P1166">
        <f>VLOOKUP(Table2[[#This Row],[Home/Neutral]],pace_lookup,7,FALSE)</f>
        <v>96</v>
      </c>
      <c r="Q1166" s="5">
        <f>VLOOKUP(Table2[[#This Row],[Visitor/Neutral]],pace_lookup,7,FALSE)</f>
        <v>97.2</v>
      </c>
      <c r="R1166" s="9"/>
      <c r="V1166" s="2">
        <f>-home-VLOOKUP(Table2[[#This Row],[Home/Neutral]],rtg_vlookup,4,FALSE)+VLOOKUP(Table2[[#This Row],[Visitor/Neutral]],rtg_vlookup,4,FALSE)</f>
        <v>4.3548815165876693</v>
      </c>
      <c r="W1166" s="25"/>
      <c r="X1166" s="2"/>
      <c r="Y1166" s="2">
        <f>Table2[[#This Row],[Away EV]]-Table2[[#This Row],[Home EV]]</f>
        <v>4.8181644108184116</v>
      </c>
      <c r="Z1166" s="33"/>
      <c r="AA1166" s="34"/>
      <c r="AB1166" s="5" t="b">
        <f>IF(VLOOKUP(Table2[[#This Row],[Home/Neutral]],division_lookup,9,FALSE)=VLOOKUP(Table2[[#This Row],[Visitor/Neutral]],division_lookup,9,FALSE),TRUE,FALSE)</f>
        <v>0</v>
      </c>
      <c r="AC1166" s="19" t="str">
        <f>VLOOKUP(Table2[[#This Row],[Home/Neutral]],division_lookup,9,FALSE)</f>
        <v>A</v>
      </c>
      <c r="AD1166" s="19"/>
      <c r="AE1166" s="19" t="str">
        <f>IF(Table2[[#This Row],[Total EV ®]]&lt;Table2[[#This Row],[Total (V)]],"UNDER","OVER")</f>
        <v>OVER</v>
      </c>
      <c r="AF1166" s="30">
        <f>Table2[[#This Row],[(A) Spread]]-Table2[[#This Row],[Spread (V)]]</f>
        <v>0</v>
      </c>
      <c r="AG1166" s="19"/>
      <c r="AH1166" s="2">
        <f>Table2[[#This Row],[EV]]-Table2[[#This Row],[Spread (V)]]</f>
        <v>4.8181644108184116</v>
      </c>
      <c r="AI1166" s="22">
        <f>Table2[[#This Row],[(A)]]-Table2[[#This Row],[Spread]]</f>
        <v>4.3548815165876693</v>
      </c>
      <c r="AJ1166" s="1">
        <f>Table2[[#This Row],[(A) Err]]^2</f>
        <v>18.964993023516918</v>
      </c>
      <c r="AK1166" s="6">
        <f>Table2[[#This Row],[EV]]-Table2[[#This Row],[Spread]]</f>
        <v>4.8181644108184116</v>
      </c>
      <c r="AL1166" s="1">
        <f>Table2[[#This Row],[EV Err]]^2</f>
        <v>23.21470828967713</v>
      </c>
    </row>
    <row r="1167" spans="1:38" x14ac:dyDescent="0.25">
      <c r="A1167" t="s">
        <v>196</v>
      </c>
      <c r="B1167" t="s">
        <v>16</v>
      </c>
      <c r="C1167" t="s">
        <v>21</v>
      </c>
      <c r="K1167" s="25">
        <f>(Table2[[#This Row],[Home Pace]]/100)*(VLOOKUP(Table2[[#This Row],[Home/Neutral]],home_lookup,8,FALSE)+VLOOKUP(Table2[[#This Row],[Home/Neutral]],OFR_lookup,2,FALSE)+VLOOKUP(Table2[[#This Row],[Visitor/Neutral]],def_diff_lookup,6,FALSE))</f>
        <v>100.03835601115951</v>
      </c>
      <c r="L1167" s="25"/>
      <c r="M1167" s="25">
        <f>(Table2[[#This Row],[Away Pace]]/100)*(VLOOKUP(Table2[[#This Row],[Visitor/Neutral]],OFR_lookup,2,FALSE)+VLOOKUP(Table2[[#This Row],[Home/Neutral]],def_diff_lookup,6,FALSE))</f>
        <v>94.850608000000022</v>
      </c>
      <c r="N1167" s="25"/>
      <c r="O1167" s="25"/>
      <c r="P1167">
        <f>VLOOKUP(Table2[[#This Row],[Home/Neutral]],pace_lookup,7,FALSE)</f>
        <v>97.5</v>
      </c>
      <c r="Q1167" s="5">
        <f>VLOOKUP(Table2[[#This Row],[Visitor/Neutral]],pace_lookup,7,FALSE)</f>
        <v>94.2</v>
      </c>
      <c r="R1167" s="9"/>
      <c r="V1167" s="2">
        <f>-home-VLOOKUP(Table2[[#This Row],[Home/Neutral]],rtg_vlookup,4,FALSE)+VLOOKUP(Table2[[#This Row],[Visitor/Neutral]],rtg_vlookup,4,FALSE)</f>
        <v>-5.4351184834123307</v>
      </c>
      <c r="W1167" s="25"/>
      <c r="X1167" s="2"/>
      <c r="Y1167" s="2">
        <f>Table2[[#This Row],[Away EV]]-Table2[[#This Row],[Home EV]]</f>
        <v>-5.1877480111594849</v>
      </c>
      <c r="Z1167" s="33"/>
      <c r="AA1167" s="34"/>
      <c r="AB1167" s="5" t="b">
        <f>IF(VLOOKUP(Table2[[#This Row],[Home/Neutral]],division_lookup,9,FALSE)=VLOOKUP(Table2[[#This Row],[Visitor/Neutral]],division_lookup,9,FALSE),TRUE,FALSE)</f>
        <v>1</v>
      </c>
      <c r="AC1167" s="19" t="str">
        <f>VLOOKUP(Table2[[#This Row],[Home/Neutral]],division_lookup,9,FALSE)</f>
        <v>SE</v>
      </c>
      <c r="AD1167" s="19"/>
      <c r="AE1167" s="19" t="str">
        <f>IF(Table2[[#This Row],[Total EV ®]]&lt;Table2[[#This Row],[Total (V)]],"UNDER","OVER")</f>
        <v>OVER</v>
      </c>
      <c r="AF1167" s="30">
        <f>Table2[[#This Row],[(A) Spread]]-Table2[[#This Row],[Spread (V)]]</f>
        <v>0</v>
      </c>
      <c r="AG1167" s="19"/>
      <c r="AH1167" s="2">
        <f>Table2[[#This Row],[EV]]-Table2[[#This Row],[Spread (V)]]</f>
        <v>-5.1877480111594849</v>
      </c>
      <c r="AI1167" s="22">
        <f>Table2[[#This Row],[(A)]]-Table2[[#This Row],[Spread]]</f>
        <v>-5.4351184834123307</v>
      </c>
      <c r="AJ1167" s="1">
        <f>Table2[[#This Row],[(A) Err]]^2</f>
        <v>29.540512928730355</v>
      </c>
      <c r="AK1167" s="6">
        <f>Table2[[#This Row],[EV]]-Table2[[#This Row],[Spread]]</f>
        <v>-5.1877480111594849</v>
      </c>
      <c r="AL1167" s="1">
        <f>Table2[[#This Row],[EV Err]]^2</f>
        <v>26.912729427289189</v>
      </c>
    </row>
    <row r="1168" spans="1:38" x14ac:dyDescent="0.25">
      <c r="A1168" t="s">
        <v>196</v>
      </c>
      <c r="B1168" t="s">
        <v>25</v>
      </c>
      <c r="C1168" t="s">
        <v>14</v>
      </c>
      <c r="K1168" s="25">
        <f>(Table2[[#This Row],[Home Pace]]/100)*(VLOOKUP(Table2[[#This Row],[Home/Neutral]],home_lookup,8,FALSE)+VLOOKUP(Table2[[#This Row],[Home/Neutral]],OFR_lookup,2,FALSE)+VLOOKUP(Table2[[#This Row],[Visitor/Neutral]],def_diff_lookup,6,FALSE))</f>
        <v>105.05630444427257</v>
      </c>
      <c r="L1168" s="25"/>
      <c r="M1168" s="25">
        <f>(Table2[[#This Row],[Away Pace]]/100)*(VLOOKUP(Table2[[#This Row],[Visitor/Neutral]],OFR_lookup,2,FALSE)+VLOOKUP(Table2[[#This Row],[Home/Neutral]],def_diff_lookup,6,FALSE))</f>
        <v>105.00154933333336</v>
      </c>
      <c r="N1168" s="25"/>
      <c r="O1168" s="25"/>
      <c r="P1168">
        <f>VLOOKUP(Table2[[#This Row],[Home/Neutral]],pace_lookup,7,FALSE)</f>
        <v>94.4</v>
      </c>
      <c r="Q1168" s="5">
        <f>VLOOKUP(Table2[[#This Row],[Visitor/Neutral]],pace_lookup,7,FALSE)</f>
        <v>95.9</v>
      </c>
      <c r="R1168" s="9"/>
      <c r="V1168" s="2">
        <f>-home-VLOOKUP(Table2[[#This Row],[Home/Neutral]],rtg_vlookup,4,FALSE)+VLOOKUP(Table2[[#This Row],[Visitor/Neutral]],rtg_vlookup,4,FALSE)</f>
        <v>2.2548815165876688</v>
      </c>
      <c r="W1168" s="25"/>
      <c r="X1168" s="2"/>
      <c r="Y1168" s="2">
        <f>Table2[[#This Row],[Away EV]]-Table2[[#This Row],[Home EV]]</f>
        <v>-5.4755110939211704E-2</v>
      </c>
      <c r="Z1168" s="33"/>
      <c r="AA1168" s="34"/>
      <c r="AB1168" s="5" t="b">
        <f>IF(VLOOKUP(Table2[[#This Row],[Home/Neutral]],division_lookup,9,FALSE)=VLOOKUP(Table2[[#This Row],[Visitor/Neutral]],division_lookup,9,FALSE),TRUE,FALSE)</f>
        <v>0</v>
      </c>
      <c r="AC1168" s="19" t="str">
        <f>VLOOKUP(Table2[[#This Row],[Home/Neutral]],division_lookup,9,FALSE)</f>
        <v>C</v>
      </c>
      <c r="AD1168" s="19"/>
      <c r="AE1168" s="19" t="str">
        <f>IF(Table2[[#This Row],[Total EV ®]]&lt;Table2[[#This Row],[Total (V)]],"UNDER","OVER")</f>
        <v>OVER</v>
      </c>
      <c r="AF1168" s="30">
        <f>Table2[[#This Row],[(A) Spread]]-Table2[[#This Row],[Spread (V)]]</f>
        <v>0</v>
      </c>
      <c r="AG1168" s="19"/>
      <c r="AH1168" s="2">
        <f>Table2[[#This Row],[EV]]-Table2[[#This Row],[Spread (V)]]</f>
        <v>-5.4755110939211704E-2</v>
      </c>
      <c r="AI1168" s="22">
        <f>Table2[[#This Row],[(A)]]-Table2[[#This Row],[Spread]]</f>
        <v>2.2548815165876688</v>
      </c>
      <c r="AJ1168" s="1">
        <f>Table2[[#This Row],[(A) Err]]^2</f>
        <v>5.0844906538487056</v>
      </c>
      <c r="AK1168" s="6">
        <f>Table2[[#This Row],[EV]]-Table2[[#This Row],[Spread]]</f>
        <v>-5.4755110939211704E-2</v>
      </c>
      <c r="AL1168" s="1">
        <f>Table2[[#This Row],[EV Err]]^2</f>
        <v>2.9981221739653814E-3</v>
      </c>
    </row>
    <row r="1169" spans="1:38" x14ac:dyDescent="0.25">
      <c r="A1169" t="s">
        <v>196</v>
      </c>
      <c r="B1169" t="s">
        <v>17</v>
      </c>
      <c r="C1169" t="s">
        <v>27</v>
      </c>
      <c r="K1169" s="25">
        <f>(Table2[[#This Row],[Home Pace]]/100)*(VLOOKUP(Table2[[#This Row],[Home/Neutral]],home_lookup,8,FALSE)+VLOOKUP(Table2[[#This Row],[Home/Neutral]],OFR_lookup,2,FALSE)+VLOOKUP(Table2[[#This Row],[Visitor/Neutral]],def_diff_lookup,6,FALSE))</f>
        <v>108.89138692873544</v>
      </c>
      <c r="L1169" s="25"/>
      <c r="M1169" s="25">
        <f>(Table2[[#This Row],[Away Pace]]/100)*(VLOOKUP(Table2[[#This Row],[Visitor/Neutral]],OFR_lookup,2,FALSE)+VLOOKUP(Table2[[#This Row],[Home/Neutral]],def_diff_lookup,6,FALSE))</f>
        <v>107.49486</v>
      </c>
      <c r="N1169" s="25"/>
      <c r="O1169" s="25"/>
      <c r="P1169">
        <f>VLOOKUP(Table2[[#This Row],[Home/Neutral]],pace_lookup,7,FALSE)</f>
        <v>96.7</v>
      </c>
      <c r="Q1169" s="5">
        <f>VLOOKUP(Table2[[#This Row],[Visitor/Neutral]],pace_lookup,7,FALSE)</f>
        <v>99</v>
      </c>
      <c r="R1169" s="9"/>
      <c r="V1169" s="2">
        <f>-home-VLOOKUP(Table2[[#This Row],[Home/Neutral]],rtg_vlookup,4,FALSE)+VLOOKUP(Table2[[#This Row],[Visitor/Neutral]],rtg_vlookup,4,FALSE)</f>
        <v>-7.5551184834123308</v>
      </c>
      <c r="W1169" s="25"/>
      <c r="X1169" s="2"/>
      <c r="Y1169" s="2">
        <f>Table2[[#This Row],[Away EV]]-Table2[[#This Row],[Home EV]]</f>
        <v>-1.3965269287354403</v>
      </c>
      <c r="Z1169" s="33"/>
      <c r="AA1169" s="34"/>
      <c r="AB1169" s="5" t="b">
        <f>IF(VLOOKUP(Table2[[#This Row],[Home/Neutral]],division_lookup,9,FALSE)=VLOOKUP(Table2[[#This Row],[Visitor/Neutral]],division_lookup,9,FALSE),TRUE,FALSE)</f>
        <v>0</v>
      </c>
      <c r="AC1169" s="19" t="str">
        <f>VLOOKUP(Table2[[#This Row],[Home/Neutral]],division_lookup,9,FALSE)</f>
        <v>SW</v>
      </c>
      <c r="AD1169" s="19"/>
      <c r="AE1169" s="19" t="str">
        <f>IF(Table2[[#This Row],[Total EV ®]]&lt;Table2[[#This Row],[Total (V)]],"UNDER","OVER")</f>
        <v>OVER</v>
      </c>
      <c r="AF1169" s="30">
        <f>Table2[[#This Row],[(A) Spread]]-Table2[[#This Row],[Spread (V)]]</f>
        <v>0</v>
      </c>
      <c r="AG1169" s="19"/>
      <c r="AH1169" s="2">
        <f>Table2[[#This Row],[EV]]-Table2[[#This Row],[Spread (V)]]</f>
        <v>-1.3965269287354403</v>
      </c>
      <c r="AI1169" s="22">
        <f>Table2[[#This Row],[(A)]]-Table2[[#This Row],[Spread]]</f>
        <v>-7.5551184834123308</v>
      </c>
      <c r="AJ1169" s="1">
        <f>Table2[[#This Row],[(A) Err]]^2</f>
        <v>57.079815298398636</v>
      </c>
      <c r="AK1169" s="6">
        <f>Table2[[#This Row],[EV]]-Table2[[#This Row],[Spread]]</f>
        <v>-1.3965269287354403</v>
      </c>
      <c r="AL1169" s="1">
        <f>Table2[[#This Row],[EV Err]]^2</f>
        <v>1.9502874626832414</v>
      </c>
    </row>
    <row r="1170" spans="1:38" x14ac:dyDescent="0.25">
      <c r="A1170" t="s">
        <v>196</v>
      </c>
      <c r="B1170" t="s">
        <v>4</v>
      </c>
      <c r="C1170" t="s">
        <v>37</v>
      </c>
      <c r="K1170" s="25">
        <f>(Table2[[#This Row],[Home Pace]]/100)*(VLOOKUP(Table2[[#This Row],[Home/Neutral]],home_lookup,8,FALSE)+VLOOKUP(Table2[[#This Row],[Home/Neutral]],OFR_lookup,2,FALSE)+VLOOKUP(Table2[[#This Row],[Visitor/Neutral]],def_diff_lookup,6,FALSE))</f>
        <v>99.35478781393445</v>
      </c>
      <c r="L1170" s="25"/>
      <c r="M1170" s="25">
        <f>(Table2[[#This Row],[Away Pace]]/100)*(VLOOKUP(Table2[[#This Row],[Visitor/Neutral]],OFR_lookup,2,FALSE)+VLOOKUP(Table2[[#This Row],[Home/Neutral]],def_diff_lookup,6,FALSE))</f>
        <v>82.586684000000005</v>
      </c>
      <c r="N1170" s="25"/>
      <c r="O1170" s="25"/>
      <c r="P1170">
        <f>VLOOKUP(Table2[[#This Row],[Home/Neutral]],pace_lookup,7,FALSE)</f>
        <v>96.6</v>
      </c>
      <c r="Q1170" s="5">
        <f>VLOOKUP(Table2[[#This Row],[Visitor/Neutral]],pace_lookup,7,FALSE)</f>
        <v>92.1</v>
      </c>
      <c r="R1170" s="9"/>
      <c r="V1170" s="2">
        <f>-home-VLOOKUP(Table2[[#This Row],[Home/Neutral]],rtg_vlookup,4,FALSE)+VLOOKUP(Table2[[#This Row],[Visitor/Neutral]],rtg_vlookup,4,FALSE)</f>
        <v>-24.845118483412332</v>
      </c>
      <c r="W1170" s="25"/>
      <c r="X1170" s="2"/>
      <c r="Y1170" s="2">
        <f>Table2[[#This Row],[Away EV]]-Table2[[#This Row],[Home EV]]</f>
        <v>-16.768103813934445</v>
      </c>
      <c r="Z1170" s="33"/>
      <c r="AA1170" s="34"/>
      <c r="AB1170" s="5" t="b">
        <f>IF(VLOOKUP(Table2[[#This Row],[Home/Neutral]],division_lookup,9,FALSE)=VLOOKUP(Table2[[#This Row],[Visitor/Neutral]],division_lookup,9,FALSE),TRUE,FALSE)</f>
        <v>0</v>
      </c>
      <c r="AC1170" s="19" t="str">
        <f>VLOOKUP(Table2[[#This Row],[Home/Neutral]],division_lookup,9,FALSE)</f>
        <v>P</v>
      </c>
      <c r="AD1170" s="19"/>
      <c r="AE1170" s="19" t="str">
        <f>IF(Table2[[#This Row],[Total EV ®]]&lt;Table2[[#This Row],[Total (V)]],"UNDER","OVER")</f>
        <v>OVER</v>
      </c>
      <c r="AF1170" s="30">
        <f>Table2[[#This Row],[(A) Spread]]-Table2[[#This Row],[Spread (V)]]</f>
        <v>0</v>
      </c>
      <c r="AG1170" s="19"/>
      <c r="AH1170" s="2">
        <f>Table2[[#This Row],[EV]]-Table2[[#This Row],[Spread (V)]]</f>
        <v>-16.768103813934445</v>
      </c>
      <c r="AI1170" s="22">
        <f>Table2[[#This Row],[(A)]]-Table2[[#This Row],[Spread]]</f>
        <v>-24.845118483412332</v>
      </c>
      <c r="AJ1170" s="1">
        <f>Table2[[#This Row],[(A) Err]]^2</f>
        <v>617.27991245479711</v>
      </c>
      <c r="AK1170" s="6">
        <f>Table2[[#This Row],[EV]]-Table2[[#This Row],[Spread]]</f>
        <v>-16.768103813934445</v>
      </c>
      <c r="AL1170" s="1">
        <f>Table2[[#This Row],[EV Err]]^2</f>
        <v>281.16930551488286</v>
      </c>
    </row>
    <row r="1171" spans="1:38" x14ac:dyDescent="0.25">
      <c r="A1171" t="s">
        <v>196</v>
      </c>
      <c r="B1171" t="s">
        <v>23</v>
      </c>
      <c r="C1171" t="s">
        <v>18</v>
      </c>
      <c r="K1171" s="25">
        <f>(Table2[[#This Row],[Home Pace]]/100)*(VLOOKUP(Table2[[#This Row],[Home/Neutral]],home_lookup,8,FALSE)+VLOOKUP(Table2[[#This Row],[Home/Neutral]],OFR_lookup,2,FALSE)+VLOOKUP(Table2[[#This Row],[Visitor/Neutral]],def_diff_lookup,6,FALSE))</f>
        <v>98.067887358713591</v>
      </c>
      <c r="L1171" s="25"/>
      <c r="M1171" s="25">
        <f>(Table2[[#This Row],[Away Pace]]/100)*(VLOOKUP(Table2[[#This Row],[Visitor/Neutral]],OFR_lookup,2,FALSE)+VLOOKUP(Table2[[#This Row],[Home/Neutral]],def_diff_lookup,6,FALSE))</f>
        <v>99.580263333333349</v>
      </c>
      <c r="N1171" s="25"/>
      <c r="O1171" s="25"/>
      <c r="P1171">
        <f>VLOOKUP(Table2[[#This Row],[Home/Neutral]],pace_lookup,7,FALSE)</f>
        <v>92.5</v>
      </c>
      <c r="Q1171" s="5">
        <f>VLOOKUP(Table2[[#This Row],[Visitor/Neutral]],pace_lookup,7,FALSE)</f>
        <v>99.5</v>
      </c>
      <c r="R1171" s="9"/>
      <c r="V1171" s="2">
        <f>-home-VLOOKUP(Table2[[#This Row],[Home/Neutral]],rtg_vlookup,4,FALSE)+VLOOKUP(Table2[[#This Row],[Visitor/Neutral]],rtg_vlookup,4,FALSE)</f>
        <v>-2.795118483412331</v>
      </c>
      <c r="W1171" s="25"/>
      <c r="X1171" s="2"/>
      <c r="Y1171" s="2">
        <f>Table2[[#This Row],[Away EV]]-Table2[[#This Row],[Home EV]]</f>
        <v>1.5123759746197578</v>
      </c>
      <c r="Z1171" s="33"/>
      <c r="AA1171" s="34"/>
      <c r="AB1171" s="5" t="b">
        <f>IF(VLOOKUP(Table2[[#This Row],[Home/Neutral]],division_lookup,9,FALSE)=VLOOKUP(Table2[[#This Row],[Visitor/Neutral]],division_lookup,9,FALSE),TRUE,FALSE)</f>
        <v>0</v>
      </c>
      <c r="AC1171" s="19" t="str">
        <f>VLOOKUP(Table2[[#This Row],[Home/Neutral]],division_lookup,9,FALSE)</f>
        <v>SW</v>
      </c>
      <c r="AD1171" s="19"/>
      <c r="AE1171" s="19" t="str">
        <f>IF(Table2[[#This Row],[Total EV ®]]&lt;Table2[[#This Row],[Total (V)]],"UNDER","OVER")</f>
        <v>OVER</v>
      </c>
      <c r="AF1171" s="30">
        <f>Table2[[#This Row],[(A) Spread]]-Table2[[#This Row],[Spread (V)]]</f>
        <v>0</v>
      </c>
      <c r="AG1171" s="19"/>
      <c r="AH1171" s="2">
        <f>Table2[[#This Row],[EV]]-Table2[[#This Row],[Spread (V)]]</f>
        <v>1.5123759746197578</v>
      </c>
      <c r="AI1171" s="22">
        <f>Table2[[#This Row],[(A)]]-Table2[[#This Row],[Spread]]</f>
        <v>-2.795118483412331</v>
      </c>
      <c r="AJ1171" s="1">
        <f>Table2[[#This Row],[(A) Err]]^2</f>
        <v>7.8126873363132496</v>
      </c>
      <c r="AK1171" s="6">
        <f>Table2[[#This Row],[EV]]-Table2[[#This Row],[Spread]]</f>
        <v>1.5123759746197578</v>
      </c>
      <c r="AL1171" s="1">
        <f>Table2[[#This Row],[EV Err]]^2</f>
        <v>2.2872810886070623</v>
      </c>
    </row>
    <row r="1172" spans="1:38" x14ac:dyDescent="0.25">
      <c r="A1172" t="s">
        <v>196</v>
      </c>
      <c r="B1172" t="s">
        <v>36</v>
      </c>
      <c r="C1172" t="s">
        <v>10</v>
      </c>
      <c r="K1172" s="25">
        <f>(Table2[[#This Row],[Home Pace]]/100)*(VLOOKUP(Table2[[#This Row],[Home/Neutral]],home_lookup,8,FALSE)+VLOOKUP(Table2[[#This Row],[Home/Neutral]],OFR_lookup,2,FALSE)+VLOOKUP(Table2[[#This Row],[Visitor/Neutral]],def_diff_lookup,6,FALSE))</f>
        <v>109.08693156604042</v>
      </c>
      <c r="L1172" s="25"/>
      <c r="M1172" s="25">
        <f>(Table2[[#This Row],[Away Pace]]/100)*(VLOOKUP(Table2[[#This Row],[Visitor/Neutral]],OFR_lookup,2,FALSE)+VLOOKUP(Table2[[#This Row],[Home/Neutral]],def_diff_lookup,6,FALSE))</f>
        <v>119.56829866666665</v>
      </c>
      <c r="N1172" s="25"/>
      <c r="O1172" s="25"/>
      <c r="P1172">
        <f>VLOOKUP(Table2[[#This Row],[Home/Neutral]],pace_lookup,7,FALSE)</f>
        <v>102.2</v>
      </c>
      <c r="Q1172" s="5">
        <f>VLOOKUP(Table2[[#This Row],[Visitor/Neutral]],pace_lookup,7,FALSE)</f>
        <v>100.3</v>
      </c>
      <c r="R1172" s="9"/>
      <c r="V1172" s="2">
        <f>-home-VLOOKUP(Table2[[#This Row],[Home/Neutral]],rtg_vlookup,4,FALSE)+VLOOKUP(Table2[[#This Row],[Visitor/Neutral]],rtg_vlookup,4,FALSE)</f>
        <v>11.954881516587669</v>
      </c>
      <c r="W1172" s="25"/>
      <c r="X1172" s="2"/>
      <c r="Y1172" s="2">
        <f>Table2[[#This Row],[Away EV]]-Table2[[#This Row],[Home EV]]</f>
        <v>10.48136710062623</v>
      </c>
      <c r="Z1172" s="33"/>
      <c r="AA1172" s="34"/>
      <c r="AB1172" s="5" t="b">
        <f>IF(VLOOKUP(Table2[[#This Row],[Home/Neutral]],division_lookup,9,FALSE)=VLOOKUP(Table2[[#This Row],[Visitor/Neutral]],division_lookup,9,FALSE),TRUE,FALSE)</f>
        <v>1</v>
      </c>
      <c r="AC1172" s="19" t="str">
        <f>VLOOKUP(Table2[[#This Row],[Home/Neutral]],division_lookup,9,FALSE)</f>
        <v>P</v>
      </c>
      <c r="AD1172" s="19"/>
      <c r="AE1172" s="19" t="str">
        <f>IF(Table2[[#This Row],[Total EV ®]]&lt;Table2[[#This Row],[Total (V)]],"UNDER","OVER")</f>
        <v>OVER</v>
      </c>
      <c r="AF1172" s="30">
        <f>Table2[[#This Row],[(A) Spread]]-Table2[[#This Row],[Spread (V)]]</f>
        <v>0</v>
      </c>
      <c r="AG1172" s="19"/>
      <c r="AH1172" s="2">
        <f>Table2[[#This Row],[EV]]-Table2[[#This Row],[Spread (V)]]</f>
        <v>10.48136710062623</v>
      </c>
      <c r="AI1172" s="22">
        <f>Table2[[#This Row],[(A)]]-Table2[[#This Row],[Spread]]</f>
        <v>11.954881516587669</v>
      </c>
      <c r="AJ1172" s="1">
        <f>Table2[[#This Row],[(A) Err]]^2</f>
        <v>142.91919207564948</v>
      </c>
      <c r="AK1172" s="6">
        <f>Table2[[#This Row],[EV]]-Table2[[#This Row],[Spread]]</f>
        <v>10.48136710062623</v>
      </c>
      <c r="AL1172" s="1">
        <f>Table2[[#This Row],[EV Err]]^2</f>
        <v>109.8590562980899</v>
      </c>
    </row>
    <row r="1173" spans="1:38" x14ac:dyDescent="0.25">
      <c r="A1173" t="s">
        <v>196</v>
      </c>
      <c r="B1173" t="s">
        <v>6</v>
      </c>
      <c r="C1173" t="s">
        <v>24</v>
      </c>
      <c r="K1173" s="25">
        <f>(Table2[[#This Row],[Home Pace]]/100)*(VLOOKUP(Table2[[#This Row],[Home/Neutral]],home_lookup,8,FALSE)+VLOOKUP(Table2[[#This Row],[Home/Neutral]],OFR_lookup,2,FALSE)+VLOOKUP(Table2[[#This Row],[Visitor/Neutral]],def_diff_lookup,6,FALSE))</f>
        <v>106.71832787062243</v>
      </c>
      <c r="L1173" s="25"/>
      <c r="M1173" s="25">
        <f>(Table2[[#This Row],[Away Pace]]/100)*(VLOOKUP(Table2[[#This Row],[Visitor/Neutral]],OFR_lookup,2,FALSE)+VLOOKUP(Table2[[#This Row],[Home/Neutral]],def_diff_lookup,6,FALSE))</f>
        <v>108.12243600000002</v>
      </c>
      <c r="N1173" s="25"/>
      <c r="O1173" s="25"/>
      <c r="P1173">
        <f>VLOOKUP(Table2[[#This Row],[Home/Neutral]],pace_lookup,7,FALSE)</f>
        <v>93.1</v>
      </c>
      <c r="Q1173" s="5">
        <f>VLOOKUP(Table2[[#This Row],[Visitor/Neutral]],pace_lookup,7,FALSE)</f>
        <v>99.9</v>
      </c>
      <c r="R1173" s="9"/>
      <c r="V1173" s="2">
        <f>-home-VLOOKUP(Table2[[#This Row],[Home/Neutral]],rtg_vlookup,4,FALSE)+VLOOKUP(Table2[[#This Row],[Visitor/Neutral]],rtg_vlookup,4,FALSE)</f>
        <v>-9.465118483412331</v>
      </c>
      <c r="W1173" s="25"/>
      <c r="X1173" s="2"/>
      <c r="Y1173" s="2">
        <f>Table2[[#This Row],[Away EV]]-Table2[[#This Row],[Home EV]]</f>
        <v>1.4041081293775903</v>
      </c>
      <c r="Z1173" s="33"/>
      <c r="AA1173" s="34"/>
      <c r="AB1173" s="5" t="b">
        <f>IF(VLOOKUP(Table2[[#This Row],[Home/Neutral]],division_lookup,9,FALSE)=VLOOKUP(Table2[[#This Row],[Visitor/Neutral]],division_lookup,9,FALSE),TRUE,FALSE)</f>
        <v>0</v>
      </c>
      <c r="AC1173" s="19" t="str">
        <f>VLOOKUP(Table2[[#This Row],[Home/Neutral]],division_lookup,9,FALSE)</f>
        <v>SW</v>
      </c>
      <c r="AD1173" s="19"/>
      <c r="AE1173" s="19" t="str">
        <f>IF(Table2[[#This Row],[Total EV ®]]&lt;Table2[[#This Row],[Total (V)]],"UNDER","OVER")</f>
        <v>OVER</v>
      </c>
      <c r="AF1173" s="30">
        <f>Table2[[#This Row],[(A) Spread]]-Table2[[#This Row],[Spread (V)]]</f>
        <v>0</v>
      </c>
      <c r="AG1173" s="19"/>
      <c r="AH1173" s="2">
        <f>Table2[[#This Row],[EV]]-Table2[[#This Row],[Spread (V)]]</f>
        <v>1.4041081293775903</v>
      </c>
      <c r="AI1173" s="22">
        <f>Table2[[#This Row],[(A)]]-Table2[[#This Row],[Spread]]</f>
        <v>-9.465118483412331</v>
      </c>
      <c r="AJ1173" s="1">
        <f>Table2[[#This Row],[(A) Err]]^2</f>
        <v>89.588467905033738</v>
      </c>
      <c r="AK1173" s="6">
        <f>Table2[[#This Row],[EV]]-Table2[[#This Row],[Spread]]</f>
        <v>1.4041081293775903</v>
      </c>
      <c r="AL1173" s="1">
        <f>Table2[[#This Row],[EV Err]]^2</f>
        <v>1.971519638984236</v>
      </c>
    </row>
    <row r="1174" spans="1:38" x14ac:dyDescent="0.25">
      <c r="A1174" t="s">
        <v>197</v>
      </c>
      <c r="B1174" t="s">
        <v>11</v>
      </c>
      <c r="C1174" t="s">
        <v>26</v>
      </c>
      <c r="K1174" s="25">
        <f>(Table2[[#This Row],[Home Pace]]/100)*(VLOOKUP(Table2[[#This Row],[Home/Neutral]],home_lookup,8,FALSE)+VLOOKUP(Table2[[#This Row],[Home/Neutral]],OFR_lookup,2,FALSE)+VLOOKUP(Table2[[#This Row],[Visitor/Neutral]],def_diff_lookup,6,FALSE))</f>
        <v>100.25512904407282</v>
      </c>
      <c r="L1174" s="25"/>
      <c r="M1174" s="25">
        <f>(Table2[[#This Row],[Away Pace]]/100)*(VLOOKUP(Table2[[#This Row],[Visitor/Neutral]],OFR_lookup,2,FALSE)+VLOOKUP(Table2[[#This Row],[Home/Neutral]],def_diff_lookup,6,FALSE))</f>
        <v>96.039040000000014</v>
      </c>
      <c r="N1174" s="25"/>
      <c r="O1174" s="25"/>
      <c r="P1174">
        <f>VLOOKUP(Table2[[#This Row],[Home/Neutral]],pace_lookup,7,FALSE)</f>
        <v>99.7</v>
      </c>
      <c r="Q1174" s="5">
        <f>VLOOKUP(Table2[[#This Row],[Visitor/Neutral]],pace_lookup,7,FALSE)</f>
        <v>96</v>
      </c>
      <c r="R1174" s="9"/>
      <c r="V1174" s="2">
        <f>-home-VLOOKUP(Table2[[#This Row],[Home/Neutral]],rtg_vlookup,4,FALSE)+VLOOKUP(Table2[[#This Row],[Visitor/Neutral]],rtg_vlookup,4,FALSE)</f>
        <v>-9.2651184834123317</v>
      </c>
      <c r="W1174" s="25"/>
      <c r="X1174" s="2"/>
      <c r="Y1174" s="2">
        <f>Table2[[#This Row],[Away EV]]-Table2[[#This Row],[Home EV]]</f>
        <v>-4.2160890440728025</v>
      </c>
      <c r="Z1174" s="33"/>
      <c r="AA1174" s="34"/>
      <c r="AB1174" s="5" t="b">
        <f>IF(VLOOKUP(Table2[[#This Row],[Home/Neutral]],division_lookup,9,FALSE)=VLOOKUP(Table2[[#This Row],[Visitor/Neutral]],division_lookup,9,FALSE),TRUE,FALSE)</f>
        <v>0</v>
      </c>
      <c r="AC1174" s="19" t="str">
        <f>VLOOKUP(Table2[[#This Row],[Home/Neutral]],division_lookup,9,FALSE)</f>
        <v>SE</v>
      </c>
      <c r="AD1174" s="19"/>
      <c r="AE1174" s="19" t="str">
        <f>IF(Table2[[#This Row],[Total EV ®]]&lt;Table2[[#This Row],[Total (V)]],"UNDER","OVER")</f>
        <v>OVER</v>
      </c>
      <c r="AF1174" s="30">
        <f>Table2[[#This Row],[(A) Spread]]-Table2[[#This Row],[Spread (V)]]</f>
        <v>0</v>
      </c>
      <c r="AG1174" s="19"/>
      <c r="AH1174" s="2">
        <f>Table2[[#This Row],[EV]]-Table2[[#This Row],[Spread (V)]]</f>
        <v>-4.2160890440728025</v>
      </c>
      <c r="AI1174" s="22">
        <f>Table2[[#This Row],[(A)]]-Table2[[#This Row],[Spread]]</f>
        <v>-9.2651184834123317</v>
      </c>
      <c r="AJ1174" s="1">
        <f>Table2[[#This Row],[(A) Err]]^2</f>
        <v>85.84242051166882</v>
      </c>
      <c r="AK1174" s="6">
        <f>Table2[[#This Row],[EV]]-Table2[[#This Row],[Spread]]</f>
        <v>-4.2160890440728025</v>
      </c>
      <c r="AL1174" s="1">
        <f>Table2[[#This Row],[EV Err]]^2</f>
        <v>17.775406827550718</v>
      </c>
    </row>
    <row r="1175" spans="1:38" x14ac:dyDescent="0.25">
      <c r="A1175" t="s">
        <v>197</v>
      </c>
      <c r="B1175" t="s">
        <v>33</v>
      </c>
      <c r="C1175" t="s">
        <v>30</v>
      </c>
      <c r="K1175" s="25">
        <f>(Table2[[#This Row],[Home Pace]]/100)*(VLOOKUP(Table2[[#This Row],[Home/Neutral]],home_lookup,8,FALSE)+VLOOKUP(Table2[[#This Row],[Home/Neutral]],OFR_lookup,2,FALSE)+VLOOKUP(Table2[[#This Row],[Visitor/Neutral]],def_diff_lookup,6,FALSE))</f>
        <v>109.41425852057507</v>
      </c>
      <c r="L1175" s="25"/>
      <c r="M1175" s="25">
        <f>(Table2[[#This Row],[Away Pace]]/100)*(VLOOKUP(Table2[[#This Row],[Visitor/Neutral]],OFR_lookup,2,FALSE)+VLOOKUP(Table2[[#This Row],[Home/Neutral]],def_diff_lookup,6,FALSE))</f>
        <v>104.74792533333334</v>
      </c>
      <c r="N1175" s="25"/>
      <c r="O1175" s="25"/>
      <c r="P1175">
        <f>VLOOKUP(Table2[[#This Row],[Home/Neutral]],pace_lookup,7,FALSE)</f>
        <v>98.2</v>
      </c>
      <c r="Q1175" s="5">
        <f>VLOOKUP(Table2[[#This Row],[Visitor/Neutral]],pace_lookup,7,FALSE)</f>
        <v>96.8</v>
      </c>
      <c r="R1175" s="9"/>
      <c r="V1175" s="2">
        <f>-home-VLOOKUP(Table2[[#This Row],[Home/Neutral]],rtg_vlookup,4,FALSE)+VLOOKUP(Table2[[#This Row],[Visitor/Neutral]],rtg_vlookup,4,FALSE)</f>
        <v>4.8815165876696653E-3</v>
      </c>
      <c r="W1175" s="25"/>
      <c r="X1175" s="2"/>
      <c r="Y1175" s="2">
        <f>Table2[[#This Row],[Away EV]]-Table2[[#This Row],[Home EV]]</f>
        <v>-4.6663331872417331</v>
      </c>
      <c r="Z1175" s="33"/>
      <c r="AA1175" s="34"/>
      <c r="AB1175" s="5" t="b">
        <f>IF(VLOOKUP(Table2[[#This Row],[Home/Neutral]],division_lookup,9,FALSE)=VLOOKUP(Table2[[#This Row],[Visitor/Neutral]],division_lookup,9,FALSE),TRUE,FALSE)</f>
        <v>1</v>
      </c>
      <c r="AC1175" s="19" t="str">
        <f>VLOOKUP(Table2[[#This Row],[Home/Neutral]],division_lookup,9,FALSE)</f>
        <v>C</v>
      </c>
      <c r="AD1175" s="19"/>
      <c r="AE1175" s="19" t="str">
        <f>IF(Table2[[#This Row],[Total EV ®]]&lt;Table2[[#This Row],[Total (V)]],"UNDER","OVER")</f>
        <v>OVER</v>
      </c>
      <c r="AF1175" s="30">
        <f>Table2[[#This Row],[(A) Spread]]-Table2[[#This Row],[Spread (V)]]</f>
        <v>0</v>
      </c>
      <c r="AG1175" s="19"/>
      <c r="AH1175" s="2">
        <f>Table2[[#This Row],[EV]]-Table2[[#This Row],[Spread (V)]]</f>
        <v>-4.6663331872417331</v>
      </c>
      <c r="AI1175" s="22">
        <f>Table2[[#This Row],[(A)]]-Table2[[#This Row],[Spread]]</f>
        <v>4.8815165876696653E-3</v>
      </c>
      <c r="AJ1175" s="1">
        <f>Table2[[#This Row],[(A) Err]]^2</f>
        <v>2.3829204195694094E-5</v>
      </c>
      <c r="AK1175" s="6">
        <f>Table2[[#This Row],[EV]]-Table2[[#This Row],[Spread]]</f>
        <v>-4.6663331872417331</v>
      </c>
      <c r="AL1175" s="1">
        <f>Table2[[#This Row],[EV Err]]^2</f>
        <v>21.774665414353592</v>
      </c>
    </row>
    <row r="1176" spans="1:38" x14ac:dyDescent="0.25">
      <c r="A1176" t="s">
        <v>197</v>
      </c>
      <c r="B1176" t="s">
        <v>31</v>
      </c>
      <c r="C1176" t="s">
        <v>28</v>
      </c>
      <c r="K1176" s="25">
        <f>(Table2[[#This Row],[Home Pace]]/100)*(VLOOKUP(Table2[[#This Row],[Home/Neutral]],home_lookup,8,FALSE)+VLOOKUP(Table2[[#This Row],[Home/Neutral]],OFR_lookup,2,FALSE)+VLOOKUP(Table2[[#This Row],[Visitor/Neutral]],def_diff_lookup,6,FALSE))</f>
        <v>113.21257430217891</v>
      </c>
      <c r="L1176" s="25"/>
      <c r="M1176" s="25">
        <f>(Table2[[#This Row],[Away Pace]]/100)*(VLOOKUP(Table2[[#This Row],[Visitor/Neutral]],OFR_lookup,2,FALSE)+VLOOKUP(Table2[[#This Row],[Home/Neutral]],def_diff_lookup,6,FALSE))</f>
        <v>107.95294199999999</v>
      </c>
      <c r="N1176" s="25"/>
      <c r="O1176" s="25"/>
      <c r="P1176">
        <f>VLOOKUP(Table2[[#This Row],[Home/Neutral]],pace_lookup,7,FALSE)</f>
        <v>96</v>
      </c>
      <c r="Q1176" s="5">
        <f>VLOOKUP(Table2[[#This Row],[Visitor/Neutral]],pace_lookup,7,FALSE)</f>
        <v>96.3</v>
      </c>
      <c r="R1176" s="9"/>
      <c r="V1176" s="2">
        <f>-home-VLOOKUP(Table2[[#This Row],[Home/Neutral]],rtg_vlookup,4,FALSE)+VLOOKUP(Table2[[#This Row],[Visitor/Neutral]],rtg_vlookup,4,FALSE)</f>
        <v>-2.3951184834123307</v>
      </c>
      <c r="W1176" s="25"/>
      <c r="X1176" s="2"/>
      <c r="Y1176" s="2">
        <f>Table2[[#This Row],[Away EV]]-Table2[[#This Row],[Home EV]]</f>
        <v>-5.2596323021789146</v>
      </c>
      <c r="Z1176" s="33"/>
      <c r="AA1176" s="34"/>
      <c r="AB1176" s="5" t="b">
        <f>IF(VLOOKUP(Table2[[#This Row],[Home/Neutral]],division_lookup,9,FALSE)=VLOOKUP(Table2[[#This Row],[Visitor/Neutral]],division_lookup,9,FALSE),TRUE,FALSE)</f>
        <v>0</v>
      </c>
      <c r="AC1176" s="19" t="str">
        <f>VLOOKUP(Table2[[#This Row],[Home/Neutral]],division_lookup,9,FALSE)</f>
        <v>A</v>
      </c>
      <c r="AD1176" s="19"/>
      <c r="AE1176" s="19" t="str">
        <f>IF(Table2[[#This Row],[Total EV ®]]&lt;Table2[[#This Row],[Total (V)]],"UNDER","OVER")</f>
        <v>OVER</v>
      </c>
      <c r="AF1176" s="30">
        <f>Table2[[#This Row],[(A) Spread]]-Table2[[#This Row],[Spread (V)]]</f>
        <v>0</v>
      </c>
      <c r="AG1176" s="19"/>
      <c r="AH1176" s="2">
        <f>Table2[[#This Row],[EV]]-Table2[[#This Row],[Spread (V)]]</f>
        <v>-5.2596323021789146</v>
      </c>
      <c r="AI1176" s="22">
        <f>Table2[[#This Row],[(A)]]-Table2[[#This Row],[Spread]]</f>
        <v>-2.3951184834123307</v>
      </c>
      <c r="AJ1176" s="1">
        <f>Table2[[#This Row],[(A) Err]]^2</f>
        <v>5.7365925495833832</v>
      </c>
      <c r="AK1176" s="6">
        <f>Table2[[#This Row],[EV]]-Table2[[#This Row],[Spread]]</f>
        <v>-5.2596323021789146</v>
      </c>
      <c r="AL1176" s="1">
        <f>Table2[[#This Row],[EV Err]]^2</f>
        <v>27.663731954123868</v>
      </c>
    </row>
    <row r="1177" spans="1:38" x14ac:dyDescent="0.25">
      <c r="A1177" t="s">
        <v>197</v>
      </c>
      <c r="B1177" t="s">
        <v>38</v>
      </c>
      <c r="C1177" t="s">
        <v>35</v>
      </c>
      <c r="K1177" s="25">
        <f>(Table2[[#This Row],[Home Pace]]/100)*(VLOOKUP(Table2[[#This Row],[Home/Neutral]],home_lookup,8,FALSE)+VLOOKUP(Table2[[#This Row],[Home/Neutral]],OFR_lookup,2,FALSE)+VLOOKUP(Table2[[#This Row],[Visitor/Neutral]],def_diff_lookup,6,FALSE))</f>
        <v>109.35957167891479</v>
      </c>
      <c r="L1177" s="25"/>
      <c r="M1177" s="25">
        <f>(Table2[[#This Row],[Away Pace]]/100)*(VLOOKUP(Table2[[#This Row],[Visitor/Neutral]],OFR_lookup,2,FALSE)+VLOOKUP(Table2[[#This Row],[Home/Neutral]],def_diff_lookup,6,FALSE))</f>
        <v>106.98364133333335</v>
      </c>
      <c r="N1177" s="25"/>
      <c r="O1177" s="25"/>
      <c r="P1177">
        <f>VLOOKUP(Table2[[#This Row],[Home/Neutral]],pace_lookup,7,FALSE)</f>
        <v>94.2</v>
      </c>
      <c r="Q1177" s="5">
        <f>VLOOKUP(Table2[[#This Row],[Visitor/Neutral]],pace_lookup,7,FALSE)</f>
        <v>102.2</v>
      </c>
      <c r="R1177" s="9"/>
      <c r="V1177" s="2">
        <f>-home-VLOOKUP(Table2[[#This Row],[Home/Neutral]],rtg_vlookup,4,FALSE)+VLOOKUP(Table2[[#This Row],[Visitor/Neutral]],rtg_vlookup,4,FALSE)</f>
        <v>-0.34511848341233087</v>
      </c>
      <c r="W1177" s="25"/>
      <c r="X1177" s="2"/>
      <c r="Y1177" s="2">
        <f>Table2[[#This Row],[Away EV]]-Table2[[#This Row],[Home EV]]</f>
        <v>-2.3759303455814376</v>
      </c>
      <c r="Z1177" s="33"/>
      <c r="AA1177" s="34"/>
      <c r="AB1177" s="5" t="b">
        <f>IF(VLOOKUP(Table2[[#This Row],[Home/Neutral]],division_lookup,9,FALSE)=VLOOKUP(Table2[[#This Row],[Visitor/Neutral]],division_lookup,9,FALSE),TRUE,FALSE)</f>
        <v>0</v>
      </c>
      <c r="AC1177" s="19" t="str">
        <f>VLOOKUP(Table2[[#This Row],[Home/Neutral]],division_lookup,9,FALSE)</f>
        <v>SE</v>
      </c>
      <c r="AD1177" s="19"/>
      <c r="AE1177" s="19" t="str">
        <f>IF(Table2[[#This Row],[Total EV ®]]&lt;Table2[[#This Row],[Total (V)]],"UNDER","OVER")</f>
        <v>OVER</v>
      </c>
      <c r="AF1177" s="30">
        <f>Table2[[#This Row],[(A) Spread]]-Table2[[#This Row],[Spread (V)]]</f>
        <v>0</v>
      </c>
      <c r="AG1177" s="19"/>
      <c r="AH1177" s="2">
        <f>Table2[[#This Row],[EV]]-Table2[[#This Row],[Spread (V)]]</f>
        <v>-2.3759303455814376</v>
      </c>
      <c r="AI1177" s="22">
        <f>Table2[[#This Row],[(A)]]-Table2[[#This Row],[Spread]]</f>
        <v>-0.34511848341233087</v>
      </c>
      <c r="AJ1177" s="1">
        <f>Table2[[#This Row],[(A) Err]]^2</f>
        <v>0.11910676759282729</v>
      </c>
      <c r="AK1177" s="6">
        <f>Table2[[#This Row],[EV]]-Table2[[#This Row],[Spread]]</f>
        <v>-2.3759303455814376</v>
      </c>
      <c r="AL1177" s="1">
        <f>Table2[[#This Row],[EV Err]]^2</f>
        <v>5.6450450070547289</v>
      </c>
    </row>
    <row r="1178" spans="1:38" x14ac:dyDescent="0.25">
      <c r="A1178" t="s">
        <v>197</v>
      </c>
      <c r="B1178" t="s">
        <v>39</v>
      </c>
      <c r="C1178" t="s">
        <v>13</v>
      </c>
      <c r="K1178" s="25">
        <f>(Table2[[#This Row],[Home Pace]]/100)*(VLOOKUP(Table2[[#This Row],[Home/Neutral]],home_lookup,8,FALSE)+VLOOKUP(Table2[[#This Row],[Home/Neutral]],OFR_lookup,2,FALSE)+VLOOKUP(Table2[[#This Row],[Visitor/Neutral]],def_diff_lookup,6,FALSE))</f>
        <v>106.66502211468578</v>
      </c>
      <c r="L1178" s="25"/>
      <c r="M1178" s="25">
        <f>(Table2[[#This Row],[Away Pace]]/100)*(VLOOKUP(Table2[[#This Row],[Visitor/Neutral]],OFR_lookup,2,FALSE)+VLOOKUP(Table2[[#This Row],[Home/Neutral]],def_diff_lookup,6,FALSE))</f>
        <v>107.99523000000001</v>
      </c>
      <c r="N1178" s="25"/>
      <c r="O1178" s="25"/>
      <c r="P1178">
        <f>VLOOKUP(Table2[[#This Row],[Home/Neutral]],pace_lookup,7,FALSE)</f>
        <v>97.5</v>
      </c>
      <c r="Q1178" s="5">
        <f>VLOOKUP(Table2[[#This Row],[Visitor/Neutral]],pace_lookup,7,FALSE)</f>
        <v>94.5</v>
      </c>
      <c r="R1178" s="9"/>
      <c r="V1178" s="2">
        <f>-home-VLOOKUP(Table2[[#This Row],[Home/Neutral]],rtg_vlookup,4,FALSE)+VLOOKUP(Table2[[#This Row],[Visitor/Neutral]],rtg_vlookup,4,FALSE)</f>
        <v>12.184881516587669</v>
      </c>
      <c r="W1178" s="25"/>
      <c r="X1178" s="2"/>
      <c r="Y1178" s="2">
        <f>Table2[[#This Row],[Away EV]]-Table2[[#This Row],[Home EV]]</f>
        <v>1.3302078853142234</v>
      </c>
      <c r="Z1178" s="33"/>
      <c r="AA1178" s="34"/>
      <c r="AB1178" s="5" t="b">
        <f>IF(VLOOKUP(Table2[[#This Row],[Home/Neutral]],division_lookup,9,FALSE)=VLOOKUP(Table2[[#This Row],[Visitor/Neutral]],division_lookup,9,FALSE),TRUE,FALSE)</f>
        <v>0</v>
      </c>
      <c r="AC1178" s="19" t="str">
        <f>VLOOKUP(Table2[[#This Row],[Home/Neutral]],division_lookup,9,FALSE)</f>
        <v>A</v>
      </c>
      <c r="AD1178" s="19"/>
      <c r="AE1178" s="19" t="str">
        <f>IF(Table2[[#This Row],[Total EV ®]]&lt;Table2[[#This Row],[Total (V)]],"UNDER","OVER")</f>
        <v>OVER</v>
      </c>
      <c r="AF1178" s="30">
        <f>Table2[[#This Row],[(A) Spread]]-Table2[[#This Row],[Spread (V)]]</f>
        <v>0</v>
      </c>
      <c r="AG1178" s="19"/>
      <c r="AH1178" s="2">
        <f>Table2[[#This Row],[EV]]-Table2[[#This Row],[Spread (V)]]</f>
        <v>1.3302078853142234</v>
      </c>
      <c r="AI1178" s="22">
        <f>Table2[[#This Row],[(A)]]-Table2[[#This Row],[Spread]]</f>
        <v>12.184881516587669</v>
      </c>
      <c r="AJ1178" s="1">
        <f>Table2[[#This Row],[(A) Err]]^2</f>
        <v>148.47133757327981</v>
      </c>
      <c r="AK1178" s="6">
        <f>Table2[[#This Row],[EV]]-Table2[[#This Row],[Spread]]</f>
        <v>1.3302078853142234</v>
      </c>
      <c r="AL1178" s="1">
        <f>Table2[[#This Row],[EV Err]]^2</f>
        <v>1.7694530181521382</v>
      </c>
    </row>
    <row r="1179" spans="1:38" x14ac:dyDescent="0.25">
      <c r="A1179" t="s">
        <v>197</v>
      </c>
      <c r="B1179" t="s">
        <v>32</v>
      </c>
      <c r="C1179" t="s">
        <v>22</v>
      </c>
      <c r="K1179" s="25">
        <f>(Table2[[#This Row],[Home Pace]]/100)*(VLOOKUP(Table2[[#This Row],[Home/Neutral]],home_lookup,8,FALSE)+VLOOKUP(Table2[[#This Row],[Home/Neutral]],OFR_lookup,2,FALSE)+VLOOKUP(Table2[[#This Row],[Visitor/Neutral]],def_diff_lookup,6,FALSE))</f>
        <v>113.19183112001839</v>
      </c>
      <c r="L1179" s="25"/>
      <c r="M1179" s="25">
        <f>(Table2[[#This Row],[Away Pace]]/100)*(VLOOKUP(Table2[[#This Row],[Visitor/Neutral]],OFR_lookup,2,FALSE)+VLOOKUP(Table2[[#This Row],[Home/Neutral]],def_diff_lookup,6,FALSE))</f>
        <v>110.13673133333336</v>
      </c>
      <c r="N1179" s="25"/>
      <c r="O1179" s="25"/>
      <c r="P1179">
        <f>VLOOKUP(Table2[[#This Row],[Home/Neutral]],pace_lookup,7,FALSE)</f>
        <v>98.6</v>
      </c>
      <c r="Q1179" s="5">
        <f>VLOOKUP(Table2[[#This Row],[Visitor/Neutral]],pace_lookup,7,FALSE)</f>
        <v>94.7</v>
      </c>
      <c r="R1179" s="9"/>
      <c r="V1179" s="2">
        <f>-home-VLOOKUP(Table2[[#This Row],[Home/Neutral]],rtg_vlookup,4,FALSE)+VLOOKUP(Table2[[#This Row],[Visitor/Neutral]],rtg_vlookup,4,FALSE)</f>
        <v>1.0648815165876693</v>
      </c>
      <c r="W1179" s="25"/>
      <c r="X1179" s="2"/>
      <c r="Y1179" s="2">
        <f>Table2[[#This Row],[Away EV]]-Table2[[#This Row],[Home EV]]</f>
        <v>-3.0550997866850338</v>
      </c>
      <c r="Z1179" s="33"/>
      <c r="AA1179" s="34"/>
      <c r="AB1179" s="5" t="b">
        <f>IF(VLOOKUP(Table2[[#This Row],[Home/Neutral]],division_lookup,9,FALSE)=VLOOKUP(Table2[[#This Row],[Visitor/Neutral]],division_lookup,9,FALSE),TRUE,FALSE)</f>
        <v>1</v>
      </c>
      <c r="AC1179" s="19" t="str">
        <f>VLOOKUP(Table2[[#This Row],[Home/Neutral]],division_lookup,9,FALSE)</f>
        <v>NW</v>
      </c>
      <c r="AD1179" s="19"/>
      <c r="AE1179" s="19" t="str">
        <f>IF(Table2[[#This Row],[Total EV ®]]&lt;Table2[[#This Row],[Total (V)]],"UNDER","OVER")</f>
        <v>OVER</v>
      </c>
      <c r="AF1179" s="30">
        <f>Table2[[#This Row],[(A) Spread]]-Table2[[#This Row],[Spread (V)]]</f>
        <v>0</v>
      </c>
      <c r="AG1179" s="19"/>
      <c r="AH1179" s="2">
        <f>Table2[[#This Row],[EV]]-Table2[[#This Row],[Spread (V)]]</f>
        <v>-3.0550997866850338</v>
      </c>
      <c r="AI1179" s="22">
        <f>Table2[[#This Row],[(A)]]-Table2[[#This Row],[Spread]]</f>
        <v>1.0648815165876693</v>
      </c>
      <c r="AJ1179" s="1">
        <f>Table2[[#This Row],[(A) Err]]^2</f>
        <v>1.1339726443700546</v>
      </c>
      <c r="AK1179" s="6">
        <f>Table2[[#This Row],[EV]]-Table2[[#This Row],[Spread]]</f>
        <v>-3.0550997866850338</v>
      </c>
      <c r="AL1179" s="1">
        <f>Table2[[#This Row],[EV Err]]^2</f>
        <v>9.3336347066029397</v>
      </c>
    </row>
    <row r="1180" spans="1:38" x14ac:dyDescent="0.25">
      <c r="A1180" t="s">
        <v>198</v>
      </c>
      <c r="B1180" t="s">
        <v>8</v>
      </c>
      <c r="C1180" t="s">
        <v>11</v>
      </c>
      <c r="K1180" s="25">
        <f>(Table2[[#This Row],[Home Pace]]/100)*(VLOOKUP(Table2[[#This Row],[Home/Neutral]],home_lookup,8,FALSE)+VLOOKUP(Table2[[#This Row],[Home/Neutral]],OFR_lookup,2,FALSE)+VLOOKUP(Table2[[#This Row],[Visitor/Neutral]],def_diff_lookup,6,FALSE))</f>
        <v>97.205100368981803</v>
      </c>
      <c r="L1180" s="25"/>
      <c r="M1180" s="25">
        <f>(Table2[[#This Row],[Away Pace]]/100)*(VLOOKUP(Table2[[#This Row],[Visitor/Neutral]],OFR_lookup,2,FALSE)+VLOOKUP(Table2[[#This Row],[Home/Neutral]],def_diff_lookup,6,FALSE))</f>
        <v>102.55208466666667</v>
      </c>
      <c r="N1180" s="25"/>
      <c r="O1180" s="25"/>
      <c r="P1180">
        <f>VLOOKUP(Table2[[#This Row],[Home/Neutral]],pace_lookup,7,FALSE)</f>
        <v>97.2</v>
      </c>
      <c r="Q1180" s="5">
        <f>VLOOKUP(Table2[[#This Row],[Visitor/Neutral]],pace_lookup,7,FALSE)</f>
        <v>99.7</v>
      </c>
      <c r="R1180" s="9"/>
      <c r="V1180" s="2">
        <f>-home-VLOOKUP(Table2[[#This Row],[Home/Neutral]],rtg_vlookup,4,FALSE)+VLOOKUP(Table2[[#This Row],[Visitor/Neutral]],rtg_vlookup,4,FALSE)</f>
        <v>-3.2651184834123299</v>
      </c>
      <c r="W1180" s="25"/>
      <c r="X1180" s="2"/>
      <c r="Y1180" s="2">
        <f>Table2[[#This Row],[Away EV]]-Table2[[#This Row],[Home EV]]</f>
        <v>5.3469842976848696</v>
      </c>
      <c r="Z1180" s="33"/>
      <c r="AA1180" s="34"/>
      <c r="AB1180" s="5" t="b">
        <f>IF(VLOOKUP(Table2[[#This Row],[Home/Neutral]],division_lookup,9,FALSE)=VLOOKUP(Table2[[#This Row],[Visitor/Neutral]],division_lookup,9,FALSE),TRUE,FALSE)</f>
        <v>0</v>
      </c>
      <c r="AC1180" s="19" t="str">
        <f>VLOOKUP(Table2[[#This Row],[Home/Neutral]],division_lookup,9,FALSE)</f>
        <v>C</v>
      </c>
      <c r="AD1180" s="19"/>
      <c r="AE1180" s="19" t="str">
        <f>IF(Table2[[#This Row],[Total EV ®]]&lt;Table2[[#This Row],[Total (V)]],"UNDER","OVER")</f>
        <v>OVER</v>
      </c>
      <c r="AF1180" s="30">
        <f>Table2[[#This Row],[(A) Spread]]-Table2[[#This Row],[Spread (V)]]</f>
        <v>0</v>
      </c>
      <c r="AG1180" s="19"/>
      <c r="AH1180" s="2">
        <f>Table2[[#This Row],[EV]]-Table2[[#This Row],[Spread (V)]]</f>
        <v>5.3469842976848696</v>
      </c>
      <c r="AI1180" s="22">
        <f>Table2[[#This Row],[(A)]]-Table2[[#This Row],[Spread]]</f>
        <v>-3.2651184834123299</v>
      </c>
      <c r="AJ1180" s="1">
        <f>Table2[[#This Row],[(A) Err]]^2</f>
        <v>10.660998710720833</v>
      </c>
      <c r="AK1180" s="6">
        <f>Table2[[#This Row],[EV]]-Table2[[#This Row],[Spread]]</f>
        <v>5.3469842976848696</v>
      </c>
      <c r="AL1180" s="1">
        <f>Table2[[#This Row],[EV Err]]^2</f>
        <v>28.590241079688557</v>
      </c>
    </row>
    <row r="1181" spans="1:38" x14ac:dyDescent="0.25">
      <c r="A1181" t="s">
        <v>198</v>
      </c>
      <c r="B1181" t="s">
        <v>37</v>
      </c>
      <c r="C1181" t="s">
        <v>6</v>
      </c>
      <c r="K1181" s="25">
        <f>(Table2[[#This Row],[Home Pace]]/100)*(VLOOKUP(Table2[[#This Row],[Home/Neutral]],home_lookup,8,FALSE)+VLOOKUP(Table2[[#This Row],[Home/Neutral]],OFR_lookup,2,FALSE)+VLOOKUP(Table2[[#This Row],[Visitor/Neutral]],def_diff_lookup,6,FALSE))</f>
        <v>100.25831809362123</v>
      </c>
      <c r="L1181" s="25"/>
      <c r="M1181" s="25">
        <f>(Table2[[#This Row],[Away Pace]]/100)*(VLOOKUP(Table2[[#This Row],[Visitor/Neutral]],OFR_lookup,2,FALSE)+VLOOKUP(Table2[[#This Row],[Home/Neutral]],def_diff_lookup,6,FALSE))</f>
        <v>100.50207066666667</v>
      </c>
      <c r="N1181" s="25"/>
      <c r="O1181" s="25"/>
      <c r="P1181">
        <f>VLOOKUP(Table2[[#This Row],[Home/Neutral]],pace_lookup,7,FALSE)</f>
        <v>92.1</v>
      </c>
      <c r="Q1181" s="5">
        <f>VLOOKUP(Table2[[#This Row],[Visitor/Neutral]],pace_lookup,7,FALSE)</f>
        <v>93.1</v>
      </c>
      <c r="R1181" s="9"/>
      <c r="V1181" s="2">
        <f>-home-VLOOKUP(Table2[[#This Row],[Home/Neutral]],rtg_vlookup,4,FALSE)+VLOOKUP(Table2[[#This Row],[Visitor/Neutral]],rtg_vlookup,4,FALSE)</f>
        <v>11.75488151658767</v>
      </c>
      <c r="W1181" s="25"/>
      <c r="X1181" s="2"/>
      <c r="Y1181" s="2">
        <f>Table2[[#This Row],[Away EV]]-Table2[[#This Row],[Home EV]]</f>
        <v>0.24375257304544107</v>
      </c>
      <c r="Z1181" s="33"/>
      <c r="AA1181" s="34"/>
      <c r="AB1181" s="5" t="b">
        <f>IF(VLOOKUP(Table2[[#This Row],[Home/Neutral]],division_lookup,9,FALSE)=VLOOKUP(Table2[[#This Row],[Visitor/Neutral]],division_lookup,9,FALSE),TRUE,FALSE)</f>
        <v>1</v>
      </c>
      <c r="AC1181" s="19" t="str">
        <f>VLOOKUP(Table2[[#This Row],[Home/Neutral]],division_lookup,9,FALSE)</f>
        <v>SW</v>
      </c>
      <c r="AD1181" s="19"/>
      <c r="AE1181" s="19" t="str">
        <f>IF(Table2[[#This Row],[Total EV ®]]&lt;Table2[[#This Row],[Total (V)]],"UNDER","OVER")</f>
        <v>OVER</v>
      </c>
      <c r="AF1181" s="30">
        <f>Table2[[#This Row],[(A) Spread]]-Table2[[#This Row],[Spread (V)]]</f>
        <v>0</v>
      </c>
      <c r="AG1181" s="19"/>
      <c r="AH1181" s="2">
        <f>Table2[[#This Row],[EV]]-Table2[[#This Row],[Spread (V)]]</f>
        <v>0.24375257304544107</v>
      </c>
      <c r="AI1181" s="22">
        <f>Table2[[#This Row],[(A)]]-Table2[[#This Row],[Spread]]</f>
        <v>11.75488151658767</v>
      </c>
      <c r="AJ1181" s="1">
        <f>Table2[[#This Row],[(A) Err]]^2</f>
        <v>138.17723946901444</v>
      </c>
      <c r="AK1181" s="6">
        <f>Table2[[#This Row],[EV]]-Table2[[#This Row],[Spread]]</f>
        <v>0.24375257304544107</v>
      </c>
      <c r="AL1181" s="1">
        <f>Table2[[#This Row],[EV Err]]^2</f>
        <v>5.9415316866273084E-2</v>
      </c>
    </row>
    <row r="1182" spans="1:38" x14ac:dyDescent="0.25">
      <c r="A1182" t="s">
        <v>198</v>
      </c>
      <c r="B1182" t="s">
        <v>27</v>
      </c>
      <c r="C1182" t="s">
        <v>34</v>
      </c>
      <c r="K1182" s="25">
        <f>(Table2[[#This Row],[Home Pace]]/100)*(VLOOKUP(Table2[[#This Row],[Home/Neutral]],home_lookup,8,FALSE)+VLOOKUP(Table2[[#This Row],[Home/Neutral]],OFR_lookup,2,FALSE)+VLOOKUP(Table2[[#This Row],[Visitor/Neutral]],def_diff_lookup,6,FALSE))</f>
        <v>104.29785642647258</v>
      </c>
      <c r="L1182" s="25"/>
      <c r="M1182" s="25">
        <f>(Table2[[#This Row],[Away Pace]]/100)*(VLOOKUP(Table2[[#This Row],[Visitor/Neutral]],OFR_lookup,2,FALSE)+VLOOKUP(Table2[[#This Row],[Home/Neutral]],def_diff_lookup,6,FALSE))</f>
        <v>99.393458666666675</v>
      </c>
      <c r="N1182" s="25"/>
      <c r="O1182" s="25"/>
      <c r="P1182">
        <f>VLOOKUP(Table2[[#This Row],[Home/Neutral]],pace_lookup,7,FALSE)</f>
        <v>99</v>
      </c>
      <c r="Q1182" s="5">
        <f>VLOOKUP(Table2[[#This Row],[Visitor/Neutral]],pace_lookup,7,FALSE)</f>
        <v>98.8</v>
      </c>
      <c r="R1182" s="9"/>
      <c r="V1182" s="2">
        <f>-home-VLOOKUP(Table2[[#This Row],[Home/Neutral]],rtg_vlookup,4,FALSE)+VLOOKUP(Table2[[#This Row],[Visitor/Neutral]],rtg_vlookup,4,FALSE)</f>
        <v>-7.1651184834123312</v>
      </c>
      <c r="W1182" s="25"/>
      <c r="X1182" s="2"/>
      <c r="Y1182" s="2">
        <f>Table2[[#This Row],[Away EV]]-Table2[[#This Row],[Home EV]]</f>
        <v>-4.904397759805903</v>
      </c>
      <c r="Z1182" s="33"/>
      <c r="AA1182" s="34"/>
      <c r="AB1182" s="5" t="b">
        <f>IF(VLOOKUP(Table2[[#This Row],[Home/Neutral]],division_lookup,9,FALSE)=VLOOKUP(Table2[[#This Row],[Visitor/Neutral]],division_lookup,9,FALSE),TRUE,FALSE)</f>
        <v>0</v>
      </c>
      <c r="AC1182" s="19" t="str">
        <f>VLOOKUP(Table2[[#This Row],[Home/Neutral]],division_lookup,9,FALSE)</f>
        <v>NW</v>
      </c>
      <c r="AD1182" s="19"/>
      <c r="AE1182" s="19" t="str">
        <f>IF(Table2[[#This Row],[Total EV ®]]&lt;Table2[[#This Row],[Total (V)]],"UNDER","OVER")</f>
        <v>OVER</v>
      </c>
      <c r="AF1182" s="30">
        <f>Table2[[#This Row],[(A) Spread]]-Table2[[#This Row],[Spread (V)]]</f>
        <v>0</v>
      </c>
      <c r="AG1182" s="19"/>
      <c r="AH1182" s="2">
        <f>Table2[[#This Row],[EV]]-Table2[[#This Row],[Spread (V)]]</f>
        <v>-4.904397759805903</v>
      </c>
      <c r="AI1182" s="22">
        <f>Table2[[#This Row],[(A)]]-Table2[[#This Row],[Spread]]</f>
        <v>-7.1651184834123312</v>
      </c>
      <c r="AJ1182" s="1">
        <f>Table2[[#This Row],[(A) Err]]^2</f>
        <v>51.338922881337027</v>
      </c>
      <c r="AK1182" s="6">
        <f>Table2[[#This Row],[EV]]-Table2[[#This Row],[Spread]]</f>
        <v>-4.904397759805903</v>
      </c>
      <c r="AL1182" s="1">
        <f>Table2[[#This Row],[EV Err]]^2</f>
        <v>24.053117386389161</v>
      </c>
    </row>
    <row r="1183" spans="1:38" x14ac:dyDescent="0.25">
      <c r="A1183" t="s">
        <v>198</v>
      </c>
      <c r="B1183" t="s">
        <v>17</v>
      </c>
      <c r="C1183" t="s">
        <v>25</v>
      </c>
      <c r="K1183" s="25">
        <f>(Table2[[#This Row],[Home Pace]]/100)*(VLOOKUP(Table2[[#This Row],[Home/Neutral]],home_lookup,8,FALSE)+VLOOKUP(Table2[[#This Row],[Home/Neutral]],OFR_lookup,2,FALSE)+VLOOKUP(Table2[[#This Row],[Visitor/Neutral]],def_diff_lookup,6,FALSE))</f>
        <v>105.72929692873545</v>
      </c>
      <c r="L1183" s="25"/>
      <c r="M1183" s="25">
        <f>(Table2[[#This Row],[Away Pace]]/100)*(VLOOKUP(Table2[[#This Row],[Visitor/Neutral]],OFR_lookup,2,FALSE)+VLOOKUP(Table2[[#This Row],[Home/Neutral]],def_diff_lookup,6,FALSE))</f>
        <v>99.960789333333352</v>
      </c>
      <c r="N1183" s="25"/>
      <c r="O1183" s="25"/>
      <c r="P1183">
        <f>VLOOKUP(Table2[[#This Row],[Home/Neutral]],pace_lookup,7,FALSE)</f>
        <v>96.7</v>
      </c>
      <c r="Q1183" s="5">
        <f>VLOOKUP(Table2[[#This Row],[Visitor/Neutral]],pace_lookup,7,FALSE)</f>
        <v>94.4</v>
      </c>
      <c r="R1183" s="9"/>
      <c r="V1183" s="2">
        <f>-home-VLOOKUP(Table2[[#This Row],[Home/Neutral]],rtg_vlookup,4,FALSE)+VLOOKUP(Table2[[#This Row],[Visitor/Neutral]],rtg_vlookup,4,FALSE)</f>
        <v>-6.9751184834123308</v>
      </c>
      <c r="W1183" s="25"/>
      <c r="X1183" s="2"/>
      <c r="Y1183" s="2">
        <f>Table2[[#This Row],[Away EV]]-Table2[[#This Row],[Home EV]]</f>
        <v>-5.7685075954020988</v>
      </c>
      <c r="Z1183" s="33"/>
      <c r="AA1183" s="34"/>
      <c r="AB1183" s="5" t="b">
        <f>IF(VLOOKUP(Table2[[#This Row],[Home/Neutral]],division_lookup,9,FALSE)=VLOOKUP(Table2[[#This Row],[Visitor/Neutral]],division_lookup,9,FALSE),TRUE,FALSE)</f>
        <v>0</v>
      </c>
      <c r="AC1183" s="19" t="str">
        <f>VLOOKUP(Table2[[#This Row],[Home/Neutral]],division_lookup,9,FALSE)</f>
        <v>SW</v>
      </c>
      <c r="AD1183" s="19"/>
      <c r="AE1183" s="19" t="str">
        <f>IF(Table2[[#This Row],[Total EV ®]]&lt;Table2[[#This Row],[Total (V)]],"UNDER","OVER")</f>
        <v>OVER</v>
      </c>
      <c r="AF1183" s="30">
        <f>Table2[[#This Row],[(A) Spread]]-Table2[[#This Row],[Spread (V)]]</f>
        <v>0</v>
      </c>
      <c r="AG1183" s="19"/>
      <c r="AH1183" s="2">
        <f>Table2[[#This Row],[EV]]-Table2[[#This Row],[Spread (V)]]</f>
        <v>-5.7685075954020988</v>
      </c>
      <c r="AI1183" s="22">
        <f>Table2[[#This Row],[(A)]]-Table2[[#This Row],[Spread]]</f>
        <v>-6.9751184834123308</v>
      </c>
      <c r="AJ1183" s="1">
        <f>Table2[[#This Row],[(A) Err]]^2</f>
        <v>48.652277857640335</v>
      </c>
      <c r="AK1183" s="6">
        <f>Table2[[#This Row],[EV]]-Table2[[#This Row],[Spread]]</f>
        <v>-5.7685075954020988</v>
      </c>
      <c r="AL1183" s="1">
        <f>Table2[[#This Row],[EV Err]]^2</f>
        <v>33.275679878211704</v>
      </c>
    </row>
    <row r="1184" spans="1:38" x14ac:dyDescent="0.25">
      <c r="A1184" t="s">
        <v>198</v>
      </c>
      <c r="B1184" t="s">
        <v>24</v>
      </c>
      <c r="C1184" t="s">
        <v>29</v>
      </c>
      <c r="K1184" s="25">
        <f>(Table2[[#This Row],[Home Pace]]/100)*(VLOOKUP(Table2[[#This Row],[Home/Neutral]],home_lookup,8,FALSE)+VLOOKUP(Table2[[#This Row],[Home/Neutral]],OFR_lookup,2,FALSE)+VLOOKUP(Table2[[#This Row],[Visitor/Neutral]],def_diff_lookup,6,FALSE))</f>
        <v>112.5031843283094</v>
      </c>
      <c r="L1184" s="25"/>
      <c r="M1184" s="25">
        <f>(Table2[[#This Row],[Away Pace]]/100)*(VLOOKUP(Table2[[#This Row],[Visitor/Neutral]],OFR_lookup,2,FALSE)+VLOOKUP(Table2[[#This Row],[Home/Neutral]],def_diff_lookup,6,FALSE))</f>
        <v>104.40940533333334</v>
      </c>
      <c r="N1184" s="25"/>
      <c r="O1184" s="25"/>
      <c r="P1184">
        <f>VLOOKUP(Table2[[#This Row],[Home/Neutral]],pace_lookup,7,FALSE)</f>
        <v>99.9</v>
      </c>
      <c r="Q1184" s="5">
        <f>VLOOKUP(Table2[[#This Row],[Visitor/Neutral]],pace_lookup,7,FALSE)</f>
        <v>93.8</v>
      </c>
      <c r="R1184" s="9"/>
      <c r="V1184" s="2">
        <f>-home-VLOOKUP(Table2[[#This Row],[Home/Neutral]],rtg_vlookup,4,FALSE)+VLOOKUP(Table2[[#This Row],[Visitor/Neutral]],rtg_vlookup,4,FALSE)</f>
        <v>-5.2751184834123306</v>
      </c>
      <c r="W1184" s="25"/>
      <c r="X1184" s="2"/>
      <c r="Y1184" s="2">
        <f>Table2[[#This Row],[Away EV]]-Table2[[#This Row],[Home EV]]</f>
        <v>-8.0937789949760628</v>
      </c>
      <c r="Z1184" s="33"/>
      <c r="AA1184" s="34"/>
      <c r="AB1184" s="5" t="b">
        <f>IF(VLOOKUP(Table2[[#This Row],[Home/Neutral]],division_lookup,9,FALSE)=VLOOKUP(Table2[[#This Row],[Visitor/Neutral]],division_lookup,9,FALSE),TRUE,FALSE)</f>
        <v>1</v>
      </c>
      <c r="AC1184" s="19" t="str">
        <f>VLOOKUP(Table2[[#This Row],[Home/Neutral]],division_lookup,9,FALSE)</f>
        <v>P</v>
      </c>
      <c r="AD1184" s="19"/>
      <c r="AE1184" s="19" t="str">
        <f>IF(Table2[[#This Row],[Total EV ®]]&lt;Table2[[#This Row],[Total (V)]],"UNDER","OVER")</f>
        <v>OVER</v>
      </c>
      <c r="AF1184" s="30">
        <f>Table2[[#This Row],[(A) Spread]]-Table2[[#This Row],[Spread (V)]]</f>
        <v>0</v>
      </c>
      <c r="AG1184" s="19"/>
      <c r="AH1184" s="2">
        <f>Table2[[#This Row],[EV]]-Table2[[#This Row],[Spread (V)]]</f>
        <v>-8.0937789949760628</v>
      </c>
      <c r="AI1184" s="22">
        <f>Table2[[#This Row],[(A)]]-Table2[[#This Row],[Spread]]</f>
        <v>-5.2751184834123306</v>
      </c>
      <c r="AJ1184" s="1">
        <f>Table2[[#This Row],[(A) Err]]^2</f>
        <v>27.826875014038407</v>
      </c>
      <c r="AK1184" s="6">
        <f>Table2[[#This Row],[EV]]-Table2[[#This Row],[Spread]]</f>
        <v>-8.0937789949760628</v>
      </c>
      <c r="AL1184" s="1">
        <f>Table2[[#This Row],[EV Err]]^2</f>
        <v>65.509258419515731</v>
      </c>
    </row>
    <row r="1185" spans="1:38" x14ac:dyDescent="0.25">
      <c r="A1185" t="s">
        <v>198</v>
      </c>
      <c r="B1185" t="s">
        <v>23</v>
      </c>
      <c r="C1185" t="s">
        <v>31</v>
      </c>
      <c r="K1185" s="25">
        <f>(Table2[[#This Row],[Home Pace]]/100)*(VLOOKUP(Table2[[#This Row],[Home/Neutral]],home_lookup,8,FALSE)+VLOOKUP(Table2[[#This Row],[Home/Neutral]],OFR_lookup,2,FALSE)+VLOOKUP(Table2[[#This Row],[Visitor/Neutral]],def_diff_lookup,6,FALSE))</f>
        <v>106.30038735871359</v>
      </c>
      <c r="L1185" s="25"/>
      <c r="M1185" s="25">
        <f>(Table2[[#This Row],[Away Pace]]/100)*(VLOOKUP(Table2[[#This Row],[Visitor/Neutral]],OFR_lookup,2,FALSE)+VLOOKUP(Table2[[#This Row],[Home/Neutral]],def_diff_lookup,6,FALSE))</f>
        <v>100.22464000000001</v>
      </c>
      <c r="N1185" s="25"/>
      <c r="O1185" s="25"/>
      <c r="P1185">
        <f>VLOOKUP(Table2[[#This Row],[Home/Neutral]],pace_lookup,7,FALSE)</f>
        <v>92.5</v>
      </c>
      <c r="Q1185" s="5">
        <f>VLOOKUP(Table2[[#This Row],[Visitor/Neutral]],pace_lookup,7,FALSE)</f>
        <v>96</v>
      </c>
      <c r="R1185" s="9"/>
      <c r="V1185" s="2">
        <f>-home-VLOOKUP(Table2[[#This Row],[Home/Neutral]],rtg_vlookup,4,FALSE)+VLOOKUP(Table2[[#This Row],[Visitor/Neutral]],rtg_vlookup,4,FALSE)</f>
        <v>-7.3651184834123313</v>
      </c>
      <c r="W1185" s="25"/>
      <c r="X1185" s="2"/>
      <c r="Y1185" s="2">
        <f>Table2[[#This Row],[Away EV]]-Table2[[#This Row],[Home EV]]</f>
        <v>-6.0757473587135848</v>
      </c>
      <c r="Z1185" s="33"/>
      <c r="AA1185" s="34"/>
      <c r="AB1185" s="5" t="b">
        <f>IF(VLOOKUP(Table2[[#This Row],[Home/Neutral]],division_lookup,9,FALSE)=VLOOKUP(Table2[[#This Row],[Visitor/Neutral]],division_lookup,9,FALSE),TRUE,FALSE)</f>
        <v>0</v>
      </c>
      <c r="AC1185" s="19" t="str">
        <f>VLOOKUP(Table2[[#This Row],[Home/Neutral]],division_lookup,9,FALSE)</f>
        <v>SW</v>
      </c>
      <c r="AD1185" s="19"/>
      <c r="AE1185" s="19" t="str">
        <f>IF(Table2[[#This Row],[Total EV ®]]&lt;Table2[[#This Row],[Total (V)]],"UNDER","OVER")</f>
        <v>OVER</v>
      </c>
      <c r="AF1185" s="30">
        <f>Table2[[#This Row],[(A) Spread]]-Table2[[#This Row],[Spread (V)]]</f>
        <v>0</v>
      </c>
      <c r="AG1185" s="19"/>
      <c r="AH1185" s="2">
        <f>Table2[[#This Row],[EV]]-Table2[[#This Row],[Spread (V)]]</f>
        <v>-6.0757473587135848</v>
      </c>
      <c r="AI1185" s="22">
        <f>Table2[[#This Row],[(A)]]-Table2[[#This Row],[Spread]]</f>
        <v>-7.3651184834123313</v>
      </c>
      <c r="AJ1185" s="1">
        <f>Table2[[#This Row],[(A) Err]]^2</f>
        <v>54.244970274701963</v>
      </c>
      <c r="AK1185" s="6">
        <f>Table2[[#This Row],[EV]]-Table2[[#This Row],[Spread]]</f>
        <v>-6.0757473587135848</v>
      </c>
      <c r="AL1185" s="1">
        <f>Table2[[#This Row],[EV Err]]^2</f>
        <v>36.914705966915101</v>
      </c>
    </row>
    <row r="1186" spans="1:38" x14ac:dyDescent="0.25">
      <c r="A1186" t="s">
        <v>198</v>
      </c>
      <c r="B1186" t="s">
        <v>36</v>
      </c>
      <c r="C1186" t="s">
        <v>18</v>
      </c>
      <c r="K1186" s="25">
        <f>(Table2[[#This Row],[Home Pace]]/100)*(VLOOKUP(Table2[[#This Row],[Home/Neutral]],home_lookup,8,FALSE)+VLOOKUP(Table2[[#This Row],[Home/Neutral]],OFR_lookup,2,FALSE)+VLOOKUP(Table2[[#This Row],[Visitor/Neutral]],def_diff_lookup,6,FALSE))</f>
        <v>103.21043156604043</v>
      </c>
      <c r="L1186" s="25"/>
      <c r="M1186" s="25">
        <f>(Table2[[#This Row],[Away Pace]]/100)*(VLOOKUP(Table2[[#This Row],[Visitor/Neutral]],OFR_lookup,2,FALSE)+VLOOKUP(Table2[[#This Row],[Home/Neutral]],def_diff_lookup,6,FALSE))</f>
        <v>106.77411333333335</v>
      </c>
      <c r="N1186" s="25"/>
      <c r="O1186" s="25"/>
      <c r="P1186">
        <f>VLOOKUP(Table2[[#This Row],[Home/Neutral]],pace_lookup,7,FALSE)</f>
        <v>102.2</v>
      </c>
      <c r="Q1186" s="5">
        <f>VLOOKUP(Table2[[#This Row],[Visitor/Neutral]],pace_lookup,7,FALSE)</f>
        <v>99.5</v>
      </c>
      <c r="R1186" s="9"/>
      <c r="V1186" s="2">
        <f>-home-VLOOKUP(Table2[[#This Row],[Home/Neutral]],rtg_vlookup,4,FALSE)+VLOOKUP(Table2[[#This Row],[Visitor/Neutral]],rtg_vlookup,4,FALSE)</f>
        <v>5.8048815165876695</v>
      </c>
      <c r="W1186" s="25"/>
      <c r="X1186" s="2"/>
      <c r="Y1186" s="2">
        <f>Table2[[#This Row],[Away EV]]-Table2[[#This Row],[Home EV]]</f>
        <v>3.5636817672929197</v>
      </c>
      <c r="Z1186" s="33"/>
      <c r="AA1186" s="34"/>
      <c r="AB1186" s="5" t="b">
        <f>IF(VLOOKUP(Table2[[#This Row],[Home/Neutral]],division_lookup,9,FALSE)=VLOOKUP(Table2[[#This Row],[Visitor/Neutral]],division_lookup,9,FALSE),TRUE,FALSE)</f>
        <v>0</v>
      </c>
      <c r="AC1186" s="19" t="str">
        <f>VLOOKUP(Table2[[#This Row],[Home/Neutral]],division_lookup,9,FALSE)</f>
        <v>P</v>
      </c>
      <c r="AD1186" s="19"/>
      <c r="AE1186" s="19" t="str">
        <f>IF(Table2[[#This Row],[Total EV ®]]&lt;Table2[[#This Row],[Total (V)]],"UNDER","OVER")</f>
        <v>OVER</v>
      </c>
      <c r="AF1186" s="30">
        <f>Table2[[#This Row],[(A) Spread]]-Table2[[#This Row],[Spread (V)]]</f>
        <v>0</v>
      </c>
      <c r="AG1186" s="19"/>
      <c r="AH1186" s="2">
        <f>Table2[[#This Row],[EV]]-Table2[[#This Row],[Spread (V)]]</f>
        <v>3.5636817672929197</v>
      </c>
      <c r="AI1186" s="22">
        <f>Table2[[#This Row],[(A)]]-Table2[[#This Row],[Spread]]</f>
        <v>5.8048815165876695</v>
      </c>
      <c r="AJ1186" s="1">
        <f>Table2[[#This Row],[(A) Err]]^2</f>
        <v>33.69664942162116</v>
      </c>
      <c r="AK1186" s="6">
        <f>Table2[[#This Row],[EV]]-Table2[[#This Row],[Spread]]</f>
        <v>3.5636817672929197</v>
      </c>
      <c r="AL1186" s="1">
        <f>Table2[[#This Row],[EV Err]]^2</f>
        <v>12.699827738535987</v>
      </c>
    </row>
    <row r="1187" spans="1:38" x14ac:dyDescent="0.25">
      <c r="A1187" t="s">
        <v>198</v>
      </c>
      <c r="B1187" t="s">
        <v>14</v>
      </c>
      <c r="C1187" t="s">
        <v>21</v>
      </c>
      <c r="K1187" s="25">
        <f>(Table2[[#This Row],[Home Pace]]/100)*(VLOOKUP(Table2[[#This Row],[Home/Neutral]],home_lookup,8,FALSE)+VLOOKUP(Table2[[#This Row],[Home/Neutral]],OFR_lookup,2,FALSE)+VLOOKUP(Table2[[#This Row],[Visitor/Neutral]],def_diff_lookup,6,FALSE))</f>
        <v>103.55235414241452</v>
      </c>
      <c r="L1187" s="25"/>
      <c r="M1187" s="25">
        <f>(Table2[[#This Row],[Away Pace]]/100)*(VLOOKUP(Table2[[#This Row],[Visitor/Neutral]],OFR_lookup,2,FALSE)+VLOOKUP(Table2[[#This Row],[Home/Neutral]],def_diff_lookup,6,FALSE))</f>
        <v>98.298328000000026</v>
      </c>
      <c r="N1187" s="25"/>
      <c r="O1187" s="25"/>
      <c r="P1187">
        <f>VLOOKUP(Table2[[#This Row],[Home/Neutral]],pace_lookup,7,FALSE)</f>
        <v>95.9</v>
      </c>
      <c r="Q1187" s="5">
        <f>VLOOKUP(Table2[[#This Row],[Visitor/Neutral]],pace_lookup,7,FALSE)</f>
        <v>94.2</v>
      </c>
      <c r="R1187" s="9"/>
      <c r="V1187" s="2">
        <f>-home-VLOOKUP(Table2[[#This Row],[Home/Neutral]],rtg_vlookup,4,FALSE)+VLOOKUP(Table2[[#This Row],[Visitor/Neutral]],rtg_vlookup,4,FALSE)</f>
        <v>-7.7851184834123304</v>
      </c>
      <c r="W1187" s="25"/>
      <c r="X1187" s="2"/>
      <c r="Y1187" s="2">
        <f>Table2[[#This Row],[Away EV]]-Table2[[#This Row],[Home EV]]</f>
        <v>-5.2540261424144887</v>
      </c>
      <c r="Z1187" s="33"/>
      <c r="AA1187" s="34"/>
      <c r="AB1187" s="5" t="b">
        <f>IF(VLOOKUP(Table2[[#This Row],[Home/Neutral]],division_lookup,9,FALSE)=VLOOKUP(Table2[[#This Row],[Visitor/Neutral]],division_lookup,9,FALSE),TRUE,FALSE)</f>
        <v>0</v>
      </c>
      <c r="AC1187" s="19" t="str">
        <f>VLOOKUP(Table2[[#This Row],[Home/Neutral]],division_lookup,9,FALSE)</f>
        <v>A</v>
      </c>
      <c r="AD1187" s="19"/>
      <c r="AE1187" s="19" t="str">
        <f>IF(Table2[[#This Row],[Total EV ®]]&lt;Table2[[#This Row],[Total (V)]],"UNDER","OVER")</f>
        <v>OVER</v>
      </c>
      <c r="AF1187" s="30">
        <f>Table2[[#This Row],[(A) Spread]]-Table2[[#This Row],[Spread (V)]]</f>
        <v>0</v>
      </c>
      <c r="AG1187" s="19"/>
      <c r="AH1187" s="2">
        <f>Table2[[#This Row],[EV]]-Table2[[#This Row],[Spread (V)]]</f>
        <v>-5.2540261424144887</v>
      </c>
      <c r="AI1187" s="22">
        <f>Table2[[#This Row],[(A)]]-Table2[[#This Row],[Spread]]</f>
        <v>-7.7851184834123304</v>
      </c>
      <c r="AJ1187" s="1">
        <f>Table2[[#This Row],[(A) Err]]^2</f>
        <v>60.608069800768305</v>
      </c>
      <c r="AK1187" s="6">
        <f>Table2[[#This Row],[EV]]-Table2[[#This Row],[Spread]]</f>
        <v>-5.2540261424144887</v>
      </c>
      <c r="AL1187" s="1">
        <f>Table2[[#This Row],[EV Err]]^2</f>
        <v>27.604790705174874</v>
      </c>
    </row>
    <row r="1188" spans="1:38" x14ac:dyDescent="0.25">
      <c r="A1188" t="s">
        <v>198</v>
      </c>
      <c r="B1188" t="s">
        <v>20</v>
      </c>
      <c r="C1188" t="s">
        <v>22</v>
      </c>
      <c r="K1188" s="25">
        <f>(Table2[[#This Row],[Home Pace]]/100)*(VLOOKUP(Table2[[#This Row],[Home/Neutral]],home_lookup,8,FALSE)+VLOOKUP(Table2[[#This Row],[Home/Neutral]],OFR_lookup,2,FALSE)+VLOOKUP(Table2[[#This Row],[Visitor/Neutral]],def_diff_lookup,6,FALSE))</f>
        <v>107.57387528915177</v>
      </c>
      <c r="L1188" s="25"/>
      <c r="M1188" s="25">
        <f>(Table2[[#This Row],[Away Pace]]/100)*(VLOOKUP(Table2[[#This Row],[Visitor/Neutral]],OFR_lookup,2,FALSE)+VLOOKUP(Table2[[#This Row],[Home/Neutral]],def_diff_lookup,6,FALSE))</f>
        <v>103.96229133333337</v>
      </c>
      <c r="N1188" s="25"/>
      <c r="O1188" s="25"/>
      <c r="P1188">
        <f>VLOOKUP(Table2[[#This Row],[Home/Neutral]],pace_lookup,7,FALSE)</f>
        <v>90.9</v>
      </c>
      <c r="Q1188" s="5">
        <f>VLOOKUP(Table2[[#This Row],[Visitor/Neutral]],pace_lookup,7,FALSE)</f>
        <v>94.7</v>
      </c>
      <c r="R1188" s="9"/>
      <c r="V1188" s="2">
        <f>-home-VLOOKUP(Table2[[#This Row],[Home/Neutral]],rtg_vlookup,4,FALSE)+VLOOKUP(Table2[[#This Row],[Visitor/Neutral]],rtg_vlookup,4,FALSE)</f>
        <v>-3.5551184834123308</v>
      </c>
      <c r="W1188" s="25"/>
      <c r="X1188" s="2"/>
      <c r="Y1188" s="2">
        <f>Table2[[#This Row],[Away EV]]-Table2[[#This Row],[Home EV]]</f>
        <v>-3.6115839558184035</v>
      </c>
      <c r="Z1188" s="33"/>
      <c r="AA1188" s="34"/>
      <c r="AB1188" s="5" t="b">
        <f>IF(VLOOKUP(Table2[[#This Row],[Home/Neutral]],division_lookup,9,FALSE)=VLOOKUP(Table2[[#This Row],[Visitor/Neutral]],division_lookup,9,FALSE),TRUE,FALSE)</f>
        <v>1</v>
      </c>
      <c r="AC1188" s="19" t="str">
        <f>VLOOKUP(Table2[[#This Row],[Home/Neutral]],division_lookup,9,FALSE)</f>
        <v>NW</v>
      </c>
      <c r="AD1188" s="19"/>
      <c r="AE1188" s="19" t="str">
        <f>IF(Table2[[#This Row],[Total EV ®]]&lt;Table2[[#This Row],[Total (V)]],"UNDER","OVER")</f>
        <v>OVER</v>
      </c>
      <c r="AF1188" s="30">
        <f>Table2[[#This Row],[(A) Spread]]-Table2[[#This Row],[Spread (V)]]</f>
        <v>0</v>
      </c>
      <c r="AG1188" s="19"/>
      <c r="AH1188" s="2">
        <f>Table2[[#This Row],[EV]]-Table2[[#This Row],[Spread (V)]]</f>
        <v>-3.6115839558184035</v>
      </c>
      <c r="AI1188" s="22">
        <f>Table2[[#This Row],[(A)]]-Table2[[#This Row],[Spread]]</f>
        <v>-3.5551184834123308</v>
      </c>
      <c r="AJ1188" s="1">
        <f>Table2[[#This Row],[(A) Err]]^2</f>
        <v>12.638867431099991</v>
      </c>
      <c r="AK1188" s="6">
        <f>Table2[[#This Row],[EV]]-Table2[[#This Row],[Spread]]</f>
        <v>-3.6115839558184035</v>
      </c>
      <c r="AL1188" s="1">
        <f>Table2[[#This Row],[EV Err]]^2</f>
        <v>13.043538669924908</v>
      </c>
    </row>
    <row r="1189" spans="1:38" x14ac:dyDescent="0.25">
      <c r="A1189" t="s">
        <v>199</v>
      </c>
      <c r="B1189" t="s">
        <v>35</v>
      </c>
      <c r="C1189" t="s">
        <v>13</v>
      </c>
      <c r="K1189" s="25">
        <f>(Table2[[#This Row],[Home Pace]]/100)*(VLOOKUP(Table2[[#This Row],[Home/Neutral]],home_lookup,8,FALSE)+VLOOKUP(Table2[[#This Row],[Home/Neutral]],OFR_lookup,2,FALSE)+VLOOKUP(Table2[[#This Row],[Visitor/Neutral]],def_diff_lookup,6,FALSE))</f>
        <v>106.91487121209626</v>
      </c>
      <c r="L1189" s="25"/>
      <c r="M1189" s="25">
        <f>(Table2[[#This Row],[Away Pace]]/100)*(VLOOKUP(Table2[[#This Row],[Visitor/Neutral]],OFR_lookup,2,FALSE)+VLOOKUP(Table2[[#This Row],[Home/Neutral]],def_diff_lookup,6,FALSE))</f>
        <v>108.51497999999999</v>
      </c>
      <c r="N1189" s="25"/>
      <c r="O1189" s="25"/>
      <c r="P1189">
        <f>VLOOKUP(Table2[[#This Row],[Home/Neutral]],pace_lookup,7,FALSE)</f>
        <v>102.2</v>
      </c>
      <c r="Q1189" s="5">
        <f>VLOOKUP(Table2[[#This Row],[Visitor/Neutral]],pace_lookup,7,FALSE)</f>
        <v>94.5</v>
      </c>
      <c r="R1189" s="9"/>
      <c r="V1189" s="2">
        <f>-home-VLOOKUP(Table2[[#This Row],[Home/Neutral]],rtg_vlookup,4,FALSE)+VLOOKUP(Table2[[#This Row],[Visitor/Neutral]],rtg_vlookup,4,FALSE)</f>
        <v>9.2248815165876685</v>
      </c>
      <c r="W1189" s="25"/>
      <c r="X1189" s="2"/>
      <c r="Y1189" s="2">
        <f>Table2[[#This Row],[Away EV]]-Table2[[#This Row],[Home EV]]</f>
        <v>1.6001087879037357</v>
      </c>
      <c r="Z1189" s="33"/>
      <c r="AA1189" s="34"/>
      <c r="AB1189" s="5" t="b">
        <f>IF(VLOOKUP(Table2[[#This Row],[Home/Neutral]],division_lookup,9,FALSE)=VLOOKUP(Table2[[#This Row],[Visitor/Neutral]],division_lookup,9,FALSE),TRUE,FALSE)</f>
        <v>0</v>
      </c>
      <c r="AC1189" s="19" t="str">
        <f>VLOOKUP(Table2[[#This Row],[Home/Neutral]],division_lookup,9,FALSE)</f>
        <v>A</v>
      </c>
      <c r="AD1189" s="19"/>
      <c r="AE1189" s="19" t="str">
        <f>IF(Table2[[#This Row],[Total EV ®]]&lt;Table2[[#This Row],[Total (V)]],"UNDER","OVER")</f>
        <v>OVER</v>
      </c>
      <c r="AF1189" s="30">
        <f>Table2[[#This Row],[(A) Spread]]-Table2[[#This Row],[Spread (V)]]</f>
        <v>0</v>
      </c>
      <c r="AG1189" s="19"/>
      <c r="AH1189" s="2">
        <f>Table2[[#This Row],[EV]]-Table2[[#This Row],[Spread (V)]]</f>
        <v>1.6001087879037357</v>
      </c>
      <c r="AI1189" s="22">
        <f>Table2[[#This Row],[(A)]]-Table2[[#This Row],[Spread]]</f>
        <v>9.2248815165876685</v>
      </c>
      <c r="AJ1189" s="1">
        <f>Table2[[#This Row],[(A) Err]]^2</f>
        <v>85.098438995080798</v>
      </c>
      <c r="AK1189" s="6">
        <f>Table2[[#This Row],[EV]]-Table2[[#This Row],[Spread]]</f>
        <v>1.6001087879037357</v>
      </c>
      <c r="AL1189" s="1">
        <f>Table2[[#This Row],[EV Err]]^2</f>
        <v>2.5603481331267623</v>
      </c>
    </row>
    <row r="1190" spans="1:38" x14ac:dyDescent="0.25">
      <c r="A1190" t="s">
        <v>199</v>
      </c>
      <c r="B1190" t="s">
        <v>16</v>
      </c>
      <c r="C1190" t="s">
        <v>26</v>
      </c>
      <c r="K1190" s="25">
        <f>(Table2[[#This Row],[Home Pace]]/100)*(VLOOKUP(Table2[[#This Row],[Home/Neutral]],home_lookup,8,FALSE)+VLOOKUP(Table2[[#This Row],[Home/Neutral]],OFR_lookup,2,FALSE)+VLOOKUP(Table2[[#This Row],[Visitor/Neutral]],def_diff_lookup,6,FALSE))</f>
        <v>105.42035601115951</v>
      </c>
      <c r="L1190" s="25"/>
      <c r="M1190" s="25">
        <f>(Table2[[#This Row],[Away Pace]]/100)*(VLOOKUP(Table2[[#This Row],[Visitor/Neutral]],OFR_lookup,2,FALSE)+VLOOKUP(Table2[[#This Row],[Home/Neutral]],def_diff_lookup,6,FALSE))</f>
        <v>101.82784000000001</v>
      </c>
      <c r="N1190" s="25"/>
      <c r="O1190" s="25"/>
      <c r="P1190">
        <f>VLOOKUP(Table2[[#This Row],[Home/Neutral]],pace_lookup,7,FALSE)</f>
        <v>97.5</v>
      </c>
      <c r="Q1190" s="5">
        <f>VLOOKUP(Table2[[#This Row],[Visitor/Neutral]],pace_lookup,7,FALSE)</f>
        <v>96</v>
      </c>
      <c r="R1190" s="9"/>
      <c r="V1190" s="2">
        <f>-home-VLOOKUP(Table2[[#This Row],[Home/Neutral]],rtg_vlookup,4,FALSE)+VLOOKUP(Table2[[#This Row],[Visitor/Neutral]],rtg_vlookup,4,FALSE)</f>
        <v>-5.5651184834123306</v>
      </c>
      <c r="W1190" s="25"/>
      <c r="X1190" s="2"/>
      <c r="Y1190" s="2">
        <f>Table2[[#This Row],[Away EV]]-Table2[[#This Row],[Home EV]]</f>
        <v>-3.5925160111595034</v>
      </c>
      <c r="Z1190" s="33"/>
      <c r="AA1190" s="34"/>
      <c r="AB1190" s="5" t="b">
        <f>IF(VLOOKUP(Table2[[#This Row],[Home/Neutral]],division_lookup,9,FALSE)=VLOOKUP(Table2[[#This Row],[Visitor/Neutral]],division_lookup,9,FALSE),TRUE,FALSE)</f>
        <v>0</v>
      </c>
      <c r="AC1190" s="19" t="str">
        <f>VLOOKUP(Table2[[#This Row],[Home/Neutral]],division_lookup,9,FALSE)</f>
        <v>SE</v>
      </c>
      <c r="AD1190" s="19"/>
      <c r="AE1190" s="19" t="str">
        <f>IF(Table2[[#This Row],[Total EV ®]]&lt;Table2[[#This Row],[Total (V)]],"UNDER","OVER")</f>
        <v>OVER</v>
      </c>
      <c r="AF1190" s="30">
        <f>Table2[[#This Row],[(A) Spread]]-Table2[[#This Row],[Spread (V)]]</f>
        <v>0</v>
      </c>
      <c r="AG1190" s="19"/>
      <c r="AH1190" s="2">
        <f>Table2[[#This Row],[EV]]-Table2[[#This Row],[Spread (V)]]</f>
        <v>-3.5925160111595034</v>
      </c>
      <c r="AI1190" s="22">
        <f>Table2[[#This Row],[(A)]]-Table2[[#This Row],[Spread]]</f>
        <v>-5.5651184834123306</v>
      </c>
      <c r="AJ1190" s="1">
        <f>Table2[[#This Row],[(A) Err]]^2</f>
        <v>30.970543734417557</v>
      </c>
      <c r="AK1190" s="6">
        <f>Table2[[#This Row],[EV]]-Table2[[#This Row],[Spread]]</f>
        <v>-3.5925160111595034</v>
      </c>
      <c r="AL1190" s="1">
        <f>Table2[[#This Row],[EV Err]]^2</f>
        <v>12.906171290437388</v>
      </c>
    </row>
    <row r="1191" spans="1:38" x14ac:dyDescent="0.25">
      <c r="A1191" t="s">
        <v>199</v>
      </c>
      <c r="B1191" t="s">
        <v>10</v>
      </c>
      <c r="C1191" t="s">
        <v>34</v>
      </c>
      <c r="K1191" s="25">
        <f>(Table2[[#This Row],[Home Pace]]/100)*(VLOOKUP(Table2[[#This Row],[Home/Neutral]],home_lookup,8,FALSE)+VLOOKUP(Table2[[#This Row],[Home/Neutral]],OFR_lookup,2,FALSE)+VLOOKUP(Table2[[#This Row],[Visitor/Neutral]],def_diff_lookup,6,FALSE))</f>
        <v>106.93555853790561</v>
      </c>
      <c r="L1191" s="25"/>
      <c r="M1191" s="25">
        <f>(Table2[[#This Row],[Away Pace]]/100)*(VLOOKUP(Table2[[#This Row],[Visitor/Neutral]],OFR_lookup,2,FALSE)+VLOOKUP(Table2[[#This Row],[Home/Neutral]],def_diff_lookup,6,FALSE))</f>
        <v>101.35957866666666</v>
      </c>
      <c r="N1191" s="25"/>
      <c r="O1191" s="25"/>
      <c r="P1191">
        <f>VLOOKUP(Table2[[#This Row],[Home/Neutral]],pace_lookup,7,FALSE)</f>
        <v>100.3</v>
      </c>
      <c r="Q1191" s="5">
        <f>VLOOKUP(Table2[[#This Row],[Visitor/Neutral]],pace_lookup,7,FALSE)</f>
        <v>98.8</v>
      </c>
      <c r="R1191" s="9"/>
      <c r="V1191" s="2">
        <f>-home-VLOOKUP(Table2[[#This Row],[Home/Neutral]],rtg_vlookup,4,FALSE)+VLOOKUP(Table2[[#This Row],[Visitor/Neutral]],rtg_vlookup,4,FALSE)</f>
        <v>-16.235118483412332</v>
      </c>
      <c r="W1191" s="25"/>
      <c r="X1191" s="2"/>
      <c r="Y1191" s="2">
        <f>Table2[[#This Row],[Away EV]]-Table2[[#This Row],[Home EV]]</f>
        <v>-5.5759798712389426</v>
      </c>
      <c r="Z1191" s="33"/>
      <c r="AA1191" s="34"/>
      <c r="AB1191" s="5" t="b">
        <f>IF(VLOOKUP(Table2[[#This Row],[Home/Neutral]],division_lookup,9,FALSE)=VLOOKUP(Table2[[#This Row],[Visitor/Neutral]],division_lookup,9,FALSE),TRUE,FALSE)</f>
        <v>0</v>
      </c>
      <c r="AC1191" s="19" t="str">
        <f>VLOOKUP(Table2[[#This Row],[Home/Neutral]],division_lookup,9,FALSE)</f>
        <v>P</v>
      </c>
      <c r="AD1191" s="19"/>
      <c r="AE1191" s="19" t="str">
        <f>IF(Table2[[#This Row],[Total EV ®]]&lt;Table2[[#This Row],[Total (V)]],"UNDER","OVER")</f>
        <v>OVER</v>
      </c>
      <c r="AF1191" s="30">
        <f>Table2[[#This Row],[(A) Spread]]-Table2[[#This Row],[Spread (V)]]</f>
        <v>0</v>
      </c>
      <c r="AG1191" s="19"/>
      <c r="AH1191" s="2">
        <f>Table2[[#This Row],[EV]]-Table2[[#This Row],[Spread (V)]]</f>
        <v>-5.5759798712389426</v>
      </c>
      <c r="AI1191" s="22">
        <f>Table2[[#This Row],[(A)]]-Table2[[#This Row],[Spread]]</f>
        <v>-16.235118483412332</v>
      </c>
      <c r="AJ1191" s="1">
        <f>Table2[[#This Row],[(A) Err]]^2</f>
        <v>263.57907217043675</v>
      </c>
      <c r="AK1191" s="6">
        <f>Table2[[#This Row],[EV]]-Table2[[#This Row],[Spread]]</f>
        <v>-5.5759798712389426</v>
      </c>
      <c r="AL1191" s="1">
        <f>Table2[[#This Row],[EV Err]]^2</f>
        <v>31.091551524461856</v>
      </c>
    </row>
    <row r="1192" spans="1:38" x14ac:dyDescent="0.25">
      <c r="A1192" t="s">
        <v>199</v>
      </c>
      <c r="B1192" t="s">
        <v>38</v>
      </c>
      <c r="C1192" t="s">
        <v>33</v>
      </c>
      <c r="K1192" s="25">
        <f>(Table2[[#This Row],[Home Pace]]/100)*(VLOOKUP(Table2[[#This Row],[Home/Neutral]],home_lookup,8,FALSE)+VLOOKUP(Table2[[#This Row],[Home/Neutral]],OFR_lookup,2,FALSE)+VLOOKUP(Table2[[#This Row],[Visitor/Neutral]],def_diff_lookup,6,FALSE))</f>
        <v>108.3327916789148</v>
      </c>
      <c r="L1192" s="25"/>
      <c r="M1192" s="25">
        <f>(Table2[[#This Row],[Away Pace]]/100)*(VLOOKUP(Table2[[#This Row],[Visitor/Neutral]],OFR_lookup,2,FALSE)+VLOOKUP(Table2[[#This Row],[Home/Neutral]],def_diff_lookup,6,FALSE))</f>
        <v>102.77677466666667</v>
      </c>
      <c r="N1192" s="25"/>
      <c r="O1192" s="25"/>
      <c r="P1192">
        <f>VLOOKUP(Table2[[#This Row],[Home/Neutral]],pace_lookup,7,FALSE)</f>
        <v>94.2</v>
      </c>
      <c r="Q1192" s="5">
        <f>VLOOKUP(Table2[[#This Row],[Visitor/Neutral]],pace_lookup,7,FALSE)</f>
        <v>98.2</v>
      </c>
      <c r="R1192" s="9"/>
      <c r="V1192" s="2">
        <f>-home-VLOOKUP(Table2[[#This Row],[Home/Neutral]],rtg_vlookup,4,FALSE)+VLOOKUP(Table2[[#This Row],[Visitor/Neutral]],rtg_vlookup,4,FALSE)</f>
        <v>0.72488151658766853</v>
      </c>
      <c r="W1192" s="25"/>
      <c r="X1192" s="2"/>
      <c r="Y1192" s="2">
        <f>Table2[[#This Row],[Away EV]]-Table2[[#This Row],[Home EV]]</f>
        <v>-5.5560170122481338</v>
      </c>
      <c r="Z1192" s="33"/>
      <c r="AA1192" s="34"/>
      <c r="AB1192" s="5" t="b">
        <f>IF(VLOOKUP(Table2[[#This Row],[Home/Neutral]],division_lookup,9,FALSE)=VLOOKUP(Table2[[#This Row],[Visitor/Neutral]],division_lookup,9,FALSE),TRUE,FALSE)</f>
        <v>0</v>
      </c>
      <c r="AC1192" s="19" t="str">
        <f>VLOOKUP(Table2[[#This Row],[Home/Neutral]],division_lookup,9,FALSE)</f>
        <v>SE</v>
      </c>
      <c r="AD1192" s="19"/>
      <c r="AE1192" s="19" t="str">
        <f>IF(Table2[[#This Row],[Total EV ®]]&lt;Table2[[#This Row],[Total (V)]],"UNDER","OVER")</f>
        <v>OVER</v>
      </c>
      <c r="AF1192" s="30">
        <f>Table2[[#This Row],[(A) Spread]]-Table2[[#This Row],[Spread (V)]]</f>
        <v>0</v>
      </c>
      <c r="AG1192" s="19"/>
      <c r="AH1192" s="2">
        <f>Table2[[#This Row],[EV]]-Table2[[#This Row],[Spread (V)]]</f>
        <v>-5.5560170122481338</v>
      </c>
      <c r="AI1192" s="22">
        <f>Table2[[#This Row],[(A)]]-Table2[[#This Row],[Spread]]</f>
        <v>0.72488151658766853</v>
      </c>
      <c r="AJ1192" s="1">
        <f>Table2[[#This Row],[(A) Err]]^2</f>
        <v>0.52545321309043835</v>
      </c>
      <c r="AK1192" s="6">
        <f>Table2[[#This Row],[EV]]-Table2[[#This Row],[Spread]]</f>
        <v>-5.5560170122481338</v>
      </c>
      <c r="AL1192" s="1">
        <f>Table2[[#This Row],[EV Err]]^2</f>
        <v>30.869325040390681</v>
      </c>
    </row>
    <row r="1193" spans="1:38" x14ac:dyDescent="0.25">
      <c r="A1193" t="s">
        <v>199</v>
      </c>
      <c r="B1193" t="s">
        <v>39</v>
      </c>
      <c r="C1193" t="s">
        <v>30</v>
      </c>
      <c r="K1193" s="25">
        <f>(Table2[[#This Row],[Home Pace]]/100)*(VLOOKUP(Table2[[#This Row],[Home/Neutral]],home_lookup,8,FALSE)+VLOOKUP(Table2[[#This Row],[Home/Neutral]],OFR_lookup,2,FALSE)+VLOOKUP(Table2[[#This Row],[Visitor/Neutral]],def_diff_lookup,6,FALSE))</f>
        <v>109.21952211468579</v>
      </c>
      <c r="L1193" s="25"/>
      <c r="M1193" s="25">
        <f>(Table2[[#This Row],[Away Pace]]/100)*(VLOOKUP(Table2[[#This Row],[Visitor/Neutral]],OFR_lookup,2,FALSE)+VLOOKUP(Table2[[#This Row],[Home/Neutral]],def_diff_lookup,6,FALSE))</f>
        <v>105.27064533333333</v>
      </c>
      <c r="N1193" s="25"/>
      <c r="O1193" s="25"/>
      <c r="P1193">
        <f>VLOOKUP(Table2[[#This Row],[Home/Neutral]],pace_lookup,7,FALSE)</f>
        <v>97.5</v>
      </c>
      <c r="Q1193" s="5">
        <f>VLOOKUP(Table2[[#This Row],[Visitor/Neutral]],pace_lookup,7,FALSE)</f>
        <v>96.8</v>
      </c>
      <c r="R1193" s="9"/>
      <c r="V1193" s="2">
        <f>-home-VLOOKUP(Table2[[#This Row],[Home/Neutral]],rtg_vlookup,4,FALSE)+VLOOKUP(Table2[[#This Row],[Visitor/Neutral]],rtg_vlookup,4,FALSE)</f>
        <v>4.034881516587669</v>
      </c>
      <c r="W1193" s="25"/>
      <c r="X1193" s="2"/>
      <c r="Y1193" s="2">
        <f>Table2[[#This Row],[Away EV]]-Table2[[#This Row],[Home EV]]</f>
        <v>-3.9488767813524532</v>
      </c>
      <c r="Z1193" s="33"/>
      <c r="AA1193" s="34"/>
      <c r="AB1193" s="5" t="b">
        <f>IF(VLOOKUP(Table2[[#This Row],[Home/Neutral]],division_lookup,9,FALSE)=VLOOKUP(Table2[[#This Row],[Visitor/Neutral]],division_lookup,9,FALSE),TRUE,FALSE)</f>
        <v>0</v>
      </c>
      <c r="AC1193" s="19" t="str">
        <f>VLOOKUP(Table2[[#This Row],[Home/Neutral]],division_lookup,9,FALSE)</f>
        <v>A</v>
      </c>
      <c r="AD1193" s="19"/>
      <c r="AE1193" s="19" t="str">
        <f>IF(Table2[[#This Row],[Total EV ®]]&lt;Table2[[#This Row],[Total (V)]],"UNDER","OVER")</f>
        <v>OVER</v>
      </c>
      <c r="AF1193" s="30">
        <f>Table2[[#This Row],[(A) Spread]]-Table2[[#This Row],[Spread (V)]]</f>
        <v>0</v>
      </c>
      <c r="AG1193" s="19"/>
      <c r="AH1193" s="2">
        <f>Table2[[#This Row],[EV]]-Table2[[#This Row],[Spread (V)]]</f>
        <v>-3.9488767813524532</v>
      </c>
      <c r="AI1193" s="22">
        <f>Table2[[#This Row],[(A)]]-Table2[[#This Row],[Spread]]</f>
        <v>4.034881516587669</v>
      </c>
      <c r="AJ1193" s="1">
        <f>Table2[[#This Row],[(A) Err]]^2</f>
        <v>16.280268852900807</v>
      </c>
      <c r="AK1193" s="6">
        <f>Table2[[#This Row],[EV]]-Table2[[#This Row],[Spread]]</f>
        <v>-3.9488767813524532</v>
      </c>
      <c r="AL1193" s="1">
        <f>Table2[[#This Row],[EV Err]]^2</f>
        <v>15.593627834304511</v>
      </c>
    </row>
    <row r="1194" spans="1:38" x14ac:dyDescent="0.25">
      <c r="A1194" t="s">
        <v>199</v>
      </c>
      <c r="B1194" t="s">
        <v>32</v>
      </c>
      <c r="C1194" t="s">
        <v>20</v>
      </c>
      <c r="K1194" s="25">
        <f>(Table2[[#This Row],[Home Pace]]/100)*(VLOOKUP(Table2[[#This Row],[Home/Neutral]],home_lookup,8,FALSE)+VLOOKUP(Table2[[#This Row],[Home/Neutral]],OFR_lookup,2,FALSE)+VLOOKUP(Table2[[#This Row],[Visitor/Neutral]],def_diff_lookup,6,FALSE))</f>
        <v>107.77869112001841</v>
      </c>
      <c r="L1194" s="25"/>
      <c r="M1194" s="25">
        <f>(Table2[[#This Row],[Away Pace]]/100)*(VLOOKUP(Table2[[#This Row],[Visitor/Neutral]],OFR_lookup,2,FALSE)+VLOOKUP(Table2[[#This Row],[Home/Neutral]],def_diff_lookup,6,FALSE))</f>
        <v>101.49954600000002</v>
      </c>
      <c r="N1194" s="25"/>
      <c r="O1194" s="25"/>
      <c r="P1194">
        <f>VLOOKUP(Table2[[#This Row],[Home/Neutral]],pace_lookup,7,FALSE)</f>
        <v>98.6</v>
      </c>
      <c r="Q1194" s="5">
        <f>VLOOKUP(Table2[[#This Row],[Visitor/Neutral]],pace_lookup,7,FALSE)</f>
        <v>90.9</v>
      </c>
      <c r="R1194" s="9"/>
      <c r="V1194" s="2">
        <f>-home-VLOOKUP(Table2[[#This Row],[Home/Neutral]],rtg_vlookup,4,FALSE)+VLOOKUP(Table2[[#This Row],[Visitor/Neutral]],rtg_vlookup,4,FALSE)</f>
        <v>1.8948815165876691</v>
      </c>
      <c r="W1194" s="25"/>
      <c r="X1194" s="2"/>
      <c r="Y1194" s="2">
        <f>Table2[[#This Row],[Away EV]]-Table2[[#This Row],[Home EV]]</f>
        <v>-6.2791451200183843</v>
      </c>
      <c r="Z1194" s="33"/>
      <c r="AA1194" s="34"/>
      <c r="AB1194" s="5" t="b">
        <f>IF(VLOOKUP(Table2[[#This Row],[Home/Neutral]],division_lookup,9,FALSE)=VLOOKUP(Table2[[#This Row],[Visitor/Neutral]],division_lookup,9,FALSE),TRUE,FALSE)</f>
        <v>1</v>
      </c>
      <c r="AC1194" s="19" t="str">
        <f>VLOOKUP(Table2[[#This Row],[Home/Neutral]],division_lookup,9,FALSE)</f>
        <v>NW</v>
      </c>
      <c r="AD1194" s="19"/>
      <c r="AE1194" s="19" t="str">
        <f>IF(Table2[[#This Row],[Total EV ®]]&lt;Table2[[#This Row],[Total (V)]],"UNDER","OVER")</f>
        <v>OVER</v>
      </c>
      <c r="AF1194" s="30">
        <f>Table2[[#This Row],[(A) Spread]]-Table2[[#This Row],[Spread (V)]]</f>
        <v>0</v>
      </c>
      <c r="AG1194" s="19"/>
      <c r="AH1194" s="2">
        <f>Table2[[#This Row],[EV]]-Table2[[#This Row],[Spread (V)]]</f>
        <v>-6.2791451200183843</v>
      </c>
      <c r="AI1194" s="22">
        <f>Table2[[#This Row],[(A)]]-Table2[[#This Row],[Spread]]</f>
        <v>1.8948815165876691</v>
      </c>
      <c r="AJ1194" s="1">
        <f>Table2[[#This Row],[(A) Err]]^2</f>
        <v>3.5905759619055848</v>
      </c>
      <c r="AK1194" s="6">
        <f>Table2[[#This Row],[EV]]-Table2[[#This Row],[Spread]]</f>
        <v>-6.2791451200183843</v>
      </c>
      <c r="AL1194" s="1">
        <f>Table2[[#This Row],[EV Err]]^2</f>
        <v>39.42766343825069</v>
      </c>
    </row>
    <row r="1195" spans="1:38" x14ac:dyDescent="0.25">
      <c r="A1195" t="s">
        <v>199</v>
      </c>
      <c r="B1195" t="s">
        <v>6</v>
      </c>
      <c r="C1195" t="s">
        <v>4</v>
      </c>
      <c r="K1195" s="25">
        <f>(Table2[[#This Row],[Home Pace]]/100)*(VLOOKUP(Table2[[#This Row],[Home/Neutral]],home_lookup,8,FALSE)+VLOOKUP(Table2[[#This Row],[Home/Neutral]],OFR_lookup,2,FALSE)+VLOOKUP(Table2[[#This Row],[Visitor/Neutral]],def_diff_lookup,6,FALSE))</f>
        <v>97.361777870622433</v>
      </c>
      <c r="L1195" s="25"/>
      <c r="M1195" s="25">
        <f>(Table2[[#This Row],[Away Pace]]/100)*(VLOOKUP(Table2[[#This Row],[Visitor/Neutral]],OFR_lookup,2,FALSE)+VLOOKUP(Table2[[#This Row],[Home/Neutral]],def_diff_lookup,6,FALSE))</f>
        <v>108.733604</v>
      </c>
      <c r="N1195" s="25"/>
      <c r="O1195" s="25"/>
      <c r="P1195">
        <f>VLOOKUP(Table2[[#This Row],[Home/Neutral]],pace_lookup,7,FALSE)</f>
        <v>93.1</v>
      </c>
      <c r="Q1195" s="5">
        <f>VLOOKUP(Table2[[#This Row],[Visitor/Neutral]],pace_lookup,7,FALSE)</f>
        <v>96.6</v>
      </c>
      <c r="R1195" s="9"/>
      <c r="V1195" s="2">
        <f>-home-VLOOKUP(Table2[[#This Row],[Home/Neutral]],rtg_vlookup,4,FALSE)+VLOOKUP(Table2[[#This Row],[Visitor/Neutral]],rtg_vlookup,4,FALSE)</f>
        <v>4.9148815165876698</v>
      </c>
      <c r="W1195" s="25"/>
      <c r="X1195" s="2"/>
      <c r="Y1195" s="2">
        <f>Table2[[#This Row],[Away EV]]-Table2[[#This Row],[Home EV]]</f>
        <v>11.371826129377567</v>
      </c>
      <c r="Z1195" s="33"/>
      <c r="AA1195" s="34"/>
      <c r="AB1195" s="5" t="b">
        <f>IF(VLOOKUP(Table2[[#This Row],[Home/Neutral]],division_lookup,9,FALSE)=VLOOKUP(Table2[[#This Row],[Visitor/Neutral]],division_lookup,9,FALSE),TRUE,FALSE)</f>
        <v>0</v>
      </c>
      <c r="AC1195" s="19" t="str">
        <f>VLOOKUP(Table2[[#This Row],[Home/Neutral]],division_lookup,9,FALSE)</f>
        <v>SW</v>
      </c>
      <c r="AD1195" s="19"/>
      <c r="AE1195" s="19" t="str">
        <f>IF(Table2[[#This Row],[Total EV ®]]&lt;Table2[[#This Row],[Total (V)]],"UNDER","OVER")</f>
        <v>OVER</v>
      </c>
      <c r="AF1195" s="30">
        <f>Table2[[#This Row],[(A) Spread]]-Table2[[#This Row],[Spread (V)]]</f>
        <v>0</v>
      </c>
      <c r="AG1195" s="19"/>
      <c r="AH1195" s="2">
        <f>Table2[[#This Row],[EV]]-Table2[[#This Row],[Spread (V)]]</f>
        <v>11.371826129377567</v>
      </c>
      <c r="AI1195" s="22">
        <f>Table2[[#This Row],[(A)]]-Table2[[#This Row],[Spread]]</f>
        <v>4.9148815165876698</v>
      </c>
      <c r="AJ1195" s="1">
        <f>Table2[[#This Row],[(A) Err]]^2</f>
        <v>24.156060322095112</v>
      </c>
      <c r="AK1195" s="6">
        <f>Table2[[#This Row],[EV]]-Table2[[#This Row],[Spread]]</f>
        <v>11.371826129377567</v>
      </c>
      <c r="AL1195" s="1">
        <f>Table2[[#This Row],[EV Err]]^2</f>
        <v>129.31842951679437</v>
      </c>
    </row>
    <row r="1196" spans="1:38" x14ac:dyDescent="0.25">
      <c r="A1196" t="s">
        <v>199</v>
      </c>
      <c r="B1196" t="s">
        <v>28</v>
      </c>
      <c r="C1196" t="s">
        <v>21</v>
      </c>
      <c r="K1196" s="25">
        <f>(Table2[[#This Row],[Home Pace]]/100)*(VLOOKUP(Table2[[#This Row],[Home/Neutral]],home_lookup,8,FALSE)+VLOOKUP(Table2[[#This Row],[Home/Neutral]],OFR_lookup,2,FALSE)+VLOOKUP(Table2[[#This Row],[Visitor/Neutral]],def_diff_lookup,6,FALSE))</f>
        <v>104.69453553204274</v>
      </c>
      <c r="L1196" s="25"/>
      <c r="M1196" s="25">
        <f>(Table2[[#This Row],[Away Pace]]/100)*(VLOOKUP(Table2[[#This Row],[Visitor/Neutral]],OFR_lookup,2,FALSE)+VLOOKUP(Table2[[#This Row],[Home/Neutral]],def_diff_lookup,6,FALSE))</f>
        <v>99.325108000000029</v>
      </c>
      <c r="N1196" s="25"/>
      <c r="O1196" s="25"/>
      <c r="P1196">
        <f>VLOOKUP(Table2[[#This Row],[Home/Neutral]],pace_lookup,7,FALSE)</f>
        <v>96.3</v>
      </c>
      <c r="Q1196" s="5">
        <f>VLOOKUP(Table2[[#This Row],[Visitor/Neutral]],pace_lookup,7,FALSE)</f>
        <v>94.2</v>
      </c>
      <c r="R1196" s="9"/>
      <c r="V1196" s="2">
        <f>-home-VLOOKUP(Table2[[#This Row],[Home/Neutral]],rtg_vlookup,4,FALSE)+VLOOKUP(Table2[[#This Row],[Visitor/Neutral]],rtg_vlookup,4,FALSE)</f>
        <v>-0.9051184834123307</v>
      </c>
      <c r="W1196" s="25"/>
      <c r="X1196" s="2"/>
      <c r="Y1196" s="2">
        <f>Table2[[#This Row],[Away EV]]-Table2[[#This Row],[Home EV]]</f>
        <v>-5.3694275320427067</v>
      </c>
      <c r="Z1196" s="33"/>
      <c r="AA1196" s="34"/>
      <c r="AB1196" s="5" t="b">
        <f>IF(VLOOKUP(Table2[[#This Row],[Home/Neutral]],division_lookup,9,FALSE)=VLOOKUP(Table2[[#This Row],[Visitor/Neutral]],division_lookup,9,FALSE),TRUE,FALSE)</f>
        <v>1</v>
      </c>
      <c r="AC1196" s="19" t="str">
        <f>VLOOKUP(Table2[[#This Row],[Home/Neutral]],division_lookup,9,FALSE)</f>
        <v>SE</v>
      </c>
      <c r="AD1196" s="19"/>
      <c r="AE1196" s="19" t="str">
        <f>IF(Table2[[#This Row],[Total EV ®]]&lt;Table2[[#This Row],[Total (V)]],"UNDER","OVER")</f>
        <v>OVER</v>
      </c>
      <c r="AF1196" s="30">
        <f>Table2[[#This Row],[(A) Spread]]-Table2[[#This Row],[Spread (V)]]</f>
        <v>0</v>
      </c>
      <c r="AG1196" s="19"/>
      <c r="AH1196" s="2">
        <f>Table2[[#This Row],[EV]]-Table2[[#This Row],[Spread (V)]]</f>
        <v>-5.3694275320427067</v>
      </c>
      <c r="AI1196" s="22">
        <f>Table2[[#This Row],[(A)]]-Table2[[#This Row],[Spread]]</f>
        <v>-0.9051184834123307</v>
      </c>
      <c r="AJ1196" s="1">
        <f>Table2[[#This Row],[(A) Err]]^2</f>
        <v>0.81923946901463751</v>
      </c>
      <c r="AK1196" s="6">
        <f>Table2[[#This Row],[EV]]-Table2[[#This Row],[Spread]]</f>
        <v>-5.3694275320427067</v>
      </c>
      <c r="AL1196" s="1">
        <f>Table2[[#This Row],[EV Err]]^2</f>
        <v>28.830752021858231</v>
      </c>
    </row>
    <row r="1197" spans="1:38" x14ac:dyDescent="0.25">
      <c r="A1197" t="s">
        <v>200</v>
      </c>
      <c r="B1197" t="s">
        <v>11</v>
      </c>
      <c r="C1197" t="s">
        <v>8</v>
      </c>
      <c r="K1197" s="25">
        <f>(Table2[[#This Row],[Home Pace]]/100)*(VLOOKUP(Table2[[#This Row],[Home/Neutral]],home_lookup,8,FALSE)+VLOOKUP(Table2[[#This Row],[Home/Neutral]],OFR_lookup,2,FALSE)+VLOOKUP(Table2[[#This Row],[Visitor/Neutral]],def_diff_lookup,6,FALSE))</f>
        <v>96.546289044072822</v>
      </c>
      <c r="L1197" s="25"/>
      <c r="M1197" s="25">
        <f>(Table2[[#This Row],[Away Pace]]/100)*(VLOOKUP(Table2[[#This Row],[Visitor/Neutral]],OFR_lookup,2,FALSE)+VLOOKUP(Table2[[#This Row],[Home/Neutral]],def_diff_lookup,6,FALSE))</f>
        <v>100.495728</v>
      </c>
      <c r="N1197" s="25"/>
      <c r="O1197" s="25"/>
      <c r="P1197">
        <f>VLOOKUP(Table2[[#This Row],[Home/Neutral]],pace_lookup,7,FALSE)</f>
        <v>99.7</v>
      </c>
      <c r="Q1197" s="5">
        <f>VLOOKUP(Table2[[#This Row],[Visitor/Neutral]],pace_lookup,7,FALSE)</f>
        <v>97.2</v>
      </c>
      <c r="R1197" s="9"/>
      <c r="V1197" s="2">
        <f>-home-VLOOKUP(Table2[[#This Row],[Home/Neutral]],rtg_vlookup,4,FALSE)+VLOOKUP(Table2[[#This Row],[Visitor/Neutral]],rtg_vlookup,4,FALSE)</f>
        <v>-2.1851184834123307</v>
      </c>
      <c r="W1197" s="25"/>
      <c r="X1197" s="2"/>
      <c r="Y1197" s="2">
        <f>Table2[[#This Row],[Away EV]]-Table2[[#This Row],[Home EV]]</f>
        <v>3.9494389559271781</v>
      </c>
      <c r="Z1197" s="33"/>
      <c r="AA1197" s="34"/>
      <c r="AB1197" s="5" t="b">
        <f>IF(VLOOKUP(Table2[[#This Row],[Home/Neutral]],division_lookup,9,FALSE)=VLOOKUP(Table2[[#This Row],[Visitor/Neutral]],division_lookup,9,FALSE),TRUE,FALSE)</f>
        <v>0</v>
      </c>
      <c r="AC1197" s="19" t="str">
        <f>VLOOKUP(Table2[[#This Row],[Home/Neutral]],division_lookup,9,FALSE)</f>
        <v>SE</v>
      </c>
      <c r="AD1197" s="19"/>
      <c r="AE1197" s="19" t="str">
        <f>IF(Table2[[#This Row],[Total EV ®]]&lt;Table2[[#This Row],[Total (V)]],"UNDER","OVER")</f>
        <v>OVER</v>
      </c>
      <c r="AF1197" s="30">
        <f>Table2[[#This Row],[(A) Spread]]-Table2[[#This Row],[Spread (V)]]</f>
        <v>0</v>
      </c>
      <c r="AG1197" s="19"/>
      <c r="AH1197" s="2">
        <f>Table2[[#This Row],[EV]]-Table2[[#This Row],[Spread (V)]]</f>
        <v>3.9494389559271781</v>
      </c>
      <c r="AI1197" s="22">
        <f>Table2[[#This Row],[(A)]]-Table2[[#This Row],[Spread]]</f>
        <v>-2.1851184834123307</v>
      </c>
      <c r="AJ1197" s="1">
        <f>Table2[[#This Row],[(A) Err]]^2</f>
        <v>4.7747427865502043</v>
      </c>
      <c r="AK1197" s="6">
        <f>Table2[[#This Row],[EV]]-Table2[[#This Row],[Spread]]</f>
        <v>3.9494389559271781</v>
      </c>
      <c r="AL1197" s="1">
        <f>Table2[[#This Row],[EV Err]]^2</f>
        <v>15.598068066595159</v>
      </c>
    </row>
    <row r="1198" spans="1:38" x14ac:dyDescent="0.25">
      <c r="A1198" t="s">
        <v>200</v>
      </c>
      <c r="B1198" t="s">
        <v>27</v>
      </c>
      <c r="C1198" t="s">
        <v>18</v>
      </c>
      <c r="K1198" s="25">
        <f>(Table2[[#This Row],[Home Pace]]/100)*(VLOOKUP(Table2[[#This Row],[Home/Neutral]],home_lookup,8,FALSE)+VLOOKUP(Table2[[#This Row],[Home/Neutral]],OFR_lookup,2,FALSE)+VLOOKUP(Table2[[#This Row],[Visitor/Neutral]],def_diff_lookup,6,FALSE))</f>
        <v>100.41705642647257</v>
      </c>
      <c r="L1198" s="25"/>
      <c r="M1198" s="25">
        <f>(Table2[[#This Row],[Away Pace]]/100)*(VLOOKUP(Table2[[#This Row],[Visitor/Neutral]],OFR_lookup,2,FALSE)+VLOOKUP(Table2[[#This Row],[Home/Neutral]],def_diff_lookup,6,FALSE))</f>
        <v>103.52046333333335</v>
      </c>
      <c r="N1198" s="25"/>
      <c r="O1198" s="25"/>
      <c r="P1198">
        <f>VLOOKUP(Table2[[#This Row],[Home/Neutral]],pace_lookup,7,FALSE)</f>
        <v>99</v>
      </c>
      <c r="Q1198" s="5">
        <f>VLOOKUP(Table2[[#This Row],[Visitor/Neutral]],pace_lookup,7,FALSE)</f>
        <v>99.5</v>
      </c>
      <c r="R1198" s="9"/>
      <c r="V1198" s="2">
        <f>-home-VLOOKUP(Table2[[#This Row],[Home/Neutral]],rtg_vlookup,4,FALSE)+VLOOKUP(Table2[[#This Row],[Visitor/Neutral]],rtg_vlookup,4,FALSE)</f>
        <v>0.19488151658766917</v>
      </c>
      <c r="W1198" s="25"/>
      <c r="X1198" s="2"/>
      <c r="Y1198" s="2">
        <f>Table2[[#This Row],[Away EV]]-Table2[[#This Row],[Home EV]]</f>
        <v>3.1034069068607835</v>
      </c>
      <c r="Z1198" s="33"/>
      <c r="AA1198" s="34"/>
      <c r="AB1198" s="5" t="b">
        <f>IF(VLOOKUP(Table2[[#This Row],[Home/Neutral]],division_lookup,9,FALSE)=VLOOKUP(Table2[[#This Row],[Visitor/Neutral]],division_lookup,9,FALSE),TRUE,FALSE)</f>
        <v>1</v>
      </c>
      <c r="AC1198" s="19" t="str">
        <f>VLOOKUP(Table2[[#This Row],[Home/Neutral]],division_lookup,9,FALSE)</f>
        <v>NW</v>
      </c>
      <c r="AD1198" s="19"/>
      <c r="AE1198" s="19" t="str">
        <f>IF(Table2[[#This Row],[Total EV ®]]&lt;Table2[[#This Row],[Total (V)]],"UNDER","OVER")</f>
        <v>OVER</v>
      </c>
      <c r="AF1198" s="30">
        <f>Table2[[#This Row],[(A) Spread]]-Table2[[#This Row],[Spread (V)]]</f>
        <v>0</v>
      </c>
      <c r="AG1198" s="19"/>
      <c r="AH1198" s="2">
        <f>Table2[[#This Row],[EV]]-Table2[[#This Row],[Spread (V)]]</f>
        <v>3.1034069068607835</v>
      </c>
      <c r="AI1198" s="22">
        <f>Table2[[#This Row],[(A)]]-Table2[[#This Row],[Spread]]</f>
        <v>0.19488151658766917</v>
      </c>
      <c r="AJ1198" s="1">
        <f>Table2[[#This Row],[(A) Err]]^2</f>
        <v>3.7978805507509976E-2</v>
      </c>
      <c r="AK1198" s="6">
        <f>Table2[[#This Row],[EV]]-Table2[[#This Row],[Spread]]</f>
        <v>3.1034069068607835</v>
      </c>
      <c r="AL1198" s="1">
        <f>Table2[[#This Row],[EV Err]]^2</f>
        <v>9.6311344295512153</v>
      </c>
    </row>
    <row r="1199" spans="1:38" x14ac:dyDescent="0.25">
      <c r="A1199" t="s">
        <v>200</v>
      </c>
      <c r="B1199" t="s">
        <v>24</v>
      </c>
      <c r="C1199" t="s">
        <v>22</v>
      </c>
      <c r="K1199" s="25">
        <f>(Table2[[#This Row],[Home Pace]]/100)*(VLOOKUP(Table2[[#This Row],[Home/Neutral]],home_lookup,8,FALSE)+VLOOKUP(Table2[[#This Row],[Home/Neutral]],OFR_lookup,2,FALSE)+VLOOKUP(Table2[[#This Row],[Visitor/Neutral]],def_diff_lookup,6,FALSE))</f>
        <v>113.21247432830941</v>
      </c>
      <c r="L1199" s="25"/>
      <c r="M1199" s="25">
        <f>(Table2[[#This Row],[Away Pace]]/100)*(VLOOKUP(Table2[[#This Row],[Visitor/Neutral]],OFR_lookup,2,FALSE)+VLOOKUP(Table2[[#This Row],[Home/Neutral]],def_diff_lookup,6,FALSE))</f>
        <v>109.09503133333335</v>
      </c>
      <c r="N1199" s="25"/>
      <c r="O1199" s="25"/>
      <c r="P1199">
        <f>VLOOKUP(Table2[[#This Row],[Home/Neutral]],pace_lookup,7,FALSE)</f>
        <v>99.9</v>
      </c>
      <c r="Q1199" s="5">
        <f>VLOOKUP(Table2[[#This Row],[Visitor/Neutral]],pace_lookup,7,FALSE)</f>
        <v>94.7</v>
      </c>
      <c r="R1199" s="9"/>
      <c r="V1199" s="2">
        <f>-home-VLOOKUP(Table2[[#This Row],[Home/Neutral]],rtg_vlookup,4,FALSE)+VLOOKUP(Table2[[#This Row],[Visitor/Neutral]],rtg_vlookup,4,FALSE)</f>
        <v>-2.0751184834123304</v>
      </c>
      <c r="W1199" s="25"/>
      <c r="X1199" s="2"/>
      <c r="Y1199" s="2">
        <f>Table2[[#This Row],[Away EV]]-Table2[[#This Row],[Home EV]]</f>
        <v>-4.1174429949760594</v>
      </c>
      <c r="Z1199" s="33"/>
      <c r="AA1199" s="34"/>
      <c r="AB1199" s="5" t="b">
        <f>IF(VLOOKUP(Table2[[#This Row],[Home/Neutral]],division_lookup,9,FALSE)=VLOOKUP(Table2[[#This Row],[Visitor/Neutral]],division_lookup,9,FALSE),TRUE,FALSE)</f>
        <v>0</v>
      </c>
      <c r="AC1199" s="19" t="str">
        <f>VLOOKUP(Table2[[#This Row],[Home/Neutral]],division_lookup,9,FALSE)</f>
        <v>P</v>
      </c>
      <c r="AD1199" s="19"/>
      <c r="AE1199" s="19" t="str">
        <f>IF(Table2[[#This Row],[Total EV ®]]&lt;Table2[[#This Row],[Total (V)]],"UNDER","OVER")</f>
        <v>OVER</v>
      </c>
      <c r="AF1199" s="30">
        <f>Table2[[#This Row],[(A) Spread]]-Table2[[#This Row],[Spread (V)]]</f>
        <v>0</v>
      </c>
      <c r="AG1199" s="19"/>
      <c r="AH1199" s="2">
        <f>Table2[[#This Row],[EV]]-Table2[[#This Row],[Spread (V)]]</f>
        <v>-4.1174429949760594</v>
      </c>
      <c r="AI1199" s="22">
        <f>Table2[[#This Row],[(A)]]-Table2[[#This Row],[Spread]]</f>
        <v>-2.0751184834123304</v>
      </c>
      <c r="AJ1199" s="1">
        <f>Table2[[#This Row],[(A) Err]]^2</f>
        <v>4.3061167201994905</v>
      </c>
      <c r="AK1199" s="6">
        <f>Table2[[#This Row],[EV]]-Table2[[#This Row],[Spread]]</f>
        <v>-4.1174429949760594</v>
      </c>
      <c r="AL1199" s="1">
        <f>Table2[[#This Row],[EV Err]]^2</f>
        <v>16.953336816877421</v>
      </c>
    </row>
    <row r="1200" spans="1:38" x14ac:dyDescent="0.25">
      <c r="A1200" t="s">
        <v>200</v>
      </c>
      <c r="B1200" t="s">
        <v>23</v>
      </c>
      <c r="C1200" t="s">
        <v>25</v>
      </c>
      <c r="K1200" s="25">
        <f>(Table2[[#This Row],[Home Pace]]/100)*(VLOOKUP(Table2[[#This Row],[Home/Neutral]],home_lookup,8,FALSE)+VLOOKUP(Table2[[#This Row],[Home/Neutral]],OFR_lookup,2,FALSE)+VLOOKUP(Table2[[#This Row],[Visitor/Neutral]],def_diff_lookup,6,FALSE))</f>
        <v>98.521137358713588</v>
      </c>
      <c r="L1200" s="25"/>
      <c r="M1200" s="25">
        <f>(Table2[[#This Row],[Away Pace]]/100)*(VLOOKUP(Table2[[#This Row],[Visitor/Neutral]],OFR_lookup,2,FALSE)+VLOOKUP(Table2[[#This Row],[Home/Neutral]],def_diff_lookup,6,FALSE))</f>
        <v>92.729749333333345</v>
      </c>
      <c r="N1200" s="25"/>
      <c r="O1200" s="25"/>
      <c r="P1200">
        <f>VLOOKUP(Table2[[#This Row],[Home/Neutral]],pace_lookup,7,FALSE)</f>
        <v>92.5</v>
      </c>
      <c r="Q1200" s="5">
        <f>VLOOKUP(Table2[[#This Row],[Visitor/Neutral]],pace_lookup,7,FALSE)</f>
        <v>94.4</v>
      </c>
      <c r="R1200" s="9"/>
      <c r="V1200" s="2">
        <f>-home-VLOOKUP(Table2[[#This Row],[Home/Neutral]],rtg_vlookup,4,FALSE)+VLOOKUP(Table2[[#This Row],[Visitor/Neutral]],rtg_vlookup,4,FALSE)</f>
        <v>-5.1351184834123309</v>
      </c>
      <c r="W1200" s="25"/>
      <c r="X1200" s="2"/>
      <c r="Y1200" s="2">
        <f>Table2[[#This Row],[Away EV]]-Table2[[#This Row],[Home EV]]</f>
        <v>-5.7913880253802432</v>
      </c>
      <c r="Z1200" s="33"/>
      <c r="AA1200" s="34"/>
      <c r="AB1200" s="5" t="b">
        <f>IF(VLOOKUP(Table2[[#This Row],[Home/Neutral]],division_lookup,9,FALSE)=VLOOKUP(Table2[[#This Row],[Visitor/Neutral]],division_lookup,9,FALSE),TRUE,FALSE)</f>
        <v>0</v>
      </c>
      <c r="AC1200" s="19" t="str">
        <f>VLOOKUP(Table2[[#This Row],[Home/Neutral]],division_lookup,9,FALSE)</f>
        <v>SW</v>
      </c>
      <c r="AD1200" s="19"/>
      <c r="AE1200" s="19" t="str">
        <f>IF(Table2[[#This Row],[Total EV ®]]&lt;Table2[[#This Row],[Total (V)]],"UNDER","OVER")</f>
        <v>OVER</v>
      </c>
      <c r="AF1200" s="30">
        <f>Table2[[#This Row],[(A) Spread]]-Table2[[#This Row],[Spread (V)]]</f>
        <v>0</v>
      </c>
      <c r="AG1200" s="19"/>
      <c r="AH1200" s="2">
        <f>Table2[[#This Row],[EV]]-Table2[[#This Row],[Spread (V)]]</f>
        <v>-5.7913880253802432</v>
      </c>
      <c r="AI1200" s="22">
        <f>Table2[[#This Row],[(A)]]-Table2[[#This Row],[Spread]]</f>
        <v>-5.1351184834123309</v>
      </c>
      <c r="AJ1200" s="1">
        <f>Table2[[#This Row],[(A) Err]]^2</f>
        <v>26.369441838682956</v>
      </c>
      <c r="AK1200" s="6">
        <f>Table2[[#This Row],[EV]]-Table2[[#This Row],[Spread]]</f>
        <v>-5.7913880253802432</v>
      </c>
      <c r="AL1200" s="1">
        <f>Table2[[#This Row],[EV Err]]^2</f>
        <v>33.540175260517671</v>
      </c>
    </row>
    <row r="1201" spans="1:38" x14ac:dyDescent="0.25">
      <c r="A1201" t="s">
        <v>200</v>
      </c>
      <c r="B1201" t="s">
        <v>31</v>
      </c>
      <c r="C1201" t="s">
        <v>14</v>
      </c>
      <c r="K1201" s="25">
        <f>(Table2[[#This Row],[Home Pace]]/100)*(VLOOKUP(Table2[[#This Row],[Home/Neutral]],home_lookup,8,FALSE)+VLOOKUP(Table2[[#This Row],[Home/Neutral]],OFR_lookup,2,FALSE)+VLOOKUP(Table2[[#This Row],[Visitor/Neutral]],def_diff_lookup,6,FALSE))</f>
        <v>112.1661743021789</v>
      </c>
      <c r="L1201" s="25"/>
      <c r="M1201" s="25">
        <f>(Table2[[#This Row],[Away Pace]]/100)*(VLOOKUP(Table2[[#This Row],[Visitor/Neutral]],OFR_lookup,2,FALSE)+VLOOKUP(Table2[[#This Row],[Home/Neutral]],def_diff_lookup,6,FALSE))</f>
        <v>113.06673933333336</v>
      </c>
      <c r="N1201" s="25"/>
      <c r="O1201" s="25"/>
      <c r="P1201">
        <f>VLOOKUP(Table2[[#This Row],[Home/Neutral]],pace_lookup,7,FALSE)</f>
        <v>96</v>
      </c>
      <c r="Q1201" s="5">
        <f>VLOOKUP(Table2[[#This Row],[Visitor/Neutral]],pace_lookup,7,FALSE)</f>
        <v>95.9</v>
      </c>
      <c r="R1201" s="9"/>
      <c r="V1201" s="2">
        <f>-home-VLOOKUP(Table2[[#This Row],[Home/Neutral]],rtg_vlookup,4,FALSE)+VLOOKUP(Table2[[#This Row],[Visitor/Neutral]],rtg_vlookup,4,FALSE)</f>
        <v>4.4848815165876692</v>
      </c>
      <c r="W1201" s="25"/>
      <c r="X1201" s="2"/>
      <c r="Y1201" s="2">
        <f>Table2[[#This Row],[Away EV]]-Table2[[#This Row],[Home EV]]</f>
        <v>0.90056503115445707</v>
      </c>
      <c r="Z1201" s="33"/>
      <c r="AA1201" s="34"/>
      <c r="AB1201" s="5" t="b">
        <f>IF(VLOOKUP(Table2[[#This Row],[Home/Neutral]],division_lookup,9,FALSE)=VLOOKUP(Table2[[#This Row],[Visitor/Neutral]],division_lookup,9,FALSE),TRUE,FALSE)</f>
        <v>1</v>
      </c>
      <c r="AC1201" s="19" t="str">
        <f>VLOOKUP(Table2[[#This Row],[Home/Neutral]],division_lookup,9,FALSE)</f>
        <v>A</v>
      </c>
      <c r="AD1201" s="19"/>
      <c r="AE1201" s="19" t="str">
        <f>IF(Table2[[#This Row],[Total EV ®]]&lt;Table2[[#This Row],[Total (V)]],"UNDER","OVER")</f>
        <v>OVER</v>
      </c>
      <c r="AF1201" s="30">
        <f>Table2[[#This Row],[(A) Spread]]-Table2[[#This Row],[Spread (V)]]</f>
        <v>0</v>
      </c>
      <c r="AG1201" s="19"/>
      <c r="AH1201" s="2">
        <f>Table2[[#This Row],[EV]]-Table2[[#This Row],[Spread (V)]]</f>
        <v>0.90056503115445707</v>
      </c>
      <c r="AI1201" s="22">
        <f>Table2[[#This Row],[(A)]]-Table2[[#This Row],[Spread]]</f>
        <v>4.4848815165876692</v>
      </c>
      <c r="AJ1201" s="1">
        <f>Table2[[#This Row],[(A) Err]]^2</f>
        <v>20.114162217829712</v>
      </c>
      <c r="AK1201" s="6">
        <f>Table2[[#This Row],[EV]]-Table2[[#This Row],[Spread]]</f>
        <v>0.90056503115445707</v>
      </c>
      <c r="AL1201" s="1">
        <f>Table2[[#This Row],[EV Err]]^2</f>
        <v>0.81101737533822826</v>
      </c>
    </row>
    <row r="1202" spans="1:38" x14ac:dyDescent="0.25">
      <c r="A1202" t="s">
        <v>200</v>
      </c>
      <c r="B1202" t="s">
        <v>36</v>
      </c>
      <c r="C1202" t="s">
        <v>37</v>
      </c>
      <c r="K1202" s="25">
        <f>(Table2[[#This Row],[Home Pace]]/100)*(VLOOKUP(Table2[[#This Row],[Home/Neutral]],home_lookup,8,FALSE)+VLOOKUP(Table2[[#This Row],[Home/Neutral]],OFR_lookup,2,FALSE)+VLOOKUP(Table2[[#This Row],[Visitor/Neutral]],def_diff_lookup,6,FALSE))</f>
        <v>104.35507156604042</v>
      </c>
      <c r="L1202" s="25"/>
      <c r="M1202" s="25">
        <f>(Table2[[#This Row],[Away Pace]]/100)*(VLOOKUP(Table2[[#This Row],[Visitor/Neutral]],OFR_lookup,2,FALSE)+VLOOKUP(Table2[[#This Row],[Home/Neutral]],def_diff_lookup,6,FALSE))</f>
        <v>90.820424000000003</v>
      </c>
      <c r="N1202" s="25"/>
      <c r="O1202" s="25"/>
      <c r="P1202">
        <f>VLOOKUP(Table2[[#This Row],[Home/Neutral]],pace_lookup,7,FALSE)</f>
        <v>102.2</v>
      </c>
      <c r="Q1202" s="5">
        <f>VLOOKUP(Table2[[#This Row],[Visitor/Neutral]],pace_lookup,7,FALSE)</f>
        <v>92.1</v>
      </c>
      <c r="R1202" s="9"/>
      <c r="V1202" s="2">
        <f>-home-VLOOKUP(Table2[[#This Row],[Home/Neutral]],rtg_vlookup,4,FALSE)+VLOOKUP(Table2[[#This Row],[Visitor/Neutral]],rtg_vlookup,4,FALSE)</f>
        <v>-4.005118483412331</v>
      </c>
      <c r="W1202" s="25"/>
      <c r="X1202" s="2"/>
      <c r="Y1202" s="2">
        <f>Table2[[#This Row],[Away EV]]-Table2[[#This Row],[Home EV]]</f>
        <v>-13.53464756604042</v>
      </c>
      <c r="Z1202" s="33"/>
      <c r="AA1202" s="34"/>
      <c r="AB1202" s="5" t="b">
        <f>IF(VLOOKUP(Table2[[#This Row],[Home/Neutral]],division_lookup,9,FALSE)=VLOOKUP(Table2[[#This Row],[Visitor/Neutral]],division_lookup,9,FALSE),TRUE,FALSE)</f>
        <v>0</v>
      </c>
      <c r="AC1202" s="19" t="str">
        <f>VLOOKUP(Table2[[#This Row],[Home/Neutral]],division_lookup,9,FALSE)</f>
        <v>P</v>
      </c>
      <c r="AD1202" s="19"/>
      <c r="AE1202" s="19" t="str">
        <f>IF(Table2[[#This Row],[Total EV ®]]&lt;Table2[[#This Row],[Total (V)]],"UNDER","OVER")</f>
        <v>OVER</v>
      </c>
      <c r="AF1202" s="30">
        <f>Table2[[#This Row],[(A) Spread]]-Table2[[#This Row],[Spread (V)]]</f>
        <v>0</v>
      </c>
      <c r="AG1202" s="19"/>
      <c r="AH1202" s="2">
        <f>Table2[[#This Row],[EV]]-Table2[[#This Row],[Spread (V)]]</f>
        <v>-13.53464756604042</v>
      </c>
      <c r="AI1202" s="22">
        <f>Table2[[#This Row],[(A)]]-Table2[[#This Row],[Spread]]</f>
        <v>-4.005118483412331</v>
      </c>
      <c r="AJ1202" s="1">
        <f>Table2[[#This Row],[(A) Err]]^2</f>
        <v>16.040974066171092</v>
      </c>
      <c r="AK1202" s="6">
        <f>Table2[[#This Row],[EV]]-Table2[[#This Row],[Spread]]</f>
        <v>-13.53464756604042</v>
      </c>
      <c r="AL1202" s="1">
        <f>Table2[[#This Row],[EV Err]]^2</f>
        <v>183.18668473692387</v>
      </c>
    </row>
    <row r="1203" spans="1:38" x14ac:dyDescent="0.25">
      <c r="A1203" t="s">
        <v>200</v>
      </c>
      <c r="B1203" t="s">
        <v>29</v>
      </c>
      <c r="C1203" t="s">
        <v>17</v>
      </c>
      <c r="K1203" s="25">
        <f>(Table2[[#This Row],[Home Pace]]/100)*(VLOOKUP(Table2[[#This Row],[Home/Neutral]],home_lookup,8,FALSE)+VLOOKUP(Table2[[#This Row],[Home/Neutral]],OFR_lookup,2,FALSE)+VLOOKUP(Table2[[#This Row],[Visitor/Neutral]],def_diff_lookup,6,FALSE))</f>
        <v>112.03772926898523</v>
      </c>
      <c r="L1203" s="25"/>
      <c r="M1203" s="25">
        <f>(Table2[[#This Row],[Away Pace]]/100)*(VLOOKUP(Table2[[#This Row],[Visitor/Neutral]],OFR_lookup,2,FALSE)+VLOOKUP(Table2[[#This Row],[Home/Neutral]],def_diff_lookup,6,FALSE))</f>
        <v>113.28469466666668</v>
      </c>
      <c r="N1203" s="25"/>
      <c r="O1203" s="25"/>
      <c r="P1203">
        <f>VLOOKUP(Table2[[#This Row],[Home/Neutral]],pace_lookup,7,FALSE)</f>
        <v>93.8</v>
      </c>
      <c r="Q1203" s="5">
        <f>VLOOKUP(Table2[[#This Row],[Visitor/Neutral]],pace_lookup,7,FALSE)</f>
        <v>96.7</v>
      </c>
      <c r="R1203" s="9"/>
      <c r="V1203" s="2">
        <f>-home-VLOOKUP(Table2[[#This Row],[Home/Neutral]],rtg_vlookup,4,FALSE)+VLOOKUP(Table2[[#This Row],[Visitor/Neutral]],rtg_vlookup,4,FALSE)</f>
        <v>3.8048815165876695</v>
      </c>
      <c r="W1203" s="25"/>
      <c r="X1203" s="2"/>
      <c r="Y1203" s="2">
        <f>Table2[[#This Row],[Away EV]]-Table2[[#This Row],[Home EV]]</f>
        <v>1.2469653976814499</v>
      </c>
      <c r="Z1203" s="33"/>
      <c r="AA1203" s="34"/>
      <c r="AB1203" s="5" t="b">
        <f>IF(VLOOKUP(Table2[[#This Row],[Home/Neutral]],division_lookup,9,FALSE)=VLOOKUP(Table2[[#This Row],[Visitor/Neutral]],division_lookup,9,FALSE),TRUE,FALSE)</f>
        <v>0</v>
      </c>
      <c r="AC1203" s="19" t="str">
        <f>VLOOKUP(Table2[[#This Row],[Home/Neutral]],division_lookup,9,FALSE)</f>
        <v>P</v>
      </c>
      <c r="AD1203" s="19"/>
      <c r="AE1203" s="19" t="str">
        <f>IF(Table2[[#This Row],[Total EV ®]]&lt;Table2[[#This Row],[Total (V)]],"UNDER","OVER")</f>
        <v>OVER</v>
      </c>
      <c r="AF1203" s="30">
        <f>Table2[[#This Row],[(A) Spread]]-Table2[[#This Row],[Spread (V)]]</f>
        <v>0</v>
      </c>
      <c r="AG1203" s="19"/>
      <c r="AH1203" s="2">
        <f>Table2[[#This Row],[EV]]-Table2[[#This Row],[Spread (V)]]</f>
        <v>1.2469653976814499</v>
      </c>
      <c r="AI1203" s="22">
        <f>Table2[[#This Row],[(A)]]-Table2[[#This Row],[Spread]]</f>
        <v>3.8048815165876695</v>
      </c>
      <c r="AJ1203" s="1">
        <f>Table2[[#This Row],[(A) Err]]^2</f>
        <v>14.477123355270484</v>
      </c>
      <c r="AK1203" s="6">
        <f>Table2[[#This Row],[EV]]-Table2[[#This Row],[Spread]]</f>
        <v>1.2469653976814499</v>
      </c>
      <c r="AL1203" s="1">
        <f>Table2[[#This Row],[EV Err]]^2</f>
        <v>1.5549227030148565</v>
      </c>
    </row>
    <row r="1204" spans="1:38" x14ac:dyDescent="0.25">
      <c r="A1204" t="s">
        <v>201</v>
      </c>
      <c r="B1204" t="s">
        <v>26</v>
      </c>
      <c r="C1204" t="s">
        <v>35</v>
      </c>
      <c r="K1204" s="25">
        <f>(Table2[[#This Row],[Home Pace]]/100)*(VLOOKUP(Table2[[#This Row],[Home/Neutral]],home_lookup,8,FALSE)+VLOOKUP(Table2[[#This Row],[Home/Neutral]],OFR_lookup,2,FALSE)+VLOOKUP(Table2[[#This Row],[Visitor/Neutral]],def_diff_lookup,6,FALSE))</f>
        <v>110.27856358918159</v>
      </c>
      <c r="L1204" s="25"/>
      <c r="M1204" s="25">
        <f>(Table2[[#This Row],[Away Pace]]/100)*(VLOOKUP(Table2[[#This Row],[Visitor/Neutral]],OFR_lookup,2,FALSE)+VLOOKUP(Table2[[#This Row],[Home/Neutral]],def_diff_lookup,6,FALSE))</f>
        <v>107.63772133333335</v>
      </c>
      <c r="N1204" s="25"/>
      <c r="O1204" s="25"/>
      <c r="P1204">
        <f>VLOOKUP(Table2[[#This Row],[Home/Neutral]],pace_lookup,7,FALSE)</f>
        <v>96</v>
      </c>
      <c r="Q1204" s="5">
        <f>VLOOKUP(Table2[[#This Row],[Visitor/Neutral]],pace_lookup,7,FALSE)</f>
        <v>102.2</v>
      </c>
      <c r="R1204" s="9"/>
      <c r="V1204" s="2">
        <f>-home-VLOOKUP(Table2[[#This Row],[Home/Neutral]],rtg_vlookup,4,FALSE)+VLOOKUP(Table2[[#This Row],[Visitor/Neutral]],rtg_vlookup,4,FALSE)</f>
        <v>-8.8151184834123306</v>
      </c>
      <c r="W1204" s="25"/>
      <c r="X1204" s="2"/>
      <c r="Y1204" s="2">
        <f>Table2[[#This Row],[Away EV]]-Table2[[#This Row],[Home EV]]</f>
        <v>-2.6408422558482414</v>
      </c>
      <c r="Z1204" s="33"/>
      <c r="AA1204" s="34"/>
      <c r="AB1204" s="5" t="b">
        <f>IF(VLOOKUP(Table2[[#This Row],[Home/Neutral]],division_lookup,9,FALSE)=VLOOKUP(Table2[[#This Row],[Visitor/Neutral]],division_lookup,9,FALSE),TRUE,FALSE)</f>
        <v>1</v>
      </c>
      <c r="AC1204" s="19" t="str">
        <f>VLOOKUP(Table2[[#This Row],[Home/Neutral]],division_lookup,9,FALSE)</f>
        <v>A</v>
      </c>
      <c r="AD1204" s="19"/>
      <c r="AE1204" s="19" t="str">
        <f>IF(Table2[[#This Row],[Total EV ®]]&lt;Table2[[#This Row],[Total (V)]],"UNDER","OVER")</f>
        <v>OVER</v>
      </c>
      <c r="AF1204" s="30">
        <f>Table2[[#This Row],[(A) Spread]]-Table2[[#This Row],[Spread (V)]]</f>
        <v>0</v>
      </c>
      <c r="AG1204" s="19"/>
      <c r="AH1204" s="2">
        <f>Table2[[#This Row],[EV]]-Table2[[#This Row],[Spread (V)]]</f>
        <v>-2.6408422558482414</v>
      </c>
      <c r="AI1204" s="22">
        <f>Table2[[#This Row],[(A)]]-Table2[[#This Row],[Spread]]</f>
        <v>-8.8151184834123306</v>
      </c>
      <c r="AJ1204" s="1">
        <f>Table2[[#This Row],[(A) Err]]^2</f>
        <v>77.706313876597704</v>
      </c>
      <c r="AK1204" s="6">
        <f>Table2[[#This Row],[EV]]-Table2[[#This Row],[Spread]]</f>
        <v>-2.6408422558482414</v>
      </c>
      <c r="AL1204" s="1">
        <f>Table2[[#This Row],[EV Err]]^2</f>
        <v>6.9740478202736282</v>
      </c>
    </row>
    <row r="1205" spans="1:38" x14ac:dyDescent="0.25">
      <c r="A1205" t="s">
        <v>201</v>
      </c>
      <c r="B1205" t="s">
        <v>13</v>
      </c>
      <c r="C1205" t="s">
        <v>38</v>
      </c>
      <c r="K1205" s="25">
        <f>(Table2[[#This Row],[Home Pace]]/100)*(VLOOKUP(Table2[[#This Row],[Home/Neutral]],home_lookup,8,FALSE)+VLOOKUP(Table2[[#This Row],[Home/Neutral]],OFR_lookup,2,FALSE)+VLOOKUP(Table2[[#This Row],[Visitor/Neutral]],def_diff_lookup,6,FALSE))</f>
        <v>106.44109108450401</v>
      </c>
      <c r="L1205" s="25"/>
      <c r="M1205" s="25">
        <f>(Table2[[#This Row],[Away Pace]]/100)*(VLOOKUP(Table2[[#This Row],[Visitor/Neutral]],OFR_lookup,2,FALSE)+VLOOKUP(Table2[[#This Row],[Home/Neutral]],def_diff_lookup,6,FALSE))</f>
        <v>92.363728000000023</v>
      </c>
      <c r="N1205" s="25"/>
      <c r="O1205" s="25"/>
      <c r="P1205">
        <f>VLOOKUP(Table2[[#This Row],[Home/Neutral]],pace_lookup,7,FALSE)</f>
        <v>94.5</v>
      </c>
      <c r="Q1205" s="5">
        <f>VLOOKUP(Table2[[#This Row],[Visitor/Neutral]],pace_lookup,7,FALSE)</f>
        <v>94.2</v>
      </c>
      <c r="R1205" s="9"/>
      <c r="V1205" s="2">
        <f>-home-VLOOKUP(Table2[[#This Row],[Home/Neutral]],rtg_vlookup,4,FALSE)+VLOOKUP(Table2[[#This Row],[Visitor/Neutral]],rtg_vlookup,4,FALSE)</f>
        <v>-17.055118483412329</v>
      </c>
      <c r="W1205" s="25"/>
      <c r="X1205" s="2"/>
      <c r="Y1205" s="2">
        <f>Table2[[#This Row],[Away EV]]-Table2[[#This Row],[Home EV]]</f>
        <v>-14.077363084503986</v>
      </c>
      <c r="Z1205" s="33"/>
      <c r="AA1205" s="34"/>
      <c r="AB1205" s="5" t="b">
        <f>IF(VLOOKUP(Table2[[#This Row],[Home/Neutral]],division_lookup,9,FALSE)=VLOOKUP(Table2[[#This Row],[Visitor/Neutral]],division_lookup,9,FALSE),TRUE,FALSE)</f>
        <v>0</v>
      </c>
      <c r="AC1205" s="19" t="str">
        <f>VLOOKUP(Table2[[#This Row],[Home/Neutral]],division_lookup,9,FALSE)</f>
        <v>C</v>
      </c>
      <c r="AD1205" s="19"/>
      <c r="AE1205" s="19" t="str">
        <f>IF(Table2[[#This Row],[Total EV ®]]&lt;Table2[[#This Row],[Total (V)]],"UNDER","OVER")</f>
        <v>OVER</v>
      </c>
      <c r="AF1205" s="30">
        <f>Table2[[#This Row],[(A) Spread]]-Table2[[#This Row],[Spread (V)]]</f>
        <v>0</v>
      </c>
      <c r="AG1205" s="19"/>
      <c r="AH1205" s="2">
        <f>Table2[[#This Row],[EV]]-Table2[[#This Row],[Spread (V)]]</f>
        <v>-14.077363084503986</v>
      </c>
      <c r="AI1205" s="22">
        <f>Table2[[#This Row],[(A)]]-Table2[[#This Row],[Spread]]</f>
        <v>-17.055118483412329</v>
      </c>
      <c r="AJ1205" s="1">
        <f>Table2[[#This Row],[(A) Err]]^2</f>
        <v>290.87706648323285</v>
      </c>
      <c r="AK1205" s="6">
        <f>Table2[[#This Row],[EV]]-Table2[[#This Row],[Spread]]</f>
        <v>-14.077363084503986</v>
      </c>
      <c r="AL1205" s="1">
        <f>Table2[[#This Row],[EV Err]]^2</f>
        <v>198.17215141295557</v>
      </c>
    </row>
    <row r="1206" spans="1:38" x14ac:dyDescent="0.25">
      <c r="A1206" t="s">
        <v>201</v>
      </c>
      <c r="B1206" t="s">
        <v>25</v>
      </c>
      <c r="C1206" t="s">
        <v>28</v>
      </c>
      <c r="K1206" s="25">
        <f>(Table2[[#This Row],[Home Pace]]/100)*(VLOOKUP(Table2[[#This Row],[Home/Neutral]],home_lookup,8,FALSE)+VLOOKUP(Table2[[#This Row],[Home/Neutral]],OFR_lookup,2,FALSE)+VLOOKUP(Table2[[#This Row],[Visitor/Neutral]],def_diff_lookup,6,FALSE))</f>
        <v>106.08526444427257</v>
      </c>
      <c r="L1206" s="25"/>
      <c r="M1206" s="25">
        <f>(Table2[[#This Row],[Away Pace]]/100)*(VLOOKUP(Table2[[#This Row],[Visitor/Neutral]],OFR_lookup,2,FALSE)+VLOOKUP(Table2[[#This Row],[Home/Neutral]],def_diff_lookup,6,FALSE))</f>
        <v>99.854112000000001</v>
      </c>
      <c r="N1206" s="25"/>
      <c r="O1206" s="25"/>
      <c r="P1206">
        <f>VLOOKUP(Table2[[#This Row],[Home/Neutral]],pace_lookup,7,FALSE)</f>
        <v>94.4</v>
      </c>
      <c r="Q1206" s="5">
        <f>VLOOKUP(Table2[[#This Row],[Visitor/Neutral]],pace_lookup,7,FALSE)</f>
        <v>96.3</v>
      </c>
      <c r="R1206" s="9"/>
      <c r="V1206" s="2">
        <f>-home-VLOOKUP(Table2[[#This Row],[Home/Neutral]],rtg_vlookup,4,FALSE)+VLOOKUP(Table2[[#This Row],[Visitor/Neutral]],rtg_vlookup,4,FALSE)</f>
        <v>-4.6251184834123311</v>
      </c>
      <c r="W1206" s="25"/>
      <c r="X1206" s="2"/>
      <c r="Y1206" s="2">
        <f>Table2[[#This Row],[Away EV]]-Table2[[#This Row],[Home EV]]</f>
        <v>-6.231152444272567</v>
      </c>
      <c r="Z1206" s="33"/>
      <c r="AA1206" s="34"/>
      <c r="AB1206" s="5" t="b">
        <f>IF(VLOOKUP(Table2[[#This Row],[Home/Neutral]],division_lookup,9,FALSE)=VLOOKUP(Table2[[#This Row],[Visitor/Neutral]],division_lookup,9,FALSE),TRUE,FALSE)</f>
        <v>0</v>
      </c>
      <c r="AC1206" s="19" t="str">
        <f>VLOOKUP(Table2[[#This Row],[Home/Neutral]],division_lookup,9,FALSE)</f>
        <v>C</v>
      </c>
      <c r="AD1206" s="19"/>
      <c r="AE1206" s="19" t="str">
        <f>IF(Table2[[#This Row],[Total EV ®]]&lt;Table2[[#This Row],[Total (V)]],"UNDER","OVER")</f>
        <v>OVER</v>
      </c>
      <c r="AF1206" s="30">
        <f>Table2[[#This Row],[(A) Spread]]-Table2[[#This Row],[Spread (V)]]</f>
        <v>0</v>
      </c>
      <c r="AG1206" s="19"/>
      <c r="AH1206" s="2">
        <f>Table2[[#This Row],[EV]]-Table2[[#This Row],[Spread (V)]]</f>
        <v>-6.231152444272567</v>
      </c>
      <c r="AI1206" s="22">
        <f>Table2[[#This Row],[(A)]]-Table2[[#This Row],[Spread]]</f>
        <v>-4.6251184834123311</v>
      </c>
      <c r="AJ1206" s="1">
        <f>Table2[[#This Row],[(A) Err]]^2</f>
        <v>21.391720985602383</v>
      </c>
      <c r="AK1206" s="6">
        <f>Table2[[#This Row],[EV]]-Table2[[#This Row],[Spread]]</f>
        <v>-6.231152444272567</v>
      </c>
      <c r="AL1206" s="1">
        <f>Table2[[#This Row],[EV Err]]^2</f>
        <v>38.827260783763982</v>
      </c>
    </row>
    <row r="1207" spans="1:38" x14ac:dyDescent="0.25">
      <c r="A1207" t="s">
        <v>201</v>
      </c>
      <c r="B1207" t="s">
        <v>10</v>
      </c>
      <c r="C1207" t="s">
        <v>20</v>
      </c>
      <c r="K1207" s="25">
        <f>(Table2[[#This Row],[Home Pace]]/100)*(VLOOKUP(Table2[[#This Row],[Home/Neutral]],home_lookup,8,FALSE)+VLOOKUP(Table2[[#This Row],[Home/Neutral]],OFR_lookup,2,FALSE)+VLOOKUP(Table2[[#This Row],[Visitor/Neutral]],def_diff_lookup,6,FALSE))</f>
        <v>105.73195853790561</v>
      </c>
      <c r="L1207" s="25"/>
      <c r="M1207" s="25">
        <f>(Table2[[#This Row],[Away Pace]]/100)*(VLOOKUP(Table2[[#This Row],[Visitor/Neutral]],OFR_lookup,2,FALSE)+VLOOKUP(Table2[[#This Row],[Home/Neutral]],def_diff_lookup,6,FALSE))</f>
        <v>98.32713600000001</v>
      </c>
      <c r="N1207" s="25"/>
      <c r="O1207" s="25"/>
      <c r="P1207">
        <f>VLOOKUP(Table2[[#This Row],[Home/Neutral]],pace_lookup,7,FALSE)</f>
        <v>100.3</v>
      </c>
      <c r="Q1207" s="5">
        <f>VLOOKUP(Table2[[#This Row],[Visitor/Neutral]],pace_lookup,7,FALSE)</f>
        <v>90.9</v>
      </c>
      <c r="R1207" s="9"/>
      <c r="V1207" s="2">
        <f>-home-VLOOKUP(Table2[[#This Row],[Home/Neutral]],rtg_vlookup,4,FALSE)+VLOOKUP(Table2[[#This Row],[Visitor/Neutral]],rtg_vlookup,4,FALSE)</f>
        <v>-9.465118483412331</v>
      </c>
      <c r="W1207" s="25"/>
      <c r="X1207" s="2"/>
      <c r="Y1207" s="2">
        <f>Table2[[#This Row],[Away EV]]-Table2[[#This Row],[Home EV]]</f>
        <v>-7.4048225379056021</v>
      </c>
      <c r="Z1207" s="33"/>
      <c r="AA1207" s="34"/>
      <c r="AB1207" s="5" t="b">
        <f>IF(VLOOKUP(Table2[[#This Row],[Home/Neutral]],division_lookup,9,FALSE)=VLOOKUP(Table2[[#This Row],[Visitor/Neutral]],division_lookup,9,FALSE),TRUE,FALSE)</f>
        <v>0</v>
      </c>
      <c r="AC1207" s="19" t="str">
        <f>VLOOKUP(Table2[[#This Row],[Home/Neutral]],division_lookup,9,FALSE)</f>
        <v>P</v>
      </c>
      <c r="AD1207" s="19"/>
      <c r="AE1207" s="19" t="str">
        <f>IF(Table2[[#This Row],[Total EV ®]]&lt;Table2[[#This Row],[Total (V)]],"UNDER","OVER")</f>
        <v>OVER</v>
      </c>
      <c r="AF1207" s="30">
        <f>Table2[[#This Row],[(A) Spread]]-Table2[[#This Row],[Spread (V)]]</f>
        <v>0</v>
      </c>
      <c r="AG1207" s="19"/>
      <c r="AH1207" s="2">
        <f>Table2[[#This Row],[EV]]-Table2[[#This Row],[Spread (V)]]</f>
        <v>-7.4048225379056021</v>
      </c>
      <c r="AI1207" s="22">
        <f>Table2[[#This Row],[(A)]]-Table2[[#This Row],[Spread]]</f>
        <v>-9.465118483412331</v>
      </c>
      <c r="AJ1207" s="1">
        <f>Table2[[#This Row],[(A) Err]]^2</f>
        <v>89.588467905033738</v>
      </c>
      <c r="AK1207" s="6">
        <f>Table2[[#This Row],[EV]]-Table2[[#This Row],[Spread]]</f>
        <v>-7.4048225379056021</v>
      </c>
      <c r="AL1207" s="1">
        <f>Table2[[#This Row],[EV Err]]^2</f>
        <v>54.831396817874761</v>
      </c>
    </row>
    <row r="1208" spans="1:38" x14ac:dyDescent="0.25">
      <c r="A1208" t="s">
        <v>201</v>
      </c>
      <c r="B1208" t="s">
        <v>4</v>
      </c>
      <c r="C1208" t="s">
        <v>17</v>
      </c>
      <c r="K1208" s="25">
        <f>(Table2[[#This Row],[Home Pace]]/100)*(VLOOKUP(Table2[[#This Row],[Home/Neutral]],home_lookup,8,FALSE)+VLOOKUP(Table2[[#This Row],[Home/Neutral]],OFR_lookup,2,FALSE)+VLOOKUP(Table2[[#This Row],[Visitor/Neutral]],def_diff_lookup,6,FALSE))</f>
        <v>105.47922781393446</v>
      </c>
      <c r="L1208" s="25"/>
      <c r="M1208" s="25">
        <f>(Table2[[#This Row],[Away Pace]]/100)*(VLOOKUP(Table2[[#This Row],[Visitor/Neutral]],OFR_lookup,2,FALSE)+VLOOKUP(Table2[[#This Row],[Home/Neutral]],def_diff_lookup,6,FALSE))</f>
        <v>104.18522466666668</v>
      </c>
      <c r="N1208" s="25"/>
      <c r="O1208" s="25"/>
      <c r="P1208">
        <f>VLOOKUP(Table2[[#This Row],[Home/Neutral]],pace_lookup,7,FALSE)</f>
        <v>96.6</v>
      </c>
      <c r="Q1208" s="5">
        <f>VLOOKUP(Table2[[#This Row],[Visitor/Neutral]],pace_lookup,7,FALSE)</f>
        <v>96.7</v>
      </c>
      <c r="R1208" s="9"/>
      <c r="V1208" s="2">
        <f>-home-VLOOKUP(Table2[[#This Row],[Home/Neutral]],rtg_vlookup,4,FALSE)+VLOOKUP(Table2[[#This Row],[Visitor/Neutral]],rtg_vlookup,4,FALSE)</f>
        <v>-13.125118483412331</v>
      </c>
      <c r="W1208" s="25"/>
      <c r="X1208" s="2"/>
      <c r="Y1208" s="2">
        <f>Table2[[#This Row],[Away EV]]-Table2[[#This Row],[Home EV]]</f>
        <v>-1.2940031472677731</v>
      </c>
      <c r="Z1208" s="33"/>
      <c r="AA1208" s="34"/>
      <c r="AB1208" s="5" t="b">
        <f>IF(VLOOKUP(Table2[[#This Row],[Home/Neutral]],division_lookup,9,FALSE)=VLOOKUP(Table2[[#This Row],[Visitor/Neutral]],division_lookup,9,FALSE),TRUE,FALSE)</f>
        <v>0</v>
      </c>
      <c r="AC1208" s="19" t="str">
        <f>VLOOKUP(Table2[[#This Row],[Home/Neutral]],division_lookup,9,FALSE)</f>
        <v>P</v>
      </c>
      <c r="AD1208" s="19"/>
      <c r="AE1208" s="19" t="str">
        <f>IF(Table2[[#This Row],[Total EV ®]]&lt;Table2[[#This Row],[Total (V)]],"UNDER","OVER")</f>
        <v>OVER</v>
      </c>
      <c r="AF1208" s="30">
        <f>Table2[[#This Row],[(A) Spread]]-Table2[[#This Row],[Spread (V)]]</f>
        <v>0</v>
      </c>
      <c r="AG1208" s="19"/>
      <c r="AH1208" s="2">
        <f>Table2[[#This Row],[EV]]-Table2[[#This Row],[Spread (V)]]</f>
        <v>-1.2940031472677731</v>
      </c>
      <c r="AI1208" s="22">
        <f>Table2[[#This Row],[(A)]]-Table2[[#This Row],[Spread]]</f>
        <v>-13.125118483412331</v>
      </c>
      <c r="AJ1208" s="1">
        <f>Table2[[#This Row],[(A) Err]]^2</f>
        <v>172.26873520361201</v>
      </c>
      <c r="AK1208" s="6">
        <f>Table2[[#This Row],[EV]]-Table2[[#This Row],[Spread]]</f>
        <v>-1.2940031472677731</v>
      </c>
      <c r="AL1208" s="1">
        <f>Table2[[#This Row],[EV Err]]^2</f>
        <v>1.6744441451389021</v>
      </c>
    </row>
    <row r="1209" spans="1:38" x14ac:dyDescent="0.25">
      <c r="A1209" t="s">
        <v>201</v>
      </c>
      <c r="B1209" t="s">
        <v>21</v>
      </c>
      <c r="C1209" t="s">
        <v>8</v>
      </c>
      <c r="K1209" s="25">
        <f>(Table2[[#This Row],[Home Pace]]/100)*(VLOOKUP(Table2[[#This Row],[Home/Neutral]],home_lookup,8,FALSE)+VLOOKUP(Table2[[#This Row],[Home/Neutral]],OFR_lookup,2,FALSE)+VLOOKUP(Table2[[#This Row],[Visitor/Neutral]],def_diff_lookup,6,FALSE))</f>
        <v>99.622871175243901</v>
      </c>
      <c r="L1209" s="25"/>
      <c r="M1209" s="25">
        <f>(Table2[[#This Row],[Away Pace]]/100)*(VLOOKUP(Table2[[#This Row],[Visitor/Neutral]],OFR_lookup,2,FALSE)+VLOOKUP(Table2[[#This Row],[Home/Neutral]],def_diff_lookup,6,FALSE))</f>
        <v>104.41288800000001</v>
      </c>
      <c r="N1209" s="25"/>
      <c r="O1209" s="25"/>
      <c r="P1209">
        <f>VLOOKUP(Table2[[#This Row],[Home/Neutral]],pace_lookup,7,FALSE)</f>
        <v>94.2</v>
      </c>
      <c r="Q1209" s="5">
        <f>VLOOKUP(Table2[[#This Row],[Visitor/Neutral]],pace_lookup,7,FALSE)</f>
        <v>97.2</v>
      </c>
      <c r="R1209" s="9"/>
      <c r="V1209" s="2">
        <f>-home-VLOOKUP(Table2[[#This Row],[Home/Neutral]],rtg_vlookup,4,FALSE)+VLOOKUP(Table2[[#This Row],[Visitor/Neutral]],rtg_vlookup,4,FALSE)</f>
        <v>4.2248815165876694</v>
      </c>
      <c r="W1209" s="25"/>
      <c r="X1209" s="2"/>
      <c r="Y1209" s="2">
        <f>Table2[[#This Row],[Away EV]]-Table2[[#This Row],[Home EV]]</f>
        <v>4.7900168247561083</v>
      </c>
      <c r="Z1209" s="33"/>
      <c r="AA1209" s="34"/>
      <c r="AB1209" s="5" t="b">
        <f>IF(VLOOKUP(Table2[[#This Row],[Home/Neutral]],division_lookup,9,FALSE)=VLOOKUP(Table2[[#This Row],[Visitor/Neutral]],division_lookup,9,FALSE),TRUE,FALSE)</f>
        <v>0</v>
      </c>
      <c r="AC1209" s="19" t="str">
        <f>VLOOKUP(Table2[[#This Row],[Home/Neutral]],division_lookup,9,FALSE)</f>
        <v>SE</v>
      </c>
      <c r="AD1209" s="19"/>
      <c r="AE1209" s="19" t="str">
        <f>IF(Table2[[#This Row],[Total EV ®]]&lt;Table2[[#This Row],[Total (V)]],"UNDER","OVER")</f>
        <v>OVER</v>
      </c>
      <c r="AF1209" s="30">
        <f>Table2[[#This Row],[(A) Spread]]-Table2[[#This Row],[Spread (V)]]</f>
        <v>0</v>
      </c>
      <c r="AG1209" s="19"/>
      <c r="AH1209" s="2">
        <f>Table2[[#This Row],[EV]]-Table2[[#This Row],[Spread (V)]]</f>
        <v>4.7900168247561083</v>
      </c>
      <c r="AI1209" s="22">
        <f>Table2[[#This Row],[(A)]]-Table2[[#This Row],[Spread]]</f>
        <v>4.2248815165876694</v>
      </c>
      <c r="AJ1209" s="1">
        <f>Table2[[#This Row],[(A) Err]]^2</f>
        <v>17.849623829204127</v>
      </c>
      <c r="AK1209" s="6">
        <f>Table2[[#This Row],[EV]]-Table2[[#This Row],[Spread]]</f>
        <v>4.7900168247561083</v>
      </c>
      <c r="AL1209" s="1">
        <f>Table2[[#This Row],[EV Err]]^2</f>
        <v>22.944261181446592</v>
      </c>
    </row>
    <row r="1210" spans="1:38" x14ac:dyDescent="0.25">
      <c r="A1210" t="s">
        <v>201</v>
      </c>
      <c r="B1210" t="s">
        <v>30</v>
      </c>
      <c r="C1210" t="s">
        <v>16</v>
      </c>
      <c r="K1210" s="25">
        <f>(Table2[[#This Row],[Home Pace]]/100)*(VLOOKUP(Table2[[#This Row],[Home/Neutral]],home_lookup,8,FALSE)+VLOOKUP(Table2[[#This Row],[Home/Neutral]],OFR_lookup,2,FALSE)+VLOOKUP(Table2[[#This Row],[Visitor/Neutral]],def_diff_lookup,6,FALSE))</f>
        <v>106.39896034993644</v>
      </c>
      <c r="L1210" s="25"/>
      <c r="M1210" s="25">
        <f>(Table2[[#This Row],[Away Pace]]/100)*(VLOOKUP(Table2[[#This Row],[Visitor/Neutral]],OFR_lookup,2,FALSE)+VLOOKUP(Table2[[#This Row],[Home/Neutral]],def_diff_lookup,6,FALSE))</f>
        <v>106.36340000000001</v>
      </c>
      <c r="N1210" s="25"/>
      <c r="O1210" s="25"/>
      <c r="P1210">
        <f>VLOOKUP(Table2[[#This Row],[Home/Neutral]],pace_lookup,7,FALSE)</f>
        <v>96.8</v>
      </c>
      <c r="Q1210" s="5">
        <f>VLOOKUP(Table2[[#This Row],[Visitor/Neutral]],pace_lookup,7,FALSE)</f>
        <v>97.5</v>
      </c>
      <c r="R1210" s="9"/>
      <c r="V1210" s="2">
        <f>-home-VLOOKUP(Table2[[#This Row],[Home/Neutral]],rtg_vlookup,4,FALSE)+VLOOKUP(Table2[[#This Row],[Visitor/Neutral]],rtg_vlookup,4,FALSE)</f>
        <v>2.4048815165876691</v>
      </c>
      <c r="W1210" s="25"/>
      <c r="X1210" s="2"/>
      <c r="Y1210" s="2">
        <f>Table2[[#This Row],[Away EV]]-Table2[[#This Row],[Home EV]]</f>
        <v>-3.556034993643209E-2</v>
      </c>
      <c r="Z1210" s="33"/>
      <c r="AA1210" s="34"/>
      <c r="AB1210" s="5" t="b">
        <f>IF(VLOOKUP(Table2[[#This Row],[Home/Neutral]],division_lookup,9,FALSE)=VLOOKUP(Table2[[#This Row],[Visitor/Neutral]],division_lookup,9,FALSE),TRUE,FALSE)</f>
        <v>0</v>
      </c>
      <c r="AC1210" s="19" t="str">
        <f>VLOOKUP(Table2[[#This Row],[Home/Neutral]],division_lookup,9,FALSE)</f>
        <v>C</v>
      </c>
      <c r="AD1210" s="19"/>
      <c r="AE1210" s="19" t="str">
        <f>IF(Table2[[#This Row],[Total EV ®]]&lt;Table2[[#This Row],[Total (V)]],"UNDER","OVER")</f>
        <v>OVER</v>
      </c>
      <c r="AF1210" s="30">
        <f>Table2[[#This Row],[(A) Spread]]-Table2[[#This Row],[Spread (V)]]</f>
        <v>0</v>
      </c>
      <c r="AG1210" s="19"/>
      <c r="AH1210" s="2">
        <f>Table2[[#This Row],[EV]]-Table2[[#This Row],[Spread (V)]]</f>
        <v>-3.556034993643209E-2</v>
      </c>
      <c r="AI1210" s="22">
        <f>Table2[[#This Row],[(A)]]-Table2[[#This Row],[Spread]]</f>
        <v>2.4048815165876691</v>
      </c>
      <c r="AJ1210" s="1">
        <f>Table2[[#This Row],[(A) Err]]^2</f>
        <v>5.7834551088250077</v>
      </c>
      <c r="AK1210" s="6">
        <f>Table2[[#This Row],[EV]]-Table2[[#This Row],[Spread]]</f>
        <v>-3.556034993643209E-2</v>
      </c>
      <c r="AL1210" s="1">
        <f>Table2[[#This Row],[EV Err]]^2</f>
        <v>1.2645384876015058E-3</v>
      </c>
    </row>
    <row r="1211" spans="1:38" x14ac:dyDescent="0.25">
      <c r="A1211" t="s">
        <v>201</v>
      </c>
      <c r="B1211" t="s">
        <v>39</v>
      </c>
      <c r="C1211" t="s">
        <v>33</v>
      </c>
      <c r="K1211" s="25">
        <f>(Table2[[#This Row],[Home Pace]]/100)*(VLOOKUP(Table2[[#This Row],[Home/Neutral]],home_lookup,8,FALSE)+VLOOKUP(Table2[[#This Row],[Home/Neutral]],OFR_lookup,2,FALSE)+VLOOKUP(Table2[[#This Row],[Visitor/Neutral]],def_diff_lookup,6,FALSE))</f>
        <v>109.75577211468578</v>
      </c>
      <c r="L1211" s="25"/>
      <c r="M1211" s="25">
        <f>(Table2[[#This Row],[Away Pace]]/100)*(VLOOKUP(Table2[[#This Row],[Visitor/Neutral]],OFR_lookup,2,FALSE)+VLOOKUP(Table2[[#This Row],[Home/Neutral]],def_diff_lookup,6,FALSE))</f>
        <v>104.65239466666667</v>
      </c>
      <c r="N1211" s="25"/>
      <c r="O1211" s="25"/>
      <c r="P1211">
        <f>VLOOKUP(Table2[[#This Row],[Home/Neutral]],pace_lookup,7,FALSE)</f>
        <v>97.5</v>
      </c>
      <c r="Q1211" s="5">
        <f>VLOOKUP(Table2[[#This Row],[Visitor/Neutral]],pace_lookup,7,FALSE)</f>
        <v>98.2</v>
      </c>
      <c r="R1211" s="9"/>
      <c r="V1211" s="2">
        <f>-home-VLOOKUP(Table2[[#This Row],[Home/Neutral]],rtg_vlookup,4,FALSE)+VLOOKUP(Table2[[#This Row],[Visitor/Neutral]],rtg_vlookup,4,FALSE)</f>
        <v>1.3048815165876686</v>
      </c>
      <c r="W1211" s="25"/>
      <c r="X1211" s="2"/>
      <c r="Y1211" s="2">
        <f>Table2[[#This Row],[Away EV]]-Table2[[#This Row],[Home EV]]</f>
        <v>-5.103377448019117</v>
      </c>
      <c r="Z1211" s="33"/>
      <c r="AA1211" s="34"/>
      <c r="AB1211" s="5" t="b">
        <f>IF(VLOOKUP(Table2[[#This Row],[Home/Neutral]],division_lookup,9,FALSE)=VLOOKUP(Table2[[#This Row],[Visitor/Neutral]],division_lookup,9,FALSE),TRUE,FALSE)</f>
        <v>0</v>
      </c>
      <c r="AC1211" s="19" t="str">
        <f>VLOOKUP(Table2[[#This Row],[Home/Neutral]],division_lookup,9,FALSE)</f>
        <v>A</v>
      </c>
      <c r="AD1211" s="19"/>
      <c r="AE1211" s="19" t="str">
        <f>IF(Table2[[#This Row],[Total EV ®]]&lt;Table2[[#This Row],[Total (V)]],"UNDER","OVER")</f>
        <v>OVER</v>
      </c>
      <c r="AF1211" s="30">
        <f>Table2[[#This Row],[(A) Spread]]-Table2[[#This Row],[Spread (V)]]</f>
        <v>0</v>
      </c>
      <c r="AG1211" s="19"/>
      <c r="AH1211" s="2">
        <f>Table2[[#This Row],[EV]]-Table2[[#This Row],[Spread (V)]]</f>
        <v>-5.103377448019117</v>
      </c>
      <c r="AI1211" s="22">
        <f>Table2[[#This Row],[(A)]]-Table2[[#This Row],[Spread]]</f>
        <v>1.3048815165876686</v>
      </c>
      <c r="AJ1211" s="1">
        <f>Table2[[#This Row],[(A) Err]]^2</f>
        <v>1.702715772332134</v>
      </c>
      <c r="AK1211" s="6">
        <f>Table2[[#This Row],[EV]]-Table2[[#This Row],[Spread]]</f>
        <v>-5.103377448019117</v>
      </c>
      <c r="AL1211" s="1">
        <f>Table2[[#This Row],[EV Err]]^2</f>
        <v>26.044461376950114</v>
      </c>
    </row>
    <row r="1212" spans="1:38" x14ac:dyDescent="0.25">
      <c r="A1212" t="s">
        <v>201</v>
      </c>
      <c r="B1212" t="s">
        <v>32</v>
      </c>
      <c r="C1212" t="s">
        <v>6</v>
      </c>
      <c r="K1212" s="25">
        <f>(Table2[[#This Row],[Home Pace]]/100)*(VLOOKUP(Table2[[#This Row],[Home/Neutral]],home_lookup,8,FALSE)+VLOOKUP(Table2[[#This Row],[Home/Neutral]],OFR_lookup,2,FALSE)+VLOOKUP(Table2[[#This Row],[Visitor/Neutral]],def_diff_lookup,6,FALSE))</f>
        <v>106.9504511200184</v>
      </c>
      <c r="L1212" s="25"/>
      <c r="M1212" s="25">
        <f>(Table2[[#This Row],[Away Pace]]/100)*(VLOOKUP(Table2[[#This Row],[Visitor/Neutral]],OFR_lookup,2,FALSE)+VLOOKUP(Table2[[#This Row],[Home/Neutral]],def_diff_lookup,6,FALSE))</f>
        <v>108.06179066666667</v>
      </c>
      <c r="N1212" s="25"/>
      <c r="O1212" s="25"/>
      <c r="P1212">
        <f>VLOOKUP(Table2[[#This Row],[Home/Neutral]],pace_lookup,7,FALSE)</f>
        <v>98.6</v>
      </c>
      <c r="Q1212" s="5">
        <f>VLOOKUP(Table2[[#This Row],[Visitor/Neutral]],pace_lookup,7,FALSE)</f>
        <v>93.1</v>
      </c>
      <c r="R1212" s="9"/>
      <c r="V1212" s="2">
        <f>-home-VLOOKUP(Table2[[#This Row],[Home/Neutral]],rtg_vlookup,4,FALSE)+VLOOKUP(Table2[[#This Row],[Visitor/Neutral]],rtg_vlookup,4,FALSE)</f>
        <v>7.1548815165876691</v>
      </c>
      <c r="W1212" s="25"/>
      <c r="X1212" s="2"/>
      <c r="Y1212" s="2">
        <f>Table2[[#This Row],[Away EV]]-Table2[[#This Row],[Home EV]]</f>
        <v>1.1113395466482672</v>
      </c>
      <c r="Z1212" s="33"/>
      <c r="AA1212" s="34"/>
      <c r="AB1212" s="5" t="b">
        <f>IF(VLOOKUP(Table2[[#This Row],[Home/Neutral]],division_lookup,9,FALSE)=VLOOKUP(Table2[[#This Row],[Visitor/Neutral]],division_lookup,9,FALSE),TRUE,FALSE)</f>
        <v>0</v>
      </c>
      <c r="AC1212" s="19" t="str">
        <f>VLOOKUP(Table2[[#This Row],[Home/Neutral]],division_lookup,9,FALSE)</f>
        <v>NW</v>
      </c>
      <c r="AD1212" s="19"/>
      <c r="AE1212" s="19" t="str">
        <f>IF(Table2[[#This Row],[Total EV ®]]&lt;Table2[[#This Row],[Total (V)]],"UNDER","OVER")</f>
        <v>OVER</v>
      </c>
      <c r="AF1212" s="30">
        <f>Table2[[#This Row],[(A) Spread]]-Table2[[#This Row],[Spread (V)]]</f>
        <v>0</v>
      </c>
      <c r="AG1212" s="19"/>
      <c r="AH1212" s="2">
        <f>Table2[[#This Row],[EV]]-Table2[[#This Row],[Spread (V)]]</f>
        <v>1.1113395466482672</v>
      </c>
      <c r="AI1212" s="22">
        <f>Table2[[#This Row],[(A)]]-Table2[[#This Row],[Spread]]</f>
        <v>7.1548815165876691</v>
      </c>
      <c r="AJ1212" s="1">
        <f>Table2[[#This Row],[(A) Err]]^2</f>
        <v>51.192329516407867</v>
      </c>
      <c r="AK1212" s="6">
        <f>Table2[[#This Row],[EV]]-Table2[[#This Row],[Spread]]</f>
        <v>1.1113395466482672</v>
      </c>
      <c r="AL1212" s="1">
        <f>Table2[[#This Row],[EV Err]]^2</f>
        <v>1.235075587944376</v>
      </c>
    </row>
    <row r="1213" spans="1:38" x14ac:dyDescent="0.25">
      <c r="A1213" t="s">
        <v>202</v>
      </c>
      <c r="B1213" t="s">
        <v>11</v>
      </c>
      <c r="C1213" t="s">
        <v>16</v>
      </c>
      <c r="K1213" s="25">
        <f>(Table2[[#This Row],[Home Pace]]/100)*(VLOOKUP(Table2[[#This Row],[Home/Neutral]],home_lookup,8,FALSE)+VLOOKUP(Table2[[#This Row],[Home/Neutral]],OFR_lookup,2,FALSE)+VLOOKUP(Table2[[#This Row],[Visitor/Neutral]],def_diff_lookup,6,FALSE))</f>
        <v>96.745689044072819</v>
      </c>
      <c r="L1213" s="25"/>
      <c r="M1213" s="25">
        <f>(Table2[[#This Row],[Away Pace]]/100)*(VLOOKUP(Table2[[#This Row],[Visitor/Neutral]],OFR_lookup,2,FALSE)+VLOOKUP(Table2[[#This Row],[Home/Neutral]],def_diff_lookup,6,FALSE))</f>
        <v>96.876649999999998</v>
      </c>
      <c r="N1213" s="25"/>
      <c r="O1213" s="25"/>
      <c r="P1213">
        <f>VLOOKUP(Table2[[#This Row],[Home/Neutral]],pace_lookup,7,FALSE)</f>
        <v>99.7</v>
      </c>
      <c r="Q1213" s="5">
        <f>VLOOKUP(Table2[[#This Row],[Visitor/Neutral]],pace_lookup,7,FALSE)</f>
        <v>97.5</v>
      </c>
      <c r="R1213" s="9"/>
      <c r="V1213" s="2">
        <f>-home-VLOOKUP(Table2[[#This Row],[Home/Neutral]],rtg_vlookup,4,FALSE)+VLOOKUP(Table2[[#This Row],[Visitor/Neutral]],rtg_vlookup,4,FALSE)</f>
        <v>-6.4251184834123309</v>
      </c>
      <c r="W1213" s="25"/>
      <c r="X1213" s="2"/>
      <c r="Y1213" s="2">
        <f>Table2[[#This Row],[Away EV]]-Table2[[#This Row],[Home EV]]</f>
        <v>0.13096095592717916</v>
      </c>
      <c r="Z1213" s="33"/>
      <c r="AA1213" s="34"/>
      <c r="AB1213" s="5" t="b">
        <f>IF(VLOOKUP(Table2[[#This Row],[Home/Neutral]],division_lookup,9,FALSE)=VLOOKUP(Table2[[#This Row],[Visitor/Neutral]],division_lookup,9,FALSE),TRUE,FALSE)</f>
        <v>1</v>
      </c>
      <c r="AC1213" s="19" t="str">
        <f>VLOOKUP(Table2[[#This Row],[Home/Neutral]],division_lookup,9,FALSE)</f>
        <v>SE</v>
      </c>
      <c r="AD1213" s="19"/>
      <c r="AE1213" s="19" t="str">
        <f>IF(Table2[[#This Row],[Total EV ®]]&lt;Table2[[#This Row],[Total (V)]],"UNDER","OVER")</f>
        <v>OVER</v>
      </c>
      <c r="AF1213" s="30">
        <f>Table2[[#This Row],[(A) Spread]]-Table2[[#This Row],[Spread (V)]]</f>
        <v>0</v>
      </c>
      <c r="AG1213" s="19"/>
      <c r="AH1213" s="2">
        <f>Table2[[#This Row],[EV]]-Table2[[#This Row],[Spread (V)]]</f>
        <v>0.13096095592717916</v>
      </c>
      <c r="AI1213" s="22">
        <f>Table2[[#This Row],[(A)]]-Table2[[#This Row],[Spread]]</f>
        <v>-6.4251184834123309</v>
      </c>
      <c r="AJ1213" s="1">
        <f>Table2[[#This Row],[(A) Err]]^2</f>
        <v>41.282147525886771</v>
      </c>
      <c r="AK1213" s="6">
        <f>Table2[[#This Row],[EV]]-Table2[[#This Row],[Spread]]</f>
        <v>0.13096095592717916</v>
      </c>
      <c r="AL1213" s="1">
        <f>Table2[[#This Row],[EV Err]]^2</f>
        <v>1.7150771977360563E-2</v>
      </c>
    </row>
    <row r="1214" spans="1:38" x14ac:dyDescent="0.25">
      <c r="A1214" t="s">
        <v>202</v>
      </c>
      <c r="B1214" t="s">
        <v>37</v>
      </c>
      <c r="C1214" t="s">
        <v>27</v>
      </c>
      <c r="K1214" s="25">
        <f>(Table2[[#This Row],[Home Pace]]/100)*(VLOOKUP(Table2[[#This Row],[Home/Neutral]],home_lookup,8,FALSE)+VLOOKUP(Table2[[#This Row],[Home/Neutral]],OFR_lookup,2,FALSE)+VLOOKUP(Table2[[#This Row],[Visitor/Neutral]],def_diff_lookup,6,FALSE))</f>
        <v>101.98979809362122</v>
      </c>
      <c r="L1214" s="25"/>
      <c r="M1214" s="25">
        <f>(Table2[[#This Row],[Away Pace]]/100)*(VLOOKUP(Table2[[#This Row],[Visitor/Neutral]],OFR_lookup,2,FALSE)+VLOOKUP(Table2[[#This Row],[Home/Neutral]],def_diff_lookup,6,FALSE))</f>
        <v>101.21826</v>
      </c>
      <c r="N1214" s="25"/>
      <c r="O1214" s="25"/>
      <c r="P1214">
        <f>VLOOKUP(Table2[[#This Row],[Home/Neutral]],pace_lookup,7,FALSE)</f>
        <v>92.1</v>
      </c>
      <c r="Q1214" s="5">
        <f>VLOOKUP(Table2[[#This Row],[Visitor/Neutral]],pace_lookup,7,FALSE)</f>
        <v>99</v>
      </c>
      <c r="R1214" s="9"/>
      <c r="V1214" s="2">
        <f>-home-VLOOKUP(Table2[[#This Row],[Home/Neutral]],rtg_vlookup,4,FALSE)+VLOOKUP(Table2[[#This Row],[Visitor/Neutral]],rtg_vlookup,4,FALSE)</f>
        <v>4.1648815165876698</v>
      </c>
      <c r="W1214" s="25"/>
      <c r="X1214" s="2"/>
      <c r="Y1214" s="2">
        <f>Table2[[#This Row],[Away EV]]-Table2[[#This Row],[Home EV]]</f>
        <v>-0.77153809362121706</v>
      </c>
      <c r="Z1214" s="33"/>
      <c r="AA1214" s="34"/>
      <c r="AB1214" s="5" t="b">
        <f>IF(VLOOKUP(Table2[[#This Row],[Home/Neutral]],division_lookup,9,FALSE)=VLOOKUP(Table2[[#This Row],[Visitor/Neutral]],division_lookup,9,FALSE),TRUE,FALSE)</f>
        <v>0</v>
      </c>
      <c r="AC1214" s="19" t="str">
        <f>VLOOKUP(Table2[[#This Row],[Home/Neutral]],division_lookup,9,FALSE)</f>
        <v>SW</v>
      </c>
      <c r="AD1214" s="19"/>
      <c r="AE1214" s="19" t="str">
        <f>IF(Table2[[#This Row],[Total EV ®]]&lt;Table2[[#This Row],[Total (V)]],"UNDER","OVER")</f>
        <v>OVER</v>
      </c>
      <c r="AF1214" s="30">
        <f>Table2[[#This Row],[(A) Spread]]-Table2[[#This Row],[Spread (V)]]</f>
        <v>0</v>
      </c>
      <c r="AG1214" s="19"/>
      <c r="AH1214" s="2">
        <f>Table2[[#This Row],[EV]]-Table2[[#This Row],[Spread (V)]]</f>
        <v>-0.77153809362121706</v>
      </c>
      <c r="AI1214" s="22">
        <f>Table2[[#This Row],[(A)]]-Table2[[#This Row],[Spread]]</f>
        <v>4.1648815165876698</v>
      </c>
      <c r="AJ1214" s="1">
        <f>Table2[[#This Row],[(A) Err]]^2</f>
        <v>17.346238047213607</v>
      </c>
      <c r="AK1214" s="6">
        <f>Table2[[#This Row],[EV]]-Table2[[#This Row],[Spread]]</f>
        <v>-0.77153809362121706</v>
      </c>
      <c r="AL1214" s="1">
        <f>Table2[[#This Row],[EV Err]]^2</f>
        <v>0.59527102990866188</v>
      </c>
    </row>
    <row r="1215" spans="1:38" x14ac:dyDescent="0.25">
      <c r="A1215" t="s">
        <v>202</v>
      </c>
      <c r="B1215" t="s">
        <v>24</v>
      </c>
      <c r="C1215" t="s">
        <v>34</v>
      </c>
      <c r="K1215" s="25">
        <f>(Table2[[#This Row],[Home Pace]]/100)*(VLOOKUP(Table2[[#This Row],[Home/Neutral]],home_lookup,8,FALSE)+VLOOKUP(Table2[[#This Row],[Home/Neutral]],OFR_lookup,2,FALSE)+VLOOKUP(Table2[[#This Row],[Visitor/Neutral]],def_diff_lookup,6,FALSE))</f>
        <v>108.9267643283094</v>
      </c>
      <c r="L1215" s="25"/>
      <c r="M1215" s="25">
        <f>(Table2[[#This Row],[Away Pace]]/100)*(VLOOKUP(Table2[[#This Row],[Visitor/Neutral]],OFR_lookup,2,FALSE)+VLOOKUP(Table2[[#This Row],[Home/Neutral]],def_diff_lookup,6,FALSE))</f>
        <v>103.72089866666667</v>
      </c>
      <c r="N1215" s="25"/>
      <c r="O1215" s="25"/>
      <c r="P1215">
        <f>VLOOKUP(Table2[[#This Row],[Home/Neutral]],pace_lookup,7,FALSE)</f>
        <v>99.9</v>
      </c>
      <c r="Q1215" s="5">
        <f>VLOOKUP(Table2[[#This Row],[Visitor/Neutral]],pace_lookup,7,FALSE)</f>
        <v>98.8</v>
      </c>
      <c r="R1215" s="9"/>
      <c r="V1215" s="2">
        <f>-home-VLOOKUP(Table2[[#This Row],[Home/Neutral]],rtg_vlookup,4,FALSE)+VLOOKUP(Table2[[#This Row],[Visitor/Neutral]],rtg_vlookup,4,FALSE)</f>
        <v>-8.0151184834123299</v>
      </c>
      <c r="W1215" s="25"/>
      <c r="X1215" s="2"/>
      <c r="Y1215" s="2">
        <f>Table2[[#This Row],[Away EV]]-Table2[[#This Row],[Home EV]]</f>
        <v>-5.2058656616427328</v>
      </c>
      <c r="Z1215" s="33"/>
      <c r="AA1215" s="34"/>
      <c r="AB1215" s="5" t="b">
        <f>IF(VLOOKUP(Table2[[#This Row],[Home/Neutral]],division_lookup,9,FALSE)=VLOOKUP(Table2[[#This Row],[Visitor/Neutral]],division_lookup,9,FALSE),TRUE,FALSE)</f>
        <v>0</v>
      </c>
      <c r="AC1215" s="19" t="str">
        <f>VLOOKUP(Table2[[#This Row],[Home/Neutral]],division_lookup,9,FALSE)</f>
        <v>P</v>
      </c>
      <c r="AD1215" s="19"/>
      <c r="AE1215" s="19" t="str">
        <f>IF(Table2[[#This Row],[Total EV ®]]&lt;Table2[[#This Row],[Total (V)]],"UNDER","OVER")</f>
        <v>OVER</v>
      </c>
      <c r="AF1215" s="30">
        <f>Table2[[#This Row],[(A) Spread]]-Table2[[#This Row],[Spread (V)]]</f>
        <v>0</v>
      </c>
      <c r="AG1215" s="19"/>
      <c r="AH1215" s="2">
        <f>Table2[[#This Row],[EV]]-Table2[[#This Row],[Spread (V)]]</f>
        <v>-5.2058656616427328</v>
      </c>
      <c r="AI1215" s="22">
        <f>Table2[[#This Row],[(A)]]-Table2[[#This Row],[Spread]]</f>
        <v>-8.0151184834123299</v>
      </c>
      <c r="AJ1215" s="1">
        <f>Table2[[#This Row],[(A) Err]]^2</f>
        <v>64.24212430313797</v>
      </c>
      <c r="AK1215" s="6">
        <f>Table2[[#This Row],[EV]]-Table2[[#This Row],[Spread]]</f>
        <v>-5.2058656616427328</v>
      </c>
      <c r="AL1215" s="1">
        <f>Table2[[#This Row],[EV Err]]^2</f>
        <v>27.101037287070927</v>
      </c>
    </row>
    <row r="1216" spans="1:38" x14ac:dyDescent="0.25">
      <c r="A1216" t="s">
        <v>202</v>
      </c>
      <c r="B1216" t="s">
        <v>22</v>
      </c>
      <c r="C1216" t="s">
        <v>18</v>
      </c>
      <c r="K1216" s="25">
        <f>(Table2[[#This Row],[Home Pace]]/100)*(VLOOKUP(Table2[[#This Row],[Home/Neutral]],home_lookup,8,FALSE)+VLOOKUP(Table2[[#This Row],[Home/Neutral]],OFR_lookup,2,FALSE)+VLOOKUP(Table2[[#This Row],[Visitor/Neutral]],def_diff_lookup,6,FALSE))</f>
        <v>106.96694922968976</v>
      </c>
      <c r="L1216" s="25"/>
      <c r="M1216" s="25">
        <f>(Table2[[#This Row],[Away Pace]]/100)*(VLOOKUP(Table2[[#This Row],[Visitor/Neutral]],OFR_lookup,2,FALSE)+VLOOKUP(Table2[[#This Row],[Home/Neutral]],def_diff_lookup,6,FALSE))</f>
        <v>107.94821333333336</v>
      </c>
      <c r="N1216" s="25"/>
      <c r="O1216" s="25"/>
      <c r="P1216">
        <f>VLOOKUP(Table2[[#This Row],[Home/Neutral]],pace_lookup,7,FALSE)</f>
        <v>94.7</v>
      </c>
      <c r="Q1216" s="5">
        <f>VLOOKUP(Table2[[#This Row],[Visitor/Neutral]],pace_lookup,7,FALSE)</f>
        <v>99.5</v>
      </c>
      <c r="R1216" s="9"/>
      <c r="V1216" s="2">
        <f>-home-VLOOKUP(Table2[[#This Row],[Home/Neutral]],rtg_vlookup,4,FALSE)+VLOOKUP(Table2[[#This Row],[Visitor/Neutral]],rtg_vlookup,4,FALSE)</f>
        <v>-1.3051184834123308</v>
      </c>
      <c r="W1216" s="25"/>
      <c r="X1216" s="2"/>
      <c r="Y1216" s="2">
        <f>Table2[[#This Row],[Away EV]]-Table2[[#This Row],[Home EV]]</f>
        <v>0.98126410364359629</v>
      </c>
      <c r="Z1216" s="33"/>
      <c r="AA1216" s="34"/>
      <c r="AB1216" s="5" t="b">
        <f>IF(VLOOKUP(Table2[[#This Row],[Home/Neutral]],division_lookup,9,FALSE)=VLOOKUP(Table2[[#This Row],[Visitor/Neutral]],division_lookup,9,FALSE),TRUE,FALSE)</f>
        <v>1</v>
      </c>
      <c r="AC1216" s="19" t="str">
        <f>VLOOKUP(Table2[[#This Row],[Home/Neutral]],division_lookup,9,FALSE)</f>
        <v>NW</v>
      </c>
      <c r="AD1216" s="19"/>
      <c r="AE1216" s="19" t="str">
        <f>IF(Table2[[#This Row],[Total EV ®]]&lt;Table2[[#This Row],[Total (V)]],"UNDER","OVER")</f>
        <v>OVER</v>
      </c>
      <c r="AF1216" s="30">
        <f>Table2[[#This Row],[(A) Spread]]-Table2[[#This Row],[Spread (V)]]</f>
        <v>0</v>
      </c>
      <c r="AG1216" s="19"/>
      <c r="AH1216" s="2">
        <f>Table2[[#This Row],[EV]]-Table2[[#This Row],[Spread (V)]]</f>
        <v>0.98126410364359629</v>
      </c>
      <c r="AI1216" s="22">
        <f>Table2[[#This Row],[(A)]]-Table2[[#This Row],[Spread]]</f>
        <v>-1.3051184834123308</v>
      </c>
      <c r="AJ1216" s="1">
        <f>Table2[[#This Row],[(A) Err]]^2</f>
        <v>1.7033342557445024</v>
      </c>
      <c r="AK1216" s="6">
        <f>Table2[[#This Row],[EV]]-Table2[[#This Row],[Spread]]</f>
        <v>0.98126410364359629</v>
      </c>
      <c r="AL1216" s="1">
        <f>Table2[[#This Row],[EV Err]]^2</f>
        <v>0.96287924109947043</v>
      </c>
    </row>
    <row r="1217" spans="1:38" x14ac:dyDescent="0.25">
      <c r="A1217" t="s">
        <v>202</v>
      </c>
      <c r="B1217" t="s">
        <v>29</v>
      </c>
      <c r="C1217" t="s">
        <v>36</v>
      </c>
      <c r="K1217" s="25">
        <f>(Table2[[#This Row],[Home Pace]]/100)*(VLOOKUP(Table2[[#This Row],[Home/Neutral]],home_lookup,8,FALSE)+VLOOKUP(Table2[[#This Row],[Home/Neutral]],OFR_lookup,2,FALSE)+VLOOKUP(Table2[[#This Row],[Visitor/Neutral]],def_diff_lookup,6,FALSE))</f>
        <v>111.63438926898523</v>
      </c>
      <c r="L1217" s="25"/>
      <c r="M1217" s="25">
        <f>(Table2[[#This Row],[Away Pace]]/100)*(VLOOKUP(Table2[[#This Row],[Visitor/Neutral]],OFR_lookup,2,FALSE)+VLOOKUP(Table2[[#This Row],[Home/Neutral]],def_diff_lookup,6,FALSE))</f>
        <v>108.61884133333335</v>
      </c>
      <c r="N1217" s="25"/>
      <c r="O1217" s="25"/>
      <c r="P1217">
        <f>VLOOKUP(Table2[[#This Row],[Home/Neutral]],pace_lookup,7,FALSE)</f>
        <v>93.8</v>
      </c>
      <c r="Q1217" s="5">
        <f>VLOOKUP(Table2[[#This Row],[Visitor/Neutral]],pace_lookup,7,FALSE)</f>
        <v>102.2</v>
      </c>
      <c r="R1217" s="9"/>
      <c r="V1217" s="2">
        <f>-home-VLOOKUP(Table2[[#This Row],[Home/Neutral]],rtg_vlookup,4,FALSE)+VLOOKUP(Table2[[#This Row],[Visitor/Neutral]],rtg_vlookup,4,FALSE)</f>
        <v>-6.6351184834123309</v>
      </c>
      <c r="W1217" s="25"/>
      <c r="X1217" s="2"/>
      <c r="Y1217" s="2">
        <f>Table2[[#This Row],[Away EV]]-Table2[[#This Row],[Home EV]]</f>
        <v>-3.0155479356518811</v>
      </c>
      <c r="Z1217" s="33"/>
      <c r="AA1217" s="34"/>
      <c r="AB1217" s="5" t="b">
        <f>IF(VLOOKUP(Table2[[#This Row],[Home/Neutral]],division_lookup,9,FALSE)=VLOOKUP(Table2[[#This Row],[Visitor/Neutral]],division_lookup,9,FALSE),TRUE,FALSE)</f>
        <v>1</v>
      </c>
      <c r="AC1217" s="19" t="str">
        <f>VLOOKUP(Table2[[#This Row],[Home/Neutral]],division_lookup,9,FALSE)</f>
        <v>P</v>
      </c>
      <c r="AD1217" s="19"/>
      <c r="AE1217" s="19" t="str">
        <f>IF(Table2[[#This Row],[Total EV ®]]&lt;Table2[[#This Row],[Total (V)]],"UNDER","OVER")</f>
        <v>OVER</v>
      </c>
      <c r="AF1217" s="30">
        <f>Table2[[#This Row],[(A) Spread]]-Table2[[#This Row],[Spread (V)]]</f>
        <v>0</v>
      </c>
      <c r="AG1217" s="19"/>
      <c r="AH1217" s="2">
        <f>Table2[[#This Row],[EV]]-Table2[[#This Row],[Spread (V)]]</f>
        <v>-3.0155479356518811</v>
      </c>
      <c r="AI1217" s="22">
        <f>Table2[[#This Row],[(A)]]-Table2[[#This Row],[Spread]]</f>
        <v>-6.6351184834123309</v>
      </c>
      <c r="AJ1217" s="1">
        <f>Table2[[#This Row],[(A) Err]]^2</f>
        <v>44.024797288919949</v>
      </c>
      <c r="AK1217" s="6">
        <f>Table2[[#This Row],[EV]]-Table2[[#This Row],[Spread]]</f>
        <v>-3.0155479356518811</v>
      </c>
      <c r="AL1217" s="1">
        <f>Table2[[#This Row],[EV Err]]^2</f>
        <v>9.0935293522143219</v>
      </c>
    </row>
    <row r="1218" spans="1:38" x14ac:dyDescent="0.25">
      <c r="A1218" t="s">
        <v>203</v>
      </c>
      <c r="B1218" t="s">
        <v>26</v>
      </c>
      <c r="C1218" t="s">
        <v>30</v>
      </c>
      <c r="K1218" s="25">
        <f>(Table2[[#This Row],[Home Pace]]/100)*(VLOOKUP(Table2[[#This Row],[Home/Neutral]],home_lookup,8,FALSE)+VLOOKUP(Table2[[#This Row],[Home/Neutral]],OFR_lookup,2,FALSE)+VLOOKUP(Table2[[#This Row],[Visitor/Neutral]],def_diff_lookup,6,FALSE))</f>
        <v>108.70416358918159</v>
      </c>
      <c r="L1218" s="25"/>
      <c r="M1218" s="25">
        <f>(Table2[[#This Row],[Away Pace]]/100)*(VLOOKUP(Table2[[#This Row],[Visitor/Neutral]],OFR_lookup,2,FALSE)+VLOOKUP(Table2[[#This Row],[Home/Neutral]],def_diff_lookup,6,FALSE))</f>
        <v>104.04128533333335</v>
      </c>
      <c r="N1218" s="25"/>
      <c r="O1218" s="25"/>
      <c r="P1218">
        <f>VLOOKUP(Table2[[#This Row],[Home/Neutral]],pace_lookup,7,FALSE)</f>
        <v>96</v>
      </c>
      <c r="Q1218" s="5">
        <f>VLOOKUP(Table2[[#This Row],[Visitor/Neutral]],pace_lookup,7,FALSE)</f>
        <v>96.8</v>
      </c>
      <c r="R1218" s="9"/>
      <c r="V1218" s="2">
        <f>-home-VLOOKUP(Table2[[#This Row],[Home/Neutral]],rtg_vlookup,4,FALSE)+VLOOKUP(Table2[[#This Row],[Visitor/Neutral]],rtg_vlookup,4,FALSE)</f>
        <v>-5.0151184834123308</v>
      </c>
      <c r="W1218" s="25"/>
      <c r="X1218" s="2"/>
      <c r="Y1218" s="2">
        <f>Table2[[#This Row],[Away EV]]-Table2[[#This Row],[Home EV]]</f>
        <v>-4.6628782558482413</v>
      </c>
      <c r="Z1218" s="33"/>
      <c r="AA1218" s="34"/>
      <c r="AB1218" s="5" t="b">
        <f>IF(VLOOKUP(Table2[[#This Row],[Home/Neutral]],division_lookup,9,FALSE)=VLOOKUP(Table2[[#This Row],[Visitor/Neutral]],division_lookup,9,FALSE),TRUE,FALSE)</f>
        <v>0</v>
      </c>
      <c r="AC1218" s="19" t="str">
        <f>VLOOKUP(Table2[[#This Row],[Home/Neutral]],division_lookup,9,FALSE)</f>
        <v>A</v>
      </c>
      <c r="AD1218" s="19"/>
      <c r="AE1218" s="19" t="str">
        <f>IF(Table2[[#This Row],[Total EV ®]]&lt;Table2[[#This Row],[Total (V)]],"UNDER","OVER")</f>
        <v>OVER</v>
      </c>
      <c r="AF1218" s="30">
        <f>Table2[[#This Row],[(A) Spread]]-Table2[[#This Row],[Spread (V)]]</f>
        <v>0</v>
      </c>
      <c r="AG1218" s="19"/>
      <c r="AH1218" s="2">
        <f>Table2[[#This Row],[EV]]-Table2[[#This Row],[Spread (V)]]</f>
        <v>-4.6628782558482413</v>
      </c>
      <c r="AI1218" s="22">
        <f>Table2[[#This Row],[(A)]]-Table2[[#This Row],[Spread]]</f>
        <v>-5.0151184834123308</v>
      </c>
      <c r="AJ1218" s="1">
        <f>Table2[[#This Row],[(A) Err]]^2</f>
        <v>25.151413402663998</v>
      </c>
      <c r="AK1218" s="6">
        <f>Table2[[#This Row],[EV]]-Table2[[#This Row],[Spread]]</f>
        <v>-4.6628782558482413</v>
      </c>
      <c r="AL1218" s="1">
        <f>Table2[[#This Row],[EV Err]]^2</f>
        <v>21.742433628862337</v>
      </c>
    </row>
    <row r="1219" spans="1:38" x14ac:dyDescent="0.25">
      <c r="A1219" t="s">
        <v>203</v>
      </c>
      <c r="B1219" t="s">
        <v>13</v>
      </c>
      <c r="C1219" t="s">
        <v>35</v>
      </c>
      <c r="K1219" s="25">
        <f>(Table2[[#This Row],[Home Pace]]/100)*(VLOOKUP(Table2[[#This Row],[Home/Neutral]],home_lookup,8,FALSE)+VLOOKUP(Table2[[#This Row],[Home/Neutral]],OFR_lookup,2,FALSE)+VLOOKUP(Table2[[#This Row],[Visitor/Neutral]],def_diff_lookup,6,FALSE))</f>
        <v>108.765791084504</v>
      </c>
      <c r="L1219" s="25"/>
      <c r="M1219" s="25">
        <f>(Table2[[#This Row],[Away Pace]]/100)*(VLOOKUP(Table2[[#This Row],[Visitor/Neutral]],OFR_lookup,2,FALSE)+VLOOKUP(Table2[[#This Row],[Home/Neutral]],def_diff_lookup,6,FALSE))</f>
        <v>105.14404133333335</v>
      </c>
      <c r="N1219" s="25"/>
      <c r="O1219" s="25"/>
      <c r="P1219">
        <f>VLOOKUP(Table2[[#This Row],[Home/Neutral]],pace_lookup,7,FALSE)</f>
        <v>94.5</v>
      </c>
      <c r="Q1219" s="5">
        <f>VLOOKUP(Table2[[#This Row],[Visitor/Neutral]],pace_lookup,7,FALSE)</f>
        <v>102.2</v>
      </c>
      <c r="R1219" s="9"/>
      <c r="V1219" s="2">
        <f>-home-VLOOKUP(Table2[[#This Row],[Home/Neutral]],rtg_vlookup,4,FALSE)+VLOOKUP(Table2[[#This Row],[Visitor/Neutral]],rtg_vlookup,4,FALSE)</f>
        <v>-14.67511848341233</v>
      </c>
      <c r="W1219" s="25"/>
      <c r="X1219" s="2"/>
      <c r="Y1219" s="2">
        <f>Table2[[#This Row],[Away EV]]-Table2[[#This Row],[Home EV]]</f>
        <v>-3.621749751170654</v>
      </c>
      <c r="Z1219" s="33"/>
      <c r="AA1219" s="34"/>
      <c r="AB1219" s="5" t="b">
        <f>IF(VLOOKUP(Table2[[#This Row],[Home/Neutral]],division_lookup,9,FALSE)=VLOOKUP(Table2[[#This Row],[Visitor/Neutral]],division_lookup,9,FALSE),TRUE,FALSE)</f>
        <v>0</v>
      </c>
      <c r="AC1219" s="19" t="str">
        <f>VLOOKUP(Table2[[#This Row],[Home/Neutral]],division_lookup,9,FALSE)</f>
        <v>C</v>
      </c>
      <c r="AD1219" s="19"/>
      <c r="AE1219" s="19" t="str">
        <f>IF(Table2[[#This Row],[Total EV ®]]&lt;Table2[[#This Row],[Total (V)]],"UNDER","OVER")</f>
        <v>OVER</v>
      </c>
      <c r="AF1219" s="30">
        <f>Table2[[#This Row],[(A) Spread]]-Table2[[#This Row],[Spread (V)]]</f>
        <v>0</v>
      </c>
      <c r="AG1219" s="19"/>
      <c r="AH1219" s="2">
        <f>Table2[[#This Row],[EV]]-Table2[[#This Row],[Spread (V)]]</f>
        <v>-3.621749751170654</v>
      </c>
      <c r="AI1219" s="22">
        <f>Table2[[#This Row],[(A)]]-Table2[[#This Row],[Spread]]</f>
        <v>-14.67511848341233</v>
      </c>
      <c r="AJ1219" s="1">
        <f>Table2[[#This Row],[(A) Err]]^2</f>
        <v>215.35910250219021</v>
      </c>
      <c r="AK1219" s="6">
        <f>Table2[[#This Row],[EV]]-Table2[[#This Row],[Spread]]</f>
        <v>-3.621749751170654</v>
      </c>
      <c r="AL1219" s="1">
        <f>Table2[[#This Row],[EV Err]]^2</f>
        <v>13.117071260104694</v>
      </c>
    </row>
    <row r="1220" spans="1:38" x14ac:dyDescent="0.25">
      <c r="A1220" t="s">
        <v>203</v>
      </c>
      <c r="B1220" t="s">
        <v>8</v>
      </c>
      <c r="C1220" t="s">
        <v>14</v>
      </c>
      <c r="K1220" s="25">
        <f>(Table2[[#This Row],[Home Pace]]/100)*(VLOOKUP(Table2[[#This Row],[Home/Neutral]],home_lookup,8,FALSE)+VLOOKUP(Table2[[#This Row],[Home/Neutral]],OFR_lookup,2,FALSE)+VLOOKUP(Table2[[#This Row],[Visitor/Neutral]],def_diff_lookup,6,FALSE))</f>
        <v>106.6237803689818</v>
      </c>
      <c r="L1220" s="25"/>
      <c r="M1220" s="25">
        <f>(Table2[[#This Row],[Away Pace]]/100)*(VLOOKUP(Table2[[#This Row],[Visitor/Neutral]],OFR_lookup,2,FALSE)+VLOOKUP(Table2[[#This Row],[Home/Neutral]],def_diff_lookup,6,FALSE))</f>
        <v>106.65102933333335</v>
      </c>
      <c r="N1220" s="25"/>
      <c r="O1220" s="25"/>
      <c r="P1220">
        <f>VLOOKUP(Table2[[#This Row],[Home/Neutral]],pace_lookup,7,FALSE)</f>
        <v>97.2</v>
      </c>
      <c r="Q1220" s="5">
        <f>VLOOKUP(Table2[[#This Row],[Visitor/Neutral]],pace_lookup,7,FALSE)</f>
        <v>95.9</v>
      </c>
      <c r="R1220" s="9"/>
      <c r="V1220" s="2">
        <f>-home-VLOOKUP(Table2[[#This Row],[Home/Neutral]],rtg_vlookup,4,FALSE)+VLOOKUP(Table2[[#This Row],[Visitor/Neutral]],rtg_vlookup,4,FALSE)</f>
        <v>-4.6151184834123304</v>
      </c>
      <c r="W1220" s="25"/>
      <c r="X1220" s="2"/>
      <c r="Y1220" s="2">
        <f>Table2[[#This Row],[Away EV]]-Table2[[#This Row],[Home EV]]</f>
        <v>2.7248964351556992E-2</v>
      </c>
      <c r="Z1220" s="33"/>
      <c r="AA1220" s="34"/>
      <c r="AB1220" s="5" t="b">
        <f>IF(VLOOKUP(Table2[[#This Row],[Home/Neutral]],division_lookup,9,FALSE)=VLOOKUP(Table2[[#This Row],[Visitor/Neutral]],division_lookup,9,FALSE),TRUE,FALSE)</f>
        <v>0</v>
      </c>
      <c r="AC1220" s="19" t="str">
        <f>VLOOKUP(Table2[[#This Row],[Home/Neutral]],division_lookup,9,FALSE)</f>
        <v>C</v>
      </c>
      <c r="AD1220" s="19"/>
      <c r="AE1220" s="19" t="str">
        <f>IF(Table2[[#This Row],[Total EV ®]]&lt;Table2[[#This Row],[Total (V)]],"UNDER","OVER")</f>
        <v>OVER</v>
      </c>
      <c r="AF1220" s="30">
        <f>Table2[[#This Row],[(A) Spread]]-Table2[[#This Row],[Spread (V)]]</f>
        <v>0</v>
      </c>
      <c r="AG1220" s="19"/>
      <c r="AH1220" s="2">
        <f>Table2[[#This Row],[EV]]-Table2[[#This Row],[Spread (V)]]</f>
        <v>2.7248964351556992E-2</v>
      </c>
      <c r="AI1220" s="22">
        <f>Table2[[#This Row],[(A)]]-Table2[[#This Row],[Spread]]</f>
        <v>-4.6151184834123304</v>
      </c>
      <c r="AJ1220" s="1">
        <f>Table2[[#This Row],[(A) Err]]^2</f>
        <v>21.29931861593413</v>
      </c>
      <c r="AK1220" s="6">
        <f>Table2[[#This Row],[EV]]-Table2[[#This Row],[Spread]]</f>
        <v>2.7248964351556992E-2</v>
      </c>
      <c r="AL1220" s="1">
        <f>Table2[[#This Row],[EV Err]]^2</f>
        <v>7.4250605823242375E-4</v>
      </c>
    </row>
    <row r="1221" spans="1:38" x14ac:dyDescent="0.25">
      <c r="A1221" t="s">
        <v>203</v>
      </c>
      <c r="B1221" t="s">
        <v>10</v>
      </c>
      <c r="C1221" t="s">
        <v>24</v>
      </c>
      <c r="K1221" s="25">
        <f>(Table2[[#This Row],[Home Pace]]/100)*(VLOOKUP(Table2[[#This Row],[Home/Neutral]],home_lookup,8,FALSE)+VLOOKUP(Table2[[#This Row],[Home/Neutral]],OFR_lookup,2,FALSE)+VLOOKUP(Table2[[#This Row],[Visitor/Neutral]],def_diff_lookup,6,FALSE))</f>
        <v>111.1682185379056</v>
      </c>
      <c r="L1221" s="25"/>
      <c r="M1221" s="25">
        <f>(Table2[[#This Row],[Away Pace]]/100)*(VLOOKUP(Table2[[#This Row],[Visitor/Neutral]],OFR_lookup,2,FALSE)+VLOOKUP(Table2[[#This Row],[Home/Neutral]],def_diff_lookup,6,FALSE))</f>
        <v>111.98856600000002</v>
      </c>
      <c r="N1221" s="25"/>
      <c r="O1221" s="25"/>
      <c r="P1221">
        <f>VLOOKUP(Table2[[#This Row],[Home/Neutral]],pace_lookup,7,FALSE)</f>
        <v>100.3</v>
      </c>
      <c r="Q1221" s="5">
        <f>VLOOKUP(Table2[[#This Row],[Visitor/Neutral]],pace_lookup,7,FALSE)</f>
        <v>99.9</v>
      </c>
      <c r="R1221" s="9"/>
      <c r="V1221" s="2">
        <f>-home-VLOOKUP(Table2[[#This Row],[Home/Neutral]],rtg_vlookup,4,FALSE)+VLOOKUP(Table2[[#This Row],[Visitor/Neutral]],rtg_vlookup,4,FALSE)</f>
        <v>-10.945118483412331</v>
      </c>
      <c r="W1221" s="25"/>
      <c r="X1221" s="2"/>
      <c r="Y1221" s="2">
        <f>Table2[[#This Row],[Away EV]]-Table2[[#This Row],[Home EV]]</f>
        <v>0.82034746209441778</v>
      </c>
      <c r="Z1221" s="33"/>
      <c r="AA1221" s="34"/>
      <c r="AB1221" s="5" t="b">
        <f>IF(VLOOKUP(Table2[[#This Row],[Home/Neutral]],division_lookup,9,FALSE)=VLOOKUP(Table2[[#This Row],[Visitor/Neutral]],division_lookup,9,FALSE),TRUE,FALSE)</f>
        <v>1</v>
      </c>
      <c r="AC1221" s="19" t="str">
        <f>VLOOKUP(Table2[[#This Row],[Home/Neutral]],division_lookup,9,FALSE)</f>
        <v>P</v>
      </c>
      <c r="AD1221" s="19"/>
      <c r="AE1221" s="19" t="str">
        <f>IF(Table2[[#This Row],[Total EV ®]]&lt;Table2[[#This Row],[Total (V)]],"UNDER","OVER")</f>
        <v>OVER</v>
      </c>
      <c r="AF1221" s="30">
        <f>Table2[[#This Row],[(A) Spread]]-Table2[[#This Row],[Spread (V)]]</f>
        <v>0</v>
      </c>
      <c r="AG1221" s="19"/>
      <c r="AH1221" s="2">
        <f>Table2[[#This Row],[EV]]-Table2[[#This Row],[Spread (V)]]</f>
        <v>0.82034746209441778</v>
      </c>
      <c r="AI1221" s="22">
        <f>Table2[[#This Row],[(A)]]-Table2[[#This Row],[Spread]]</f>
        <v>-10.945118483412331</v>
      </c>
      <c r="AJ1221" s="1">
        <f>Table2[[#This Row],[(A) Err]]^2</f>
        <v>119.79561861593426</v>
      </c>
      <c r="AK1221" s="6">
        <f>Table2[[#This Row],[EV]]-Table2[[#This Row],[Spread]]</f>
        <v>0.82034746209441778</v>
      </c>
      <c r="AL1221" s="1">
        <f>Table2[[#This Row],[EV Err]]^2</f>
        <v>0.67296995856475217</v>
      </c>
    </row>
    <row r="1222" spans="1:38" x14ac:dyDescent="0.25">
      <c r="A1222" t="s">
        <v>203</v>
      </c>
      <c r="B1222" t="s">
        <v>17</v>
      </c>
      <c r="C1222" t="s">
        <v>22</v>
      </c>
      <c r="K1222" s="25">
        <f>(Table2[[#This Row],[Home Pace]]/100)*(VLOOKUP(Table2[[#This Row],[Home/Neutral]],home_lookup,8,FALSE)+VLOOKUP(Table2[[#This Row],[Home/Neutral]],OFR_lookup,2,FALSE)+VLOOKUP(Table2[[#This Row],[Visitor/Neutral]],def_diff_lookup,6,FALSE))</f>
        <v>113.19453692873545</v>
      </c>
      <c r="L1222" s="25"/>
      <c r="M1222" s="25">
        <f>(Table2[[#This Row],[Away Pace]]/100)*(VLOOKUP(Table2[[#This Row],[Visitor/Neutral]],OFR_lookup,2,FALSE)+VLOOKUP(Table2[[#This Row],[Home/Neutral]],def_diff_lookup,6,FALSE))</f>
        <v>108.45107133333336</v>
      </c>
      <c r="N1222" s="25"/>
      <c r="O1222" s="25"/>
      <c r="P1222">
        <f>VLOOKUP(Table2[[#This Row],[Home/Neutral]],pace_lookup,7,FALSE)</f>
        <v>96.7</v>
      </c>
      <c r="Q1222" s="5">
        <f>VLOOKUP(Table2[[#This Row],[Visitor/Neutral]],pace_lookup,7,FALSE)</f>
        <v>94.7</v>
      </c>
      <c r="R1222" s="9"/>
      <c r="V1222" s="2">
        <f>-home-VLOOKUP(Table2[[#This Row],[Home/Neutral]],rtg_vlookup,4,FALSE)+VLOOKUP(Table2[[#This Row],[Visitor/Neutral]],rtg_vlookup,4,FALSE)</f>
        <v>-6.0551184834123308</v>
      </c>
      <c r="W1222" s="25"/>
      <c r="X1222" s="2"/>
      <c r="Y1222" s="2">
        <f>Table2[[#This Row],[Away EV]]-Table2[[#This Row],[Home EV]]</f>
        <v>-4.7434655954020855</v>
      </c>
      <c r="Z1222" s="33"/>
      <c r="AA1222" s="34"/>
      <c r="AB1222" s="5" t="b">
        <f>IF(VLOOKUP(Table2[[#This Row],[Home/Neutral]],division_lookup,9,FALSE)=VLOOKUP(Table2[[#This Row],[Visitor/Neutral]],division_lookup,9,FALSE),TRUE,FALSE)</f>
        <v>0</v>
      </c>
      <c r="AC1222" s="19" t="str">
        <f>VLOOKUP(Table2[[#This Row],[Home/Neutral]],division_lookup,9,FALSE)</f>
        <v>SW</v>
      </c>
      <c r="AD1222" s="19"/>
      <c r="AE1222" s="19" t="str">
        <f>IF(Table2[[#This Row],[Total EV ®]]&lt;Table2[[#This Row],[Total (V)]],"UNDER","OVER")</f>
        <v>OVER</v>
      </c>
      <c r="AF1222" s="30">
        <f>Table2[[#This Row],[(A) Spread]]-Table2[[#This Row],[Spread (V)]]</f>
        <v>0</v>
      </c>
      <c r="AG1222" s="19"/>
      <c r="AH1222" s="2">
        <f>Table2[[#This Row],[EV]]-Table2[[#This Row],[Spread (V)]]</f>
        <v>-4.7434655954020855</v>
      </c>
      <c r="AI1222" s="22">
        <f>Table2[[#This Row],[(A)]]-Table2[[#This Row],[Spread]]</f>
        <v>-6.0551184834123308</v>
      </c>
      <c r="AJ1222" s="1">
        <f>Table2[[#This Row],[(A) Err]]^2</f>
        <v>36.664459848161648</v>
      </c>
      <c r="AK1222" s="6">
        <f>Table2[[#This Row],[EV]]-Table2[[#This Row],[Spread]]</f>
        <v>-4.7434655954020855</v>
      </c>
      <c r="AL1222" s="1">
        <f>Table2[[#This Row],[EV Err]]^2</f>
        <v>22.500465854763259</v>
      </c>
    </row>
    <row r="1223" spans="1:38" x14ac:dyDescent="0.25">
      <c r="A1223" t="s">
        <v>203</v>
      </c>
      <c r="B1223" t="s">
        <v>33</v>
      </c>
      <c r="C1223" t="s">
        <v>11</v>
      </c>
      <c r="K1223" s="25">
        <f>(Table2[[#This Row],[Home Pace]]/100)*(VLOOKUP(Table2[[#This Row],[Home/Neutral]],home_lookup,8,FALSE)+VLOOKUP(Table2[[#This Row],[Home/Neutral]],OFR_lookup,2,FALSE)+VLOOKUP(Table2[[#This Row],[Visitor/Neutral]],def_diff_lookup,6,FALSE))</f>
        <v>99.85939852057507</v>
      </c>
      <c r="L1223" s="25"/>
      <c r="M1223" s="25">
        <f>(Table2[[#This Row],[Away Pace]]/100)*(VLOOKUP(Table2[[#This Row],[Visitor/Neutral]],OFR_lookup,2,FALSE)+VLOOKUP(Table2[[#This Row],[Home/Neutral]],def_diff_lookup,6,FALSE))</f>
        <v>106.98873466666667</v>
      </c>
      <c r="N1223" s="25"/>
      <c r="O1223" s="25"/>
      <c r="P1223">
        <f>VLOOKUP(Table2[[#This Row],[Home/Neutral]],pace_lookup,7,FALSE)</f>
        <v>98.2</v>
      </c>
      <c r="Q1223" s="5">
        <f>VLOOKUP(Table2[[#This Row],[Visitor/Neutral]],pace_lookup,7,FALSE)</f>
        <v>99.7</v>
      </c>
      <c r="R1223" s="9"/>
      <c r="V1223" s="2">
        <f>-home-VLOOKUP(Table2[[#This Row],[Home/Neutral]],rtg_vlookup,4,FALSE)+VLOOKUP(Table2[[#This Row],[Visitor/Neutral]],rtg_vlookup,4,FALSE)</f>
        <v>8.8348815165876697</v>
      </c>
      <c r="W1223" s="25"/>
      <c r="X1223" s="2"/>
      <c r="Y1223" s="2">
        <f>Table2[[#This Row],[Away EV]]-Table2[[#This Row],[Home EV]]</f>
        <v>7.1293361460916032</v>
      </c>
      <c r="Z1223" s="33"/>
      <c r="AA1223" s="34"/>
      <c r="AB1223" s="5" t="b">
        <f>IF(VLOOKUP(Table2[[#This Row],[Home/Neutral]],division_lookup,9,FALSE)=VLOOKUP(Table2[[#This Row],[Visitor/Neutral]],division_lookup,9,FALSE),TRUE,FALSE)</f>
        <v>0</v>
      </c>
      <c r="AC1223" s="19" t="str">
        <f>VLOOKUP(Table2[[#This Row],[Home/Neutral]],division_lookup,9,FALSE)</f>
        <v>C</v>
      </c>
      <c r="AD1223" s="19"/>
      <c r="AE1223" s="19" t="str">
        <f>IF(Table2[[#This Row],[Total EV ®]]&lt;Table2[[#This Row],[Total (V)]],"UNDER","OVER")</f>
        <v>OVER</v>
      </c>
      <c r="AF1223" s="30">
        <f>Table2[[#This Row],[(A) Spread]]-Table2[[#This Row],[Spread (V)]]</f>
        <v>0</v>
      </c>
      <c r="AG1223" s="19"/>
      <c r="AH1223" s="2">
        <f>Table2[[#This Row],[EV]]-Table2[[#This Row],[Spread (V)]]</f>
        <v>7.1293361460916032</v>
      </c>
      <c r="AI1223" s="22">
        <f>Table2[[#This Row],[(A)]]-Table2[[#This Row],[Spread]]</f>
        <v>8.8348815165876697</v>
      </c>
      <c r="AJ1223" s="1">
        <f>Table2[[#This Row],[(A) Err]]^2</f>
        <v>78.055131412142444</v>
      </c>
      <c r="AK1223" s="6">
        <f>Table2[[#This Row],[EV]]-Table2[[#This Row],[Spread]]</f>
        <v>7.1293361460916032</v>
      </c>
      <c r="AL1223" s="1">
        <f>Table2[[#This Row],[EV Err]]^2</f>
        <v>50.827433883968276</v>
      </c>
    </row>
    <row r="1224" spans="1:38" x14ac:dyDescent="0.25">
      <c r="A1224" t="s">
        <v>203</v>
      </c>
      <c r="B1224" t="s">
        <v>4</v>
      </c>
      <c r="C1224" t="s">
        <v>29</v>
      </c>
      <c r="K1224" s="25">
        <f>(Table2[[#This Row],[Home Pace]]/100)*(VLOOKUP(Table2[[#This Row],[Home/Neutral]],home_lookup,8,FALSE)+VLOOKUP(Table2[[#This Row],[Home/Neutral]],OFR_lookup,2,FALSE)+VLOOKUP(Table2[[#This Row],[Visitor/Neutral]],def_diff_lookup,6,FALSE))</f>
        <v>105.51786781393444</v>
      </c>
      <c r="L1224" s="25"/>
      <c r="M1224" s="25">
        <f>(Table2[[#This Row],[Away Pace]]/100)*(VLOOKUP(Table2[[#This Row],[Visitor/Neutral]],OFR_lookup,2,FALSE)+VLOOKUP(Table2[[#This Row],[Home/Neutral]],def_diff_lookup,6,FALSE))</f>
        <v>94.982505333333336</v>
      </c>
      <c r="N1224" s="25"/>
      <c r="O1224" s="25"/>
      <c r="P1224">
        <f>VLOOKUP(Table2[[#This Row],[Home/Neutral]],pace_lookup,7,FALSE)</f>
        <v>96.6</v>
      </c>
      <c r="Q1224" s="5">
        <f>VLOOKUP(Table2[[#This Row],[Visitor/Neutral]],pace_lookup,7,FALSE)</f>
        <v>93.8</v>
      </c>
      <c r="R1224" s="9"/>
      <c r="V1224" s="2">
        <f>-home-VLOOKUP(Table2[[#This Row],[Home/Neutral]],rtg_vlookup,4,FALSE)+VLOOKUP(Table2[[#This Row],[Visitor/Neutral]],rtg_vlookup,4,FALSE)</f>
        <v>-19.65511848341233</v>
      </c>
      <c r="W1224" s="25"/>
      <c r="X1224" s="2"/>
      <c r="Y1224" s="2">
        <f>Table2[[#This Row],[Away EV]]-Table2[[#This Row],[Home EV]]</f>
        <v>-10.535362480601108</v>
      </c>
      <c r="Z1224" s="33"/>
      <c r="AA1224" s="34"/>
      <c r="AB1224" s="5" t="b">
        <f>IF(VLOOKUP(Table2[[#This Row],[Home/Neutral]],division_lookup,9,FALSE)=VLOOKUP(Table2[[#This Row],[Visitor/Neutral]],division_lookup,9,FALSE),TRUE,FALSE)</f>
        <v>1</v>
      </c>
      <c r="AC1224" s="19" t="str">
        <f>VLOOKUP(Table2[[#This Row],[Home/Neutral]],division_lookup,9,FALSE)</f>
        <v>P</v>
      </c>
      <c r="AD1224" s="19"/>
      <c r="AE1224" s="19" t="str">
        <f>IF(Table2[[#This Row],[Total EV ®]]&lt;Table2[[#This Row],[Total (V)]],"UNDER","OVER")</f>
        <v>OVER</v>
      </c>
      <c r="AF1224" s="30">
        <f>Table2[[#This Row],[(A) Spread]]-Table2[[#This Row],[Spread (V)]]</f>
        <v>0</v>
      </c>
      <c r="AG1224" s="19"/>
      <c r="AH1224" s="2">
        <f>Table2[[#This Row],[EV]]-Table2[[#This Row],[Spread (V)]]</f>
        <v>-10.535362480601108</v>
      </c>
      <c r="AI1224" s="22">
        <f>Table2[[#This Row],[(A)]]-Table2[[#This Row],[Spread]]</f>
        <v>-19.65511848341233</v>
      </c>
      <c r="AJ1224" s="1">
        <f>Table2[[#This Row],[(A) Err]]^2</f>
        <v>386.32368259697705</v>
      </c>
      <c r="AK1224" s="6">
        <f>Table2[[#This Row],[EV]]-Table2[[#This Row],[Spread]]</f>
        <v>-10.535362480601108</v>
      </c>
      <c r="AL1224" s="1">
        <f>Table2[[#This Row],[EV Err]]^2</f>
        <v>110.99386259765754</v>
      </c>
    </row>
    <row r="1225" spans="1:38" x14ac:dyDescent="0.25">
      <c r="A1225" t="s">
        <v>203</v>
      </c>
      <c r="B1225" t="s">
        <v>23</v>
      </c>
      <c r="C1225" t="s">
        <v>37</v>
      </c>
      <c r="K1225" s="25">
        <f>(Table2[[#This Row],[Home Pace]]/100)*(VLOOKUP(Table2[[#This Row],[Home/Neutral]],home_lookup,8,FALSE)+VLOOKUP(Table2[[#This Row],[Home/Neutral]],OFR_lookup,2,FALSE)+VLOOKUP(Table2[[#This Row],[Visitor/Neutral]],def_diff_lookup,6,FALSE))</f>
        <v>99.103887358713592</v>
      </c>
      <c r="L1225" s="25"/>
      <c r="M1225" s="25">
        <f>(Table2[[#This Row],[Away Pace]]/100)*(VLOOKUP(Table2[[#This Row],[Visitor/Neutral]],OFR_lookup,2,FALSE)+VLOOKUP(Table2[[#This Row],[Home/Neutral]],def_diff_lookup,6,FALSE))</f>
        <v>84.161594000000008</v>
      </c>
      <c r="N1225" s="25"/>
      <c r="O1225" s="25"/>
      <c r="P1225">
        <f>VLOOKUP(Table2[[#This Row],[Home/Neutral]],pace_lookup,7,FALSE)</f>
        <v>92.5</v>
      </c>
      <c r="Q1225" s="5">
        <f>VLOOKUP(Table2[[#This Row],[Visitor/Neutral]],pace_lookup,7,FALSE)</f>
        <v>92.1</v>
      </c>
      <c r="R1225" s="9"/>
      <c r="V1225" s="2">
        <f>-home-VLOOKUP(Table2[[#This Row],[Home/Neutral]],rtg_vlookup,4,FALSE)+VLOOKUP(Table2[[#This Row],[Visitor/Neutral]],rtg_vlookup,4,FALSE)</f>
        <v>-12.605118483412332</v>
      </c>
      <c r="W1225" s="25"/>
      <c r="X1225" s="2"/>
      <c r="Y1225" s="2">
        <f>Table2[[#This Row],[Away EV]]-Table2[[#This Row],[Home EV]]</f>
        <v>-14.942293358713584</v>
      </c>
      <c r="Z1225" s="33"/>
      <c r="AA1225" s="34"/>
      <c r="AB1225" s="5" t="b">
        <f>IF(VLOOKUP(Table2[[#This Row],[Home/Neutral]],division_lookup,9,FALSE)=VLOOKUP(Table2[[#This Row],[Visitor/Neutral]],division_lookup,9,FALSE),TRUE,FALSE)</f>
        <v>1</v>
      </c>
      <c r="AC1225" s="19" t="str">
        <f>VLOOKUP(Table2[[#This Row],[Home/Neutral]],division_lookup,9,FALSE)</f>
        <v>SW</v>
      </c>
      <c r="AD1225" s="19"/>
      <c r="AE1225" s="19" t="str">
        <f>IF(Table2[[#This Row],[Total EV ®]]&lt;Table2[[#This Row],[Total (V)]],"UNDER","OVER")</f>
        <v>OVER</v>
      </c>
      <c r="AF1225" s="30">
        <f>Table2[[#This Row],[(A) Spread]]-Table2[[#This Row],[Spread (V)]]</f>
        <v>0</v>
      </c>
      <c r="AG1225" s="19"/>
      <c r="AH1225" s="2">
        <f>Table2[[#This Row],[EV]]-Table2[[#This Row],[Spread (V)]]</f>
        <v>-14.942293358713584</v>
      </c>
      <c r="AI1225" s="22">
        <f>Table2[[#This Row],[(A)]]-Table2[[#This Row],[Spread]]</f>
        <v>-12.605118483412332</v>
      </c>
      <c r="AJ1225" s="1">
        <f>Table2[[#This Row],[(A) Err]]^2</f>
        <v>158.88901198086319</v>
      </c>
      <c r="AK1225" s="6">
        <f>Table2[[#This Row],[EV]]-Table2[[#This Row],[Spread]]</f>
        <v>-14.942293358713584</v>
      </c>
      <c r="AL1225" s="1">
        <f>Table2[[#This Row],[EV Err]]^2</f>
        <v>223.27213081785609</v>
      </c>
    </row>
    <row r="1226" spans="1:38" x14ac:dyDescent="0.25">
      <c r="A1226" t="s">
        <v>203</v>
      </c>
      <c r="B1226" t="s">
        <v>21</v>
      </c>
      <c r="C1226" t="s">
        <v>28</v>
      </c>
      <c r="K1226" s="25">
        <f>(Table2[[#This Row],[Home Pace]]/100)*(VLOOKUP(Table2[[#This Row],[Home/Neutral]],home_lookup,8,FALSE)+VLOOKUP(Table2[[#This Row],[Home/Neutral]],OFR_lookup,2,FALSE)+VLOOKUP(Table2[[#This Row],[Visitor/Neutral]],def_diff_lookup,6,FALSE))</f>
        <v>104.28577117524391</v>
      </c>
      <c r="L1226" s="25"/>
      <c r="M1226" s="25">
        <f>(Table2[[#This Row],[Away Pace]]/100)*(VLOOKUP(Table2[[#This Row],[Visitor/Neutral]],OFR_lookup,2,FALSE)+VLOOKUP(Table2[[#This Row],[Home/Neutral]],def_diff_lookup,6,FALSE))</f>
        <v>99.777072000000004</v>
      </c>
      <c r="N1226" s="25"/>
      <c r="O1226" s="25"/>
      <c r="P1226">
        <f>VLOOKUP(Table2[[#This Row],[Home/Neutral]],pace_lookup,7,FALSE)</f>
        <v>94.2</v>
      </c>
      <c r="Q1226" s="5">
        <f>VLOOKUP(Table2[[#This Row],[Visitor/Neutral]],pace_lookup,7,FALSE)</f>
        <v>96.3</v>
      </c>
      <c r="R1226" s="9"/>
      <c r="V1226" s="2">
        <f>-home-VLOOKUP(Table2[[#This Row],[Home/Neutral]],rtg_vlookup,4,FALSE)+VLOOKUP(Table2[[#This Row],[Visitor/Neutral]],rtg_vlookup,4,FALSE)</f>
        <v>-4.545118483412331</v>
      </c>
      <c r="W1226" s="25"/>
      <c r="X1226" s="2"/>
      <c r="Y1226" s="2">
        <f>Table2[[#This Row],[Away EV]]-Table2[[#This Row],[Home EV]]</f>
        <v>-4.5086991752439047</v>
      </c>
      <c r="Z1226" s="33"/>
      <c r="AA1226" s="34"/>
      <c r="AB1226" s="5" t="b">
        <f>IF(VLOOKUP(Table2[[#This Row],[Home/Neutral]],division_lookup,9,FALSE)=VLOOKUP(Table2[[#This Row],[Visitor/Neutral]],division_lookup,9,FALSE),TRUE,FALSE)</f>
        <v>1</v>
      </c>
      <c r="AC1226" s="19" t="str">
        <f>VLOOKUP(Table2[[#This Row],[Home/Neutral]],division_lookup,9,FALSE)</f>
        <v>SE</v>
      </c>
      <c r="AD1226" s="19"/>
      <c r="AE1226" s="19" t="str">
        <f>IF(Table2[[#This Row],[Total EV ®]]&lt;Table2[[#This Row],[Total (V)]],"UNDER","OVER")</f>
        <v>OVER</v>
      </c>
      <c r="AF1226" s="30">
        <f>Table2[[#This Row],[(A) Spread]]-Table2[[#This Row],[Spread (V)]]</f>
        <v>0</v>
      </c>
      <c r="AG1226" s="19"/>
      <c r="AH1226" s="2">
        <f>Table2[[#This Row],[EV]]-Table2[[#This Row],[Spread (V)]]</f>
        <v>-4.5086991752439047</v>
      </c>
      <c r="AI1226" s="22">
        <f>Table2[[#This Row],[(A)]]-Table2[[#This Row],[Spread]]</f>
        <v>-4.545118483412331</v>
      </c>
      <c r="AJ1226" s="1">
        <f>Table2[[#This Row],[(A) Err]]^2</f>
        <v>20.658102028256408</v>
      </c>
      <c r="AK1226" s="6">
        <f>Table2[[#This Row],[EV]]-Table2[[#This Row],[Spread]]</f>
        <v>-4.5086991752439047</v>
      </c>
      <c r="AL1226" s="1">
        <f>Table2[[#This Row],[EV Err]]^2</f>
        <v>20.328368252845067</v>
      </c>
    </row>
    <row r="1227" spans="1:38" x14ac:dyDescent="0.25">
      <c r="A1227" t="s">
        <v>203</v>
      </c>
      <c r="B1227" t="s">
        <v>31</v>
      </c>
      <c r="C1227" t="s">
        <v>39</v>
      </c>
      <c r="K1227" s="25">
        <f>(Table2[[#This Row],[Home Pace]]/100)*(VLOOKUP(Table2[[#This Row],[Home/Neutral]],home_lookup,8,FALSE)+VLOOKUP(Table2[[#This Row],[Home/Neutral]],OFR_lookup,2,FALSE)+VLOOKUP(Table2[[#This Row],[Visitor/Neutral]],def_diff_lookup,6,FALSE))</f>
        <v>113.2509743021789</v>
      </c>
      <c r="L1227" s="25"/>
      <c r="M1227" s="25">
        <f>(Table2[[#This Row],[Away Pace]]/100)*(VLOOKUP(Table2[[#This Row],[Visitor/Neutral]],OFR_lookup,2,FALSE)+VLOOKUP(Table2[[#This Row],[Home/Neutral]],def_diff_lookup,6,FALSE))</f>
        <v>102.16115000000001</v>
      </c>
      <c r="N1227" s="25"/>
      <c r="O1227" s="25"/>
      <c r="P1227">
        <f>VLOOKUP(Table2[[#This Row],[Home/Neutral]],pace_lookup,7,FALSE)</f>
        <v>96</v>
      </c>
      <c r="Q1227" s="5">
        <f>VLOOKUP(Table2[[#This Row],[Visitor/Neutral]],pace_lookup,7,FALSE)</f>
        <v>97.5</v>
      </c>
      <c r="R1227" s="9"/>
      <c r="V1227" s="2">
        <f>-home-VLOOKUP(Table2[[#This Row],[Home/Neutral]],rtg_vlookup,4,FALSE)+VLOOKUP(Table2[[#This Row],[Visitor/Neutral]],rtg_vlookup,4,FALSE)</f>
        <v>-9.7551184834123301</v>
      </c>
      <c r="W1227" s="25"/>
      <c r="X1227" s="2"/>
      <c r="Y1227" s="2">
        <f>Table2[[#This Row],[Away EV]]-Table2[[#This Row],[Home EV]]</f>
        <v>-11.089824302178897</v>
      </c>
      <c r="Z1227" s="33"/>
      <c r="AA1227" s="34"/>
      <c r="AB1227" s="5" t="b">
        <f>IF(VLOOKUP(Table2[[#This Row],[Home/Neutral]],division_lookup,9,FALSE)=VLOOKUP(Table2[[#This Row],[Visitor/Neutral]],division_lookup,9,FALSE),TRUE,FALSE)</f>
        <v>1</v>
      </c>
      <c r="AC1227" s="19" t="str">
        <f>VLOOKUP(Table2[[#This Row],[Home/Neutral]],division_lookup,9,FALSE)</f>
        <v>A</v>
      </c>
      <c r="AD1227" s="19"/>
      <c r="AE1227" s="19" t="str">
        <f>IF(Table2[[#This Row],[Total EV ®]]&lt;Table2[[#This Row],[Total (V)]],"UNDER","OVER")</f>
        <v>OVER</v>
      </c>
      <c r="AF1227" s="30">
        <f>Table2[[#This Row],[(A) Spread]]-Table2[[#This Row],[Spread (V)]]</f>
        <v>0</v>
      </c>
      <c r="AG1227" s="19"/>
      <c r="AH1227" s="2">
        <f>Table2[[#This Row],[EV]]-Table2[[#This Row],[Spread (V)]]</f>
        <v>-11.089824302178897</v>
      </c>
      <c r="AI1227" s="22">
        <f>Table2[[#This Row],[(A)]]-Table2[[#This Row],[Spread]]</f>
        <v>-9.7551184834123301</v>
      </c>
      <c r="AJ1227" s="1">
        <f>Table2[[#This Row],[(A) Err]]^2</f>
        <v>95.162336625412877</v>
      </c>
      <c r="AK1227" s="6">
        <f>Table2[[#This Row],[EV]]-Table2[[#This Row],[Spread]]</f>
        <v>-11.089824302178897</v>
      </c>
      <c r="AL1227" s="1">
        <f>Table2[[#This Row],[EV Err]]^2</f>
        <v>122.98420305319766</v>
      </c>
    </row>
    <row r="1228" spans="1:38" x14ac:dyDescent="0.25">
      <c r="A1228" t="s">
        <v>203</v>
      </c>
      <c r="B1228" t="s">
        <v>18</v>
      </c>
      <c r="C1228" t="s">
        <v>27</v>
      </c>
      <c r="K1228" s="25">
        <f>(Table2[[#This Row],[Home Pace]]/100)*(VLOOKUP(Table2[[#This Row],[Home/Neutral]],home_lookup,8,FALSE)+VLOOKUP(Table2[[#This Row],[Home/Neutral]],OFR_lookup,2,FALSE)+VLOOKUP(Table2[[#This Row],[Visitor/Neutral]],def_diff_lookup,6,FALSE))</f>
        <v>102.45735616021132</v>
      </c>
      <c r="L1228" s="25"/>
      <c r="M1228" s="25">
        <f>(Table2[[#This Row],[Away Pace]]/100)*(VLOOKUP(Table2[[#This Row],[Visitor/Neutral]],OFR_lookup,2,FALSE)+VLOOKUP(Table2[[#This Row],[Home/Neutral]],def_diff_lookup,6,FALSE))</f>
        <v>100.10946</v>
      </c>
      <c r="N1228" s="25"/>
      <c r="O1228" s="25"/>
      <c r="P1228">
        <f>VLOOKUP(Table2[[#This Row],[Home/Neutral]],pace_lookup,7,FALSE)</f>
        <v>99.5</v>
      </c>
      <c r="Q1228" s="5">
        <f>VLOOKUP(Table2[[#This Row],[Visitor/Neutral]],pace_lookup,7,FALSE)</f>
        <v>99</v>
      </c>
      <c r="R1228" s="9"/>
      <c r="V1228" s="2">
        <f>-home-VLOOKUP(Table2[[#This Row],[Home/Neutral]],rtg_vlookup,4,FALSE)+VLOOKUP(Table2[[#This Row],[Visitor/Neutral]],rtg_vlookup,4,FALSE)</f>
        <v>-5.6451184834123307</v>
      </c>
      <c r="W1228" s="25"/>
      <c r="X1228" s="2"/>
      <c r="Y1228" s="2">
        <f>Table2[[#This Row],[Away EV]]-Table2[[#This Row],[Home EV]]</f>
        <v>-2.3478961602113202</v>
      </c>
      <c r="Z1228" s="33"/>
      <c r="AA1228" s="34"/>
      <c r="AB1228" s="5" t="b">
        <f>IF(VLOOKUP(Table2[[#This Row],[Home/Neutral]],division_lookup,9,FALSE)=VLOOKUP(Table2[[#This Row],[Visitor/Neutral]],division_lookup,9,FALSE),TRUE,FALSE)</f>
        <v>1</v>
      </c>
      <c r="AC1228" s="19" t="str">
        <f>VLOOKUP(Table2[[#This Row],[Home/Neutral]],division_lookup,9,FALSE)</f>
        <v>NW</v>
      </c>
      <c r="AD1228" s="19"/>
      <c r="AE1228" s="19" t="str">
        <f>IF(Table2[[#This Row],[Total EV ®]]&lt;Table2[[#This Row],[Total (V)]],"UNDER","OVER")</f>
        <v>OVER</v>
      </c>
      <c r="AF1228" s="30">
        <f>Table2[[#This Row],[(A) Spread]]-Table2[[#This Row],[Spread (V)]]</f>
        <v>0</v>
      </c>
      <c r="AG1228" s="19"/>
      <c r="AH1228" s="2">
        <f>Table2[[#This Row],[EV]]-Table2[[#This Row],[Spread (V)]]</f>
        <v>-2.3478961602113202</v>
      </c>
      <c r="AI1228" s="22">
        <f>Table2[[#This Row],[(A)]]-Table2[[#This Row],[Spread]]</f>
        <v>-5.6451184834123307</v>
      </c>
      <c r="AJ1228" s="1">
        <f>Table2[[#This Row],[(A) Err]]^2</f>
        <v>31.867362691763532</v>
      </c>
      <c r="AK1228" s="6">
        <f>Table2[[#This Row],[EV]]-Table2[[#This Row],[Spread]]</f>
        <v>-2.3478961602113202</v>
      </c>
      <c r="AL1228" s="1">
        <f>Table2[[#This Row],[EV Err]]^2</f>
        <v>5.5126163791350615</v>
      </c>
    </row>
    <row r="1229" spans="1:38" x14ac:dyDescent="0.25">
      <c r="A1229" t="s">
        <v>203</v>
      </c>
      <c r="B1229" t="s">
        <v>38</v>
      </c>
      <c r="C1229" t="s">
        <v>25</v>
      </c>
      <c r="K1229" s="25">
        <f>(Table2[[#This Row],[Home Pace]]/100)*(VLOOKUP(Table2[[#This Row],[Home/Neutral]],home_lookup,8,FALSE)+VLOOKUP(Table2[[#This Row],[Home/Neutral]],OFR_lookup,2,FALSE)+VLOOKUP(Table2[[#This Row],[Visitor/Neutral]],def_diff_lookup,6,FALSE))</f>
        <v>102.5206516789148</v>
      </c>
      <c r="L1229" s="25"/>
      <c r="M1229" s="25">
        <f>(Table2[[#This Row],[Away Pace]]/100)*(VLOOKUP(Table2[[#This Row],[Visitor/Neutral]],OFR_lookup,2,FALSE)+VLOOKUP(Table2[[#This Row],[Home/Neutral]],def_diff_lookup,6,FALSE))</f>
        <v>97.91230933333334</v>
      </c>
      <c r="N1229" s="25"/>
      <c r="O1229" s="25"/>
      <c r="P1229">
        <f>VLOOKUP(Table2[[#This Row],[Home/Neutral]],pace_lookup,7,FALSE)</f>
        <v>94.2</v>
      </c>
      <c r="Q1229" s="5">
        <f>VLOOKUP(Table2[[#This Row],[Visitor/Neutral]],pace_lookup,7,FALSE)</f>
        <v>94.4</v>
      </c>
      <c r="R1229" s="9"/>
      <c r="V1229" s="2">
        <f>-home-VLOOKUP(Table2[[#This Row],[Home/Neutral]],rtg_vlookup,4,FALSE)+VLOOKUP(Table2[[#This Row],[Visitor/Neutral]],rtg_vlookup,4,FALSE)</f>
        <v>5.954881516587669</v>
      </c>
      <c r="W1229" s="25"/>
      <c r="X1229" s="2"/>
      <c r="Y1229" s="2">
        <f>Table2[[#This Row],[Away EV]]-Table2[[#This Row],[Home EV]]</f>
        <v>-4.6083423455814625</v>
      </c>
      <c r="Z1229" s="33"/>
      <c r="AA1229" s="34"/>
      <c r="AB1229" s="5" t="b">
        <f>IF(VLOOKUP(Table2[[#This Row],[Home/Neutral]],division_lookup,9,FALSE)=VLOOKUP(Table2[[#This Row],[Visitor/Neutral]],division_lookup,9,FALSE),TRUE,FALSE)</f>
        <v>0</v>
      </c>
      <c r="AC1229" s="19" t="str">
        <f>VLOOKUP(Table2[[#This Row],[Home/Neutral]],division_lookup,9,FALSE)</f>
        <v>SE</v>
      </c>
      <c r="AD1229" s="19"/>
      <c r="AE1229" s="19" t="str">
        <f>IF(Table2[[#This Row],[Total EV ®]]&lt;Table2[[#This Row],[Total (V)]],"UNDER","OVER")</f>
        <v>OVER</v>
      </c>
      <c r="AF1229" s="30">
        <f>Table2[[#This Row],[(A) Spread]]-Table2[[#This Row],[Spread (V)]]</f>
        <v>0</v>
      </c>
      <c r="AG1229" s="19"/>
      <c r="AH1229" s="2">
        <f>Table2[[#This Row],[EV]]-Table2[[#This Row],[Spread (V)]]</f>
        <v>-4.6083423455814625</v>
      </c>
      <c r="AI1229" s="22">
        <f>Table2[[#This Row],[(A)]]-Table2[[#This Row],[Spread]]</f>
        <v>5.954881516587669</v>
      </c>
      <c r="AJ1229" s="1">
        <f>Table2[[#This Row],[(A) Err]]^2</f>
        <v>35.460613876597456</v>
      </c>
      <c r="AK1229" s="6">
        <f>Table2[[#This Row],[EV]]-Table2[[#This Row],[Spread]]</f>
        <v>-4.6083423455814625</v>
      </c>
      <c r="AL1229" s="1">
        <f>Table2[[#This Row],[EV Err]]^2</f>
        <v>21.236819174079255</v>
      </c>
    </row>
    <row r="1230" spans="1:38" x14ac:dyDescent="0.25">
      <c r="A1230" t="s">
        <v>203</v>
      </c>
      <c r="B1230" t="s">
        <v>32</v>
      </c>
      <c r="C1230" t="s">
        <v>34</v>
      </c>
      <c r="K1230" s="25">
        <f>(Table2[[#This Row],[Home Pace]]/100)*(VLOOKUP(Table2[[#This Row],[Home/Neutral]],home_lookup,8,FALSE)+VLOOKUP(Table2[[#This Row],[Home/Neutral]],OFR_lookup,2,FALSE)+VLOOKUP(Table2[[#This Row],[Visitor/Neutral]],def_diff_lookup,6,FALSE))</f>
        <v>108.96189112001839</v>
      </c>
      <c r="L1230" s="25"/>
      <c r="M1230" s="25">
        <f>(Table2[[#This Row],[Away Pace]]/100)*(VLOOKUP(Table2[[#This Row],[Visitor/Neutral]],OFR_lookup,2,FALSE)+VLOOKUP(Table2[[#This Row],[Home/Neutral]],def_diff_lookup,6,FALSE))</f>
        <v>104.80769866666667</v>
      </c>
      <c r="N1230" s="25"/>
      <c r="O1230" s="25"/>
      <c r="P1230">
        <f>VLOOKUP(Table2[[#This Row],[Home/Neutral]],pace_lookup,7,FALSE)</f>
        <v>98.6</v>
      </c>
      <c r="Q1230" s="5">
        <f>VLOOKUP(Table2[[#This Row],[Visitor/Neutral]],pace_lookup,7,FALSE)</f>
        <v>98.8</v>
      </c>
      <c r="R1230" s="9"/>
      <c r="V1230" s="2">
        <f>-home-VLOOKUP(Table2[[#This Row],[Home/Neutral]],rtg_vlookup,4,FALSE)+VLOOKUP(Table2[[#This Row],[Visitor/Neutral]],rtg_vlookup,4,FALSE)</f>
        <v>-4.8751184834123311</v>
      </c>
      <c r="W1230" s="25"/>
      <c r="X1230" s="2"/>
      <c r="Y1230" s="2">
        <f>Table2[[#This Row],[Away EV]]-Table2[[#This Row],[Home EV]]</f>
        <v>-4.154192453351726</v>
      </c>
      <c r="Z1230" s="33"/>
      <c r="AA1230" s="34"/>
      <c r="AB1230" s="5" t="b">
        <f>IF(VLOOKUP(Table2[[#This Row],[Home/Neutral]],division_lookup,9,FALSE)=VLOOKUP(Table2[[#This Row],[Visitor/Neutral]],division_lookup,9,FALSE),TRUE,FALSE)</f>
        <v>0</v>
      </c>
      <c r="AC1230" s="19" t="str">
        <f>VLOOKUP(Table2[[#This Row],[Home/Neutral]],division_lookup,9,FALSE)</f>
        <v>NW</v>
      </c>
      <c r="AD1230" s="19"/>
      <c r="AE1230" s="19" t="str">
        <f>IF(Table2[[#This Row],[Total EV ®]]&lt;Table2[[#This Row],[Total (V)]],"UNDER","OVER")</f>
        <v>OVER</v>
      </c>
      <c r="AF1230" s="30">
        <f>Table2[[#This Row],[(A) Spread]]-Table2[[#This Row],[Spread (V)]]</f>
        <v>0</v>
      </c>
      <c r="AG1230" s="19"/>
      <c r="AH1230" s="2">
        <f>Table2[[#This Row],[EV]]-Table2[[#This Row],[Spread (V)]]</f>
        <v>-4.154192453351726</v>
      </c>
      <c r="AI1230" s="22">
        <f>Table2[[#This Row],[(A)]]-Table2[[#This Row],[Spread]]</f>
        <v>-4.8751184834123311</v>
      </c>
      <c r="AJ1230" s="1">
        <f>Table2[[#This Row],[(A) Err]]^2</f>
        <v>23.766780227308548</v>
      </c>
      <c r="AK1230" s="6">
        <f>Table2[[#This Row],[EV]]-Table2[[#This Row],[Spread]]</f>
        <v>-4.154192453351726</v>
      </c>
      <c r="AL1230" s="1">
        <f>Table2[[#This Row],[EV Err]]^2</f>
        <v>17.257314939484434</v>
      </c>
    </row>
    <row r="1231" spans="1:38" x14ac:dyDescent="0.25">
      <c r="A1231" t="s">
        <v>203</v>
      </c>
      <c r="B1231" t="s">
        <v>20</v>
      </c>
      <c r="C1231" t="s">
        <v>6</v>
      </c>
      <c r="K1231" s="25">
        <f>(Table2[[#This Row],[Home Pace]]/100)*(VLOOKUP(Table2[[#This Row],[Home/Neutral]],home_lookup,8,FALSE)+VLOOKUP(Table2[[#This Row],[Home/Neutral]],OFR_lookup,2,FALSE)+VLOOKUP(Table2[[#This Row],[Visitor/Neutral]],def_diff_lookup,6,FALSE))</f>
        <v>101.81990528915178</v>
      </c>
      <c r="L1231" s="25"/>
      <c r="M1231" s="25">
        <f>(Table2[[#This Row],[Away Pace]]/100)*(VLOOKUP(Table2[[#This Row],[Visitor/Neutral]],OFR_lookup,2,FALSE)+VLOOKUP(Table2[[#This Row],[Home/Neutral]],def_diff_lookup,6,FALSE))</f>
        <v>101.99167066666668</v>
      </c>
      <c r="N1231" s="25"/>
      <c r="O1231" s="25"/>
      <c r="P1231">
        <f>VLOOKUP(Table2[[#This Row],[Home/Neutral]],pace_lookup,7,FALSE)</f>
        <v>90.9</v>
      </c>
      <c r="Q1231" s="5">
        <f>VLOOKUP(Table2[[#This Row],[Visitor/Neutral]],pace_lookup,7,FALSE)</f>
        <v>93.1</v>
      </c>
      <c r="R1231" s="9"/>
      <c r="V1231" s="2">
        <f>-home-VLOOKUP(Table2[[#This Row],[Home/Neutral]],rtg_vlookup,4,FALSE)+VLOOKUP(Table2[[#This Row],[Visitor/Neutral]],rtg_vlookup,4,FALSE)</f>
        <v>2.534881516587669</v>
      </c>
      <c r="W1231" s="25"/>
      <c r="X1231" s="2"/>
      <c r="Y1231" s="2">
        <f>Table2[[#This Row],[Away EV]]-Table2[[#This Row],[Home EV]]</f>
        <v>0.17176537751490173</v>
      </c>
      <c r="Z1231" s="33"/>
      <c r="AA1231" s="34"/>
      <c r="AB1231" s="5" t="b">
        <f>IF(VLOOKUP(Table2[[#This Row],[Home/Neutral]],division_lookup,9,FALSE)=VLOOKUP(Table2[[#This Row],[Visitor/Neutral]],division_lookup,9,FALSE),TRUE,FALSE)</f>
        <v>0</v>
      </c>
      <c r="AC1231" s="19" t="str">
        <f>VLOOKUP(Table2[[#This Row],[Home/Neutral]],division_lookup,9,FALSE)</f>
        <v>NW</v>
      </c>
      <c r="AD1231" s="19"/>
      <c r="AE1231" s="19" t="str">
        <f>IF(Table2[[#This Row],[Total EV ®]]&lt;Table2[[#This Row],[Total (V)]],"UNDER","OVER")</f>
        <v>OVER</v>
      </c>
      <c r="AF1231" s="30">
        <f>Table2[[#This Row],[(A) Spread]]-Table2[[#This Row],[Spread (V)]]</f>
        <v>0</v>
      </c>
      <c r="AG1231" s="19"/>
      <c r="AH1231" s="2">
        <f>Table2[[#This Row],[EV]]-Table2[[#This Row],[Spread (V)]]</f>
        <v>0.17176537751490173</v>
      </c>
      <c r="AI1231" s="22">
        <f>Table2[[#This Row],[(A)]]-Table2[[#This Row],[Spread]]</f>
        <v>2.534881516587669</v>
      </c>
      <c r="AJ1231" s="1">
        <f>Table2[[#This Row],[(A) Err]]^2</f>
        <v>6.4256243031378011</v>
      </c>
      <c r="AK1231" s="6">
        <f>Table2[[#This Row],[EV]]-Table2[[#This Row],[Spread]]</f>
        <v>0.17176537751490173</v>
      </c>
      <c r="AL1231" s="1">
        <f>Table2[[#This Row],[EV Err]]^2</f>
        <v>2.950334491283671E-2</v>
      </c>
    </row>
    <row r="1232" spans="1:38" x14ac:dyDescent="0.25">
      <c r="A1232" t="s">
        <v>206</v>
      </c>
      <c r="D1232" s="17">
        <f>SUM(Table2[Home Win])/COUNT(Table2[Home Win])</f>
        <v>0.30769230769230771</v>
      </c>
      <c r="E1232" s="2">
        <f>SUBTOTAL(101,Table2[Home Pts])</f>
        <v>104.90995260663507</v>
      </c>
      <c r="F1232" s="17">
        <f>SUM(Table2[Away Win])/COUNT(Table2[Away Win])</f>
        <v>0.69230769230769229</v>
      </c>
      <c r="G1232" s="2">
        <f>SUBTOTAL(101,Table2[Away Pts])</f>
        <v>102.18483412322274</v>
      </c>
      <c r="H1232" s="31">
        <f>SUBTOTAL(101,Table2[Total])</f>
        <v>207.09478672985782</v>
      </c>
      <c r="I1232" s="2">
        <f>SUBTOTAL(101,Table2[Total (V)])</f>
        <v>208.95</v>
      </c>
      <c r="J1232">
        <f>SUBTOTAL(101,Table2[Home EV ®])</f>
        <v>105.5</v>
      </c>
      <c r="K1232" s="25">
        <f>SUBTOTAL(101,Table2[Home EV])</f>
        <v>106.00264709800133</v>
      </c>
      <c r="L1232" s="25">
        <f>SUBTOTAL(101,Table2[Away EV ®])</f>
        <v>104.25</v>
      </c>
      <c r="M1232" s="25">
        <f>SUBTOTAL(101,Table2[Away EV])</f>
        <v>103.35893484173451</v>
      </c>
      <c r="N1232" s="15">
        <f>SUM(Table2[Total Win])/COUNT(Table2[Total Win])</f>
        <v>0.75</v>
      </c>
      <c r="O1232" s="25">
        <f>SUBTOTAL(101,Table2[Total EV ®])</f>
        <v>210.1764705882353</v>
      </c>
      <c r="P1232"/>
      <c r="Q1232" s="9"/>
      <c r="R1232" s="2">
        <f>SUBTOTAL(101,Table2[Spread])</f>
        <v>-2.7251184834123223</v>
      </c>
      <c r="S1232" s="2">
        <f>SUBTOTAL(101,Table2[Spread (V)])</f>
        <v>-0.97368421052631582</v>
      </c>
      <c r="T1232" s="17">
        <f>SUBTOTAL(101,Table2[(A) Win])</f>
        <v>0.14285714285714285</v>
      </c>
      <c r="U1232" s="2">
        <f>SUBTOTAL(101,Table2[(A) Spread])</f>
        <v>-1.7807692307692307</v>
      </c>
      <c r="V1232" s="2"/>
      <c r="W1232" s="17">
        <f>SUM(Table2[EV Win])/COUNT(Table2[EV Win])</f>
        <v>1</v>
      </c>
      <c r="X1232" s="2">
        <f>SUBTOTAL(101,Table2[Real EV])</f>
        <v>-0.49411764705882355</v>
      </c>
      <c r="AG1232" s="2"/>
      <c r="AH1232" s="2"/>
      <c r="AJ1232"/>
      <c r="AK1232" s="5"/>
    </row>
  </sheetData>
  <conditionalFormatting sqref="AA1233:AA1048576 Z1:AA1 Z2:Z199 Z1232:AA1232 Z200:AA212 AA213:AA225 Z213:Z216 Z218:Z1231">
    <cfRule type="cellIs" dxfId="38" priority="7" operator="equal">
      <formula>"AWAY"</formula>
    </cfRule>
    <cfRule type="cellIs" dxfId="37" priority="8" operator="equal">
      <formula>"HOME"</formula>
    </cfRule>
  </conditionalFormatting>
  <conditionalFormatting sqref="AB2:AB1231">
    <cfRule type="cellIs" dxfId="36" priority="5" operator="equal">
      <formula>FALSE</formula>
    </cfRule>
    <cfRule type="cellIs" dxfId="35" priority="6" operator="equal">
      <formula>TRUE</formula>
    </cfRule>
  </conditionalFormatting>
  <conditionalFormatting sqref="AF2:AG2">
    <cfRule type="colorScale" priority="4">
      <colorScale>
        <cfvo type="min"/>
        <cfvo type="max"/>
        <color theme="9" tint="-0.249977111117893"/>
        <color theme="5" tint="-0.249977111117893"/>
      </colorScale>
    </cfRule>
  </conditionalFormatting>
  <conditionalFormatting sqref="AF1:AH1 AN1233:AN1048576 AF200:AH208 AF2:AG191 AG1232:AH1232 AF213:AH1231 AH209:AH212 AG192:AG199 AF209:AF123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E2:AE1231">
    <cfRule type="cellIs" dxfId="34" priority="1" operator="equal">
      <formula>"OVER"</formula>
    </cfRule>
    <cfRule type="cellIs" dxfId="33" priority="2" operator="equal">
      <formula>"UNDER"</formula>
    </cfRule>
  </conditionalFormatting>
  <pageMargins left="0.7" right="0.7" top="0.75" bottom="0.75" header="0.3" footer="0.3"/>
  <ignoredErrors>
    <ignoredError sqref="Z200:Z211 AA209:AA212 T185:T199 Z212 Z217 Z213:AA216 Z218:AA225 AA217 O213:O225 H209:H212 R209:R212 W209:W212 N209:N212" calculatedColumn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0"/>
  <sheetViews>
    <sheetView workbookViewId="0">
      <selection activeCell="P12" sqref="P12"/>
    </sheetView>
  </sheetViews>
  <sheetFormatPr defaultRowHeight="15" x14ac:dyDescent="0.25"/>
  <cols>
    <col min="1" max="1" width="16" bestFit="1" customWidth="1"/>
    <col min="2" max="2" width="10.7109375" customWidth="1"/>
    <col min="3" max="3" width="12.28515625" customWidth="1"/>
    <col min="4" max="4" width="8" bestFit="1" customWidth="1"/>
    <col min="5" max="5" width="10.5703125" bestFit="1" customWidth="1"/>
    <col min="6" max="6" width="12.140625" bestFit="1" customWidth="1"/>
    <col min="7" max="7" width="7.7109375" bestFit="1" customWidth="1"/>
    <col min="9" max="9" width="10.28515625" customWidth="1"/>
    <col min="10" max="10" width="10.7109375" customWidth="1"/>
    <col min="11" max="11" width="12.28515625" customWidth="1"/>
    <col min="12" max="12" width="8" bestFit="1" customWidth="1"/>
    <col min="13" max="13" width="10.5703125" bestFit="1" customWidth="1"/>
    <col min="15" max="15" width="5.5703125" bestFit="1" customWidth="1"/>
    <col min="17" max="17" width="7.140625" bestFit="1" customWidth="1"/>
    <col min="18" max="18" width="10.7109375" customWidth="1"/>
    <col min="19" max="19" width="12.28515625" customWidth="1"/>
    <col min="20" max="20" width="6.140625" bestFit="1" customWidth="1"/>
    <col min="21" max="21" width="10.5703125" bestFit="1" customWidth="1"/>
    <col min="22" max="22" width="12.140625" bestFit="1" customWidth="1"/>
    <col min="23" max="23" width="5.5703125" bestFit="1" customWidth="1"/>
  </cols>
  <sheetData>
    <row r="1" spans="1:23" x14ac:dyDescent="0.25">
      <c r="A1" t="s">
        <v>40</v>
      </c>
      <c r="B1" t="s">
        <v>222</v>
      </c>
      <c r="C1" t="s">
        <v>223</v>
      </c>
      <c r="D1" t="s">
        <v>224</v>
      </c>
      <c r="E1" t="s">
        <v>232</v>
      </c>
      <c r="F1" t="s">
        <v>233</v>
      </c>
      <c r="G1" t="s">
        <v>229</v>
      </c>
      <c r="I1" t="s">
        <v>221</v>
      </c>
      <c r="J1" t="s">
        <v>222</v>
      </c>
      <c r="K1" t="s">
        <v>223</v>
      </c>
      <c r="L1" t="s">
        <v>224</v>
      </c>
      <c r="M1" t="s">
        <v>232</v>
      </c>
      <c r="N1" t="s">
        <v>233</v>
      </c>
      <c r="O1" t="s">
        <v>229</v>
      </c>
      <c r="Q1" t="s">
        <v>230</v>
      </c>
      <c r="R1" t="s">
        <v>222</v>
      </c>
      <c r="S1" t="s">
        <v>223</v>
      </c>
      <c r="T1" t="s">
        <v>231</v>
      </c>
      <c r="U1" t="s">
        <v>232</v>
      </c>
      <c r="V1" t="s">
        <v>233</v>
      </c>
      <c r="W1" t="s">
        <v>229</v>
      </c>
    </row>
    <row r="2" spans="1:23" x14ac:dyDescent="0.25">
      <c r="A2" t="s">
        <v>68</v>
      </c>
      <c r="B2">
        <f>SUM(Boxscore!T185:T193)</f>
        <v>0</v>
      </c>
      <c r="C2">
        <f>COUNT(Boxscore!T185:T193)</f>
        <v>9</v>
      </c>
      <c r="D2" s="16">
        <f>Table4[[#This Row],[Wins (A)]]/Table4[[#This Row],[Games (A)]]</f>
        <v>0</v>
      </c>
      <c r="E2" s="54"/>
      <c r="F2" s="54"/>
      <c r="G2" s="15"/>
      <c r="I2" t="s">
        <v>5</v>
      </c>
      <c r="Q2" t="s">
        <v>227</v>
      </c>
    </row>
    <row r="3" spans="1:23" x14ac:dyDescent="0.25">
      <c r="A3" t="s">
        <v>69</v>
      </c>
      <c r="B3">
        <f>SUM(Boxscore!T194:T199)</f>
        <v>1</v>
      </c>
      <c r="C3">
        <f>COUNT(Boxscore!T194:T199)</f>
        <v>6</v>
      </c>
      <c r="D3" s="16">
        <f>Table4[[#This Row],[Wins (A)]]/Table4[[#This Row],[Games (A)]]</f>
        <v>0.16666666666666666</v>
      </c>
      <c r="E3" s="54"/>
      <c r="F3" s="54"/>
      <c r="G3" s="15"/>
      <c r="I3" t="s">
        <v>7</v>
      </c>
      <c r="Q3" t="s">
        <v>228</v>
      </c>
    </row>
    <row r="4" spans="1:23" x14ac:dyDescent="0.25">
      <c r="A4" t="s">
        <v>70</v>
      </c>
      <c r="B4">
        <f>SUM(Boxscore!T200:T208)</f>
        <v>1</v>
      </c>
      <c r="C4">
        <f>COUNT(Boxscore!T200:T208)</f>
        <v>9</v>
      </c>
      <c r="D4" s="16">
        <f>Table4[[#This Row],[Wins (A)]]/Table4[[#This Row],[Games (A)]]</f>
        <v>0.1111111111111111</v>
      </c>
      <c r="E4" s="54"/>
      <c r="F4" s="54"/>
      <c r="G4" s="15"/>
      <c r="I4" t="s">
        <v>9</v>
      </c>
      <c r="Q4" t="s">
        <v>206</v>
      </c>
      <c r="R4">
        <f>SUBTOTAL(109,Table6[Wins (A)])</f>
        <v>0</v>
      </c>
      <c r="S4">
        <f>SUBTOTAL(109,Table6[Games (A)])</f>
        <v>0</v>
      </c>
      <c r="U4">
        <f>SUBTOTAL(109,Table6[Wins EV])</f>
        <v>0</v>
      </c>
      <c r="V4">
        <f>SUBTOTAL(109,Table6[Games EV])</f>
        <v>0</v>
      </c>
    </row>
    <row r="5" spans="1:23" x14ac:dyDescent="0.25">
      <c r="A5" t="s">
        <v>71</v>
      </c>
      <c r="B5">
        <f>SUM(Boxscore!T209:T212)</f>
        <v>2</v>
      </c>
      <c r="C5">
        <f>COUNT(Boxscore!T209:T212)</f>
        <v>4</v>
      </c>
      <c r="D5" s="16">
        <f>Table4[[#This Row],[Wins (A)]]/Table4[[#This Row],[Games (A)]]</f>
        <v>0.5</v>
      </c>
      <c r="E5" s="54">
        <f>SUM(Boxscore!W209:W212)</f>
        <v>4</v>
      </c>
      <c r="F5" s="54">
        <f>COUNT(Boxscore!W209:W212)</f>
        <v>4</v>
      </c>
      <c r="G5" s="16">
        <f>Table4[[#This Row],[Wins EV]]/Table4[[#This Row],[Games EV]]</f>
        <v>1</v>
      </c>
      <c r="I5" t="s">
        <v>12</v>
      </c>
    </row>
    <row r="6" spans="1:23" x14ac:dyDescent="0.25">
      <c r="A6" t="s">
        <v>72</v>
      </c>
      <c r="D6" s="16"/>
      <c r="E6" s="54"/>
      <c r="F6" s="54"/>
      <c r="G6" s="15"/>
      <c r="I6" t="s">
        <v>15</v>
      </c>
    </row>
    <row r="7" spans="1:23" x14ac:dyDescent="0.25">
      <c r="A7" t="s">
        <v>73</v>
      </c>
      <c r="D7" s="16"/>
      <c r="E7" s="54"/>
      <c r="F7" s="54"/>
      <c r="G7" s="15"/>
      <c r="I7" t="s">
        <v>19</v>
      </c>
    </row>
    <row r="8" spans="1:23" x14ac:dyDescent="0.25">
      <c r="A8" t="s">
        <v>74</v>
      </c>
      <c r="D8" s="16"/>
      <c r="E8" s="54"/>
      <c r="F8" s="54"/>
      <c r="G8" s="15"/>
      <c r="I8" t="s">
        <v>206</v>
      </c>
      <c r="J8">
        <f>SUBTOTAL(109,Table5[Wins (A)])</f>
        <v>0</v>
      </c>
      <c r="K8">
        <f>SUBTOTAL(109,Table5[Games (A)])</f>
        <v>0</v>
      </c>
      <c r="M8">
        <f>SUBTOTAL(109,Table5[Wins EV])</f>
        <v>0</v>
      </c>
      <c r="N8">
        <f>SUBTOTAL(109,Table5[Games EV])</f>
        <v>0</v>
      </c>
    </row>
    <row r="9" spans="1:23" x14ac:dyDescent="0.25">
      <c r="A9" t="s">
        <v>75</v>
      </c>
      <c r="D9" s="16"/>
      <c r="E9" s="54"/>
      <c r="F9" s="54"/>
      <c r="G9" s="15"/>
    </row>
    <row r="10" spans="1:23" x14ac:dyDescent="0.25">
      <c r="A10" t="s">
        <v>76</v>
      </c>
      <c r="D10" s="16"/>
      <c r="E10" s="54"/>
      <c r="F10" s="54"/>
      <c r="G10" s="15"/>
    </row>
    <row r="11" spans="1:23" x14ac:dyDescent="0.25">
      <c r="D11" s="16"/>
      <c r="E11" s="54"/>
      <c r="F11" s="54"/>
      <c r="G11" s="15"/>
    </row>
    <row r="12" spans="1:23" x14ac:dyDescent="0.25">
      <c r="A12" t="s">
        <v>206</v>
      </c>
      <c r="B12">
        <f>SUBTOTAL(109,Table4[Wins (A)])</f>
        <v>4</v>
      </c>
      <c r="C12">
        <f>SUBTOTAL(109,Table4[Games (A)])</f>
        <v>28</v>
      </c>
      <c r="D12" s="18">
        <f>Table4[[#Totals],[Wins (A)]]/Table4[[#Totals],[Games (A)]]</f>
        <v>0.14285714285714285</v>
      </c>
      <c r="E12">
        <f>SUBTOTAL(109,Table4[Wins EV])</f>
        <v>4</v>
      </c>
      <c r="F12">
        <f>SUBTOTAL(109,Table4[Games EV])</f>
        <v>4</v>
      </c>
      <c r="G12" s="16">
        <f>Table4[[#Totals],[Wins EV]]/Table4[[#Totals],[Games EV]]</f>
        <v>1</v>
      </c>
    </row>
    <row r="18" spans="3:3" x14ac:dyDescent="0.25">
      <c r="C18" t="s">
        <v>247</v>
      </c>
    </row>
    <row r="19" spans="3:3" x14ac:dyDescent="0.25">
      <c r="C19" t="s">
        <v>248</v>
      </c>
    </row>
    <row r="20" spans="3:3" x14ac:dyDescent="0.25">
      <c r="C20" t="s">
        <v>249</v>
      </c>
    </row>
  </sheetData>
  <pageMargins left="0.7" right="0.7" top="0.75" bottom="0.75" header="0.3" footer="0.3"/>
  <ignoredErrors>
    <ignoredError sqref="B4:C4 D2:D5 B5:C5" calculatedColumn="1"/>
    <ignoredError sqref="B2:B3 C2:C3" formulaRange="1" calculatedColumn="1"/>
  </ignoredErrors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workbookViewId="0">
      <selection activeCell="B17" sqref="B17"/>
    </sheetView>
  </sheetViews>
  <sheetFormatPr defaultRowHeight="15" x14ac:dyDescent="0.25"/>
  <cols>
    <col min="1" max="1" width="10.7109375" bestFit="1" customWidth="1"/>
    <col min="2" max="2" width="11.42578125" customWidth="1"/>
  </cols>
  <sheetData>
    <row r="1" spans="1:2" x14ac:dyDescent="0.25">
      <c r="A1" t="s">
        <v>40</v>
      </c>
      <c r="B1" t="s">
        <v>251</v>
      </c>
    </row>
    <row r="2" spans="1:2" x14ac:dyDescent="0.25">
      <c r="A2" s="38">
        <v>42682</v>
      </c>
      <c r="B2" s="39">
        <v>-22</v>
      </c>
    </row>
    <row r="3" spans="1:2" x14ac:dyDescent="0.25">
      <c r="A3" s="38">
        <v>42683</v>
      </c>
      <c r="B3" s="39">
        <v>-22</v>
      </c>
    </row>
    <row r="4" spans="1:2" x14ac:dyDescent="0.25">
      <c r="A4" s="38">
        <v>42684</v>
      </c>
      <c r="B4" s="39">
        <v>0</v>
      </c>
    </row>
    <row r="5" spans="1:2" x14ac:dyDescent="0.25">
      <c r="A5" s="38">
        <v>42685</v>
      </c>
      <c r="B5" s="39">
        <v>-22</v>
      </c>
    </row>
    <row r="6" spans="1:2" x14ac:dyDescent="0.25">
      <c r="A6" s="38">
        <v>42686</v>
      </c>
      <c r="B6" s="39">
        <v>40</v>
      </c>
    </row>
    <row r="7" spans="1:2" x14ac:dyDescent="0.25">
      <c r="A7" s="38">
        <v>42687</v>
      </c>
      <c r="B7" s="39">
        <v>26</v>
      </c>
    </row>
    <row r="8" spans="1:2" x14ac:dyDescent="0.25">
      <c r="A8" s="38">
        <v>42688</v>
      </c>
      <c r="B8" s="39">
        <v>12</v>
      </c>
    </row>
    <row r="9" spans="1:2" x14ac:dyDescent="0.25">
      <c r="A9" s="38">
        <v>42689</v>
      </c>
      <c r="B9" s="39">
        <v>-66</v>
      </c>
    </row>
    <row r="10" spans="1:2" x14ac:dyDescent="0.25">
      <c r="A10" s="38">
        <v>42690</v>
      </c>
      <c r="B10" s="39">
        <v>-97</v>
      </c>
    </row>
    <row r="11" spans="1:2" x14ac:dyDescent="0.25">
      <c r="A11" s="38">
        <v>42691</v>
      </c>
      <c r="B11" s="39">
        <v>65</v>
      </c>
    </row>
    <row r="12" spans="1:2" x14ac:dyDescent="0.25">
      <c r="A12" s="38">
        <v>42692</v>
      </c>
      <c r="B12" s="39">
        <v>-6</v>
      </c>
    </row>
    <row r="13" spans="1:2" x14ac:dyDescent="0.25">
      <c r="A13" s="38">
        <v>42693</v>
      </c>
      <c r="B13" s="39">
        <v>-59</v>
      </c>
    </row>
    <row r="14" spans="1:2" x14ac:dyDescent="0.25">
      <c r="A14" s="38">
        <v>42694</v>
      </c>
      <c r="B14" s="39">
        <v>42</v>
      </c>
    </row>
    <row r="15" spans="1:2" x14ac:dyDescent="0.25">
      <c r="A15" s="38">
        <v>42695</v>
      </c>
      <c r="B15" s="39">
        <v>138</v>
      </c>
    </row>
    <row r="16" spans="1:2" x14ac:dyDescent="0.25">
      <c r="A16" s="38">
        <v>42696</v>
      </c>
      <c r="B16" s="39">
        <v>-6</v>
      </c>
    </row>
    <row r="17" spans="1:2" x14ac:dyDescent="0.25">
      <c r="A17" s="38">
        <v>42697</v>
      </c>
      <c r="B17" s="39"/>
    </row>
    <row r="18" spans="1:2" x14ac:dyDescent="0.25">
      <c r="A18" t="s">
        <v>206</v>
      </c>
      <c r="B18" s="39">
        <f>SUBTOTAL(109,Table7[Winnings])</f>
        <v>23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2"/>
  <sheetViews>
    <sheetView workbookViewId="0">
      <selection activeCell="L10" sqref="L10"/>
    </sheetView>
  </sheetViews>
  <sheetFormatPr defaultRowHeight="15" x14ac:dyDescent="0.25"/>
  <cols>
    <col min="1" max="1" width="23.85546875" bestFit="1" customWidth="1"/>
    <col min="2" max="2" width="9.5703125" customWidth="1"/>
    <col min="3" max="3" width="9.42578125" customWidth="1"/>
    <col min="4" max="4" width="9.7109375" bestFit="1" customWidth="1"/>
    <col min="5" max="5" width="9.85546875" bestFit="1" customWidth="1"/>
    <col min="6" max="6" width="10.140625" bestFit="1" customWidth="1"/>
    <col min="7" max="7" width="7.42578125" bestFit="1" customWidth="1"/>
    <col min="8" max="8" width="13.28515625" bestFit="1" customWidth="1"/>
    <col min="9" max="9" width="10.42578125" bestFit="1" customWidth="1"/>
    <col min="11" max="11" width="11" bestFit="1" customWidth="1"/>
    <col min="16" max="16" width="7.42578125" bestFit="1" customWidth="1"/>
    <col min="17" max="17" width="23.85546875" bestFit="1" customWidth="1"/>
    <col min="18" max="18" width="6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225</v>
      </c>
      <c r="F1" t="s">
        <v>219</v>
      </c>
      <c r="G1" t="s">
        <v>220</v>
      </c>
      <c r="H1" t="s">
        <v>208</v>
      </c>
      <c r="I1" t="s">
        <v>221</v>
      </c>
      <c r="K1" t="s">
        <v>208</v>
      </c>
      <c r="N1" t="s">
        <v>214</v>
      </c>
      <c r="O1" t="s">
        <v>229</v>
      </c>
    </row>
    <row r="2" spans="1:15" x14ac:dyDescent="0.25">
      <c r="A2" t="s">
        <v>4</v>
      </c>
      <c r="B2" s="2">
        <v>115.05</v>
      </c>
      <c r="C2" s="2">
        <v>100.66</v>
      </c>
      <c r="D2" s="2">
        <v>14.39</v>
      </c>
      <c r="E2" s="2">
        <f>Table3[[#This Row],[ORtg/A]]-Table3[[#Totals],[ORtg/A]]</f>
        <v>8.1126666666666694</v>
      </c>
      <c r="F2" s="2">
        <f>Table3[[#This Row],[DRtg/A]]-Table3[[#Totals],[DRtg/A]]</f>
        <v>-6.2793333333333266</v>
      </c>
      <c r="G2">
        <v>96.6</v>
      </c>
      <c r="H2" s="2">
        <v>-8.9489194472728322</v>
      </c>
      <c r="I2" s="34" t="s">
        <v>5</v>
      </c>
      <c r="K2" s="2">
        <f>Table2[[#Totals],[Home Pts]]-Table2[[#Totals],[Away Pts]]</f>
        <v>2.7251184834123308</v>
      </c>
      <c r="M2" t="s">
        <v>213</v>
      </c>
      <c r="N2" s="2">
        <f>SUM(Boxscore!AJ2:AJ199)</f>
        <v>25553.787081689537</v>
      </c>
      <c r="O2" s="2">
        <f>SUM(Table2[EV Sqr Err])</f>
        <v>74123.699304571623</v>
      </c>
    </row>
    <row r="3" spans="1:15" x14ac:dyDescent="0.25">
      <c r="A3" t="s">
        <v>10</v>
      </c>
      <c r="B3" s="2">
        <v>116.55</v>
      </c>
      <c r="C3" s="2">
        <v>108.32</v>
      </c>
      <c r="D3" s="2">
        <v>8.23</v>
      </c>
      <c r="E3" s="2">
        <f>Table3[[#This Row],[ORtg/A]]-Table3[[#Totals],[ORtg/A]]</f>
        <v>9.6126666666666694</v>
      </c>
      <c r="F3" s="2">
        <f>Table3[[#This Row],[DRtg/A]]-Table3[[#Totals],[DRtg/A]]</f>
        <v>1.38066666666667</v>
      </c>
      <c r="G3">
        <v>100.3</v>
      </c>
      <c r="H3" s="2">
        <v>-9.4849552629721376</v>
      </c>
      <c r="I3" s="34" t="s">
        <v>5</v>
      </c>
      <c r="M3" t="s">
        <v>254</v>
      </c>
      <c r="N3" s="25">
        <f>SQRT(N2)</f>
        <v>159.85551939701531</v>
      </c>
      <c r="O3" s="2">
        <f>SQRT(O2)</f>
        <v>272.25667908165565</v>
      </c>
    </row>
    <row r="4" spans="1:15" x14ac:dyDescent="0.25">
      <c r="A4" t="s">
        <v>6</v>
      </c>
      <c r="B4" s="2">
        <v>111.2</v>
      </c>
      <c r="C4" s="2">
        <v>104.45</v>
      </c>
      <c r="D4" s="2">
        <v>6.75</v>
      </c>
      <c r="E4" s="2">
        <f>Table3[[#This Row],[ORtg/A]]-Table3[[#Totals],[ORtg/A]]</f>
        <v>4.262666666666675</v>
      </c>
      <c r="F4" s="2">
        <f>Table3[[#This Row],[DRtg/A]]-Table3[[#Totals],[DRtg/A]]</f>
        <v>-2.4893333333333203</v>
      </c>
      <c r="G4">
        <v>93.1</v>
      </c>
      <c r="H4" s="2">
        <v>-0.34303200434396369</v>
      </c>
      <c r="I4" s="34" t="s">
        <v>7</v>
      </c>
    </row>
    <row r="5" spans="1:15" x14ac:dyDescent="0.25">
      <c r="A5" t="s">
        <v>8</v>
      </c>
      <c r="B5" s="2">
        <v>111.38</v>
      </c>
      <c r="C5" s="2">
        <v>104.78</v>
      </c>
      <c r="D5" s="2">
        <v>6.61</v>
      </c>
      <c r="E5" s="2">
        <f>Table3[[#This Row],[ORtg/A]]-Table3[[#Totals],[ORtg/A]]</f>
        <v>4.4426666666666677</v>
      </c>
      <c r="F5" s="2">
        <f>Table3[[#This Row],[DRtg/A]]-Table3[[#Totals],[DRtg/A]]</f>
        <v>-2.159333333333322</v>
      </c>
      <c r="G5">
        <v>97.2</v>
      </c>
      <c r="H5" s="2">
        <v>-3.3854193734755107</v>
      </c>
      <c r="I5" s="34" t="s">
        <v>9</v>
      </c>
    </row>
    <row r="6" spans="1:15" x14ac:dyDescent="0.25">
      <c r="A6" t="s">
        <v>11</v>
      </c>
      <c r="B6" s="2">
        <v>105.02</v>
      </c>
      <c r="C6" s="2">
        <v>98.95</v>
      </c>
      <c r="D6" s="2">
        <v>6.07</v>
      </c>
      <c r="E6" s="2">
        <f>Table3[[#This Row],[ORtg/A]]-Table3[[#Totals],[ORtg/A]]</f>
        <v>-1.9173333333333318</v>
      </c>
      <c r="F6" s="2">
        <f>Table3[[#This Row],[DRtg/A]]-Table3[[#Totals],[DRtg/A]]</f>
        <v>-7.9893333333333203</v>
      </c>
      <c r="G6">
        <v>99.7</v>
      </c>
      <c r="H6" s="2">
        <v>-6.0238672242666587</v>
      </c>
      <c r="I6" s="34" t="s">
        <v>12</v>
      </c>
    </row>
    <row r="7" spans="1:15" x14ac:dyDescent="0.25">
      <c r="A7" t="s">
        <v>13</v>
      </c>
      <c r="B7" s="2">
        <v>111.45</v>
      </c>
      <c r="C7" s="2">
        <v>106.06</v>
      </c>
      <c r="D7" s="2">
        <v>5.39</v>
      </c>
      <c r="E7" s="2">
        <f>Table3[[#This Row],[ORtg/A]]-Table3[[#Totals],[ORtg/A]]</f>
        <v>4.512666666666675</v>
      </c>
      <c r="F7" s="2">
        <f>Table3[[#This Row],[DRtg/A]]-Table3[[#Totals],[DRtg/A]]</f>
        <v>-0.87933333333332087</v>
      </c>
      <c r="G7">
        <v>94.5</v>
      </c>
      <c r="H7" s="2">
        <v>0.26540855503068483</v>
      </c>
      <c r="I7" s="34" t="s">
        <v>9</v>
      </c>
    </row>
    <row r="8" spans="1:15" x14ac:dyDescent="0.25">
      <c r="A8" t="s">
        <v>14</v>
      </c>
      <c r="B8" s="2">
        <v>113.37</v>
      </c>
      <c r="C8" s="2">
        <v>108.64</v>
      </c>
      <c r="D8" s="2">
        <v>4.72</v>
      </c>
      <c r="E8" s="2">
        <f>Table3[[#This Row],[ORtg/A]]-Table3[[#Totals],[ORtg/A]]</f>
        <v>6.4326666666666767</v>
      </c>
      <c r="F8" s="2">
        <f>Table3[[#This Row],[DRtg/A]]-Table3[[#Totals],[DRtg/A]]</f>
        <v>1.7006666666666774</v>
      </c>
      <c r="G8">
        <v>95.9</v>
      </c>
      <c r="H8" s="2">
        <v>-1.4311524409998451</v>
      </c>
      <c r="I8" s="34" t="s">
        <v>15</v>
      </c>
    </row>
    <row r="9" spans="1:15" x14ac:dyDescent="0.25">
      <c r="A9" t="s">
        <v>17</v>
      </c>
      <c r="B9" s="2">
        <v>114.02</v>
      </c>
      <c r="C9" s="2">
        <v>110.03</v>
      </c>
      <c r="D9" s="2">
        <v>3.99</v>
      </c>
      <c r="E9" s="2">
        <f>Table3[[#This Row],[ORtg/A]]-Table3[[#Totals],[ORtg/A]]</f>
        <v>7.0826666666666682</v>
      </c>
      <c r="F9" s="2">
        <f>Table3[[#This Row],[DRtg/A]]-Table3[[#Totals],[DRtg/A]]</f>
        <v>3.090666666666678</v>
      </c>
      <c r="G9">
        <v>96.7</v>
      </c>
      <c r="H9" s="2">
        <v>-0.8032344756269284</v>
      </c>
      <c r="I9" s="34" t="s">
        <v>7</v>
      </c>
    </row>
    <row r="10" spans="1:15" x14ac:dyDescent="0.25">
      <c r="A10" t="s">
        <v>16</v>
      </c>
      <c r="B10" s="2">
        <v>107.35</v>
      </c>
      <c r="C10" s="2">
        <v>104.98</v>
      </c>
      <c r="D10" s="2">
        <v>2.37</v>
      </c>
      <c r="E10" s="2">
        <f>Table3[[#This Row],[ORtg/A]]-Table3[[#Totals],[ORtg/A]]</f>
        <v>0.41266666666666652</v>
      </c>
      <c r="F10" s="2">
        <f>Table3[[#This Row],[DRtg/A]]-Table3[[#Totals],[DRtg/A]]</f>
        <v>-1.9593333333333192</v>
      </c>
      <c r="G10">
        <v>97.5</v>
      </c>
      <c r="H10" s="2">
        <v>-0.78722460393897342</v>
      </c>
      <c r="I10" s="34" t="s">
        <v>12</v>
      </c>
    </row>
    <row r="11" spans="1:15" x14ac:dyDescent="0.25">
      <c r="A11" t="s">
        <v>23</v>
      </c>
      <c r="B11" s="2">
        <v>104.51</v>
      </c>
      <c r="C11" s="2">
        <v>102.37</v>
      </c>
      <c r="D11" s="2">
        <v>2.15</v>
      </c>
      <c r="E11" s="2">
        <f>Table3[[#This Row],[ORtg/A]]-Table3[[#Totals],[ORtg/A]]</f>
        <v>-2.4273333333333227</v>
      </c>
      <c r="F11" s="2">
        <f>Table3[[#This Row],[DRtg/A]]-Table3[[#Totals],[DRtg/A]]</f>
        <v>-4.5693333333333186</v>
      </c>
      <c r="G11">
        <v>92.5</v>
      </c>
      <c r="H11" s="2">
        <v>5.87867101842909</v>
      </c>
      <c r="I11" s="34" t="s">
        <v>7</v>
      </c>
    </row>
    <row r="12" spans="1:15" x14ac:dyDescent="0.25">
      <c r="A12" t="s">
        <v>18</v>
      </c>
      <c r="B12" s="2">
        <v>104.65</v>
      </c>
      <c r="C12" s="2">
        <v>102.57</v>
      </c>
      <c r="D12" s="2">
        <v>2.08</v>
      </c>
      <c r="E12" s="2">
        <f>Table3[[#This Row],[ORtg/A]]-Table3[[#Totals],[ORtg/A]]</f>
        <v>-2.2873333333333221</v>
      </c>
      <c r="F12" s="2">
        <f>Table3[[#This Row],[DRtg/A]]-Table3[[#Totals],[DRtg/A]]</f>
        <v>-4.36933333333333</v>
      </c>
      <c r="G12">
        <v>99.5</v>
      </c>
      <c r="H12" s="2">
        <v>-1.0684494202231503</v>
      </c>
      <c r="I12" s="34" t="s">
        <v>19</v>
      </c>
    </row>
    <row r="13" spans="1:15" x14ac:dyDescent="0.25">
      <c r="A13" t="s">
        <v>20</v>
      </c>
      <c r="B13" s="2">
        <v>106.79</v>
      </c>
      <c r="C13" s="2">
        <v>105.29</v>
      </c>
      <c r="D13" s="2">
        <v>1.49</v>
      </c>
      <c r="E13" s="2">
        <f>Table3[[#This Row],[ORtg/A]]-Table3[[#Totals],[ORtg/A]]</f>
        <v>-0.14733333333332155</v>
      </c>
      <c r="F13" s="2">
        <f>Table3[[#This Row],[DRtg/A]]-Table3[[#Totals],[DRtg/A]]</f>
        <v>-1.6493333333333169</v>
      </c>
      <c r="G13">
        <v>90.9</v>
      </c>
      <c r="H13" s="2">
        <v>7.7124304611130388</v>
      </c>
      <c r="I13" s="34" t="s">
        <v>19</v>
      </c>
    </row>
    <row r="14" spans="1:15" x14ac:dyDescent="0.25">
      <c r="A14" t="s">
        <v>22</v>
      </c>
      <c r="B14" s="2">
        <v>111.43</v>
      </c>
      <c r="C14" s="2">
        <v>110.78</v>
      </c>
      <c r="D14" s="2">
        <v>0.66</v>
      </c>
      <c r="E14" s="2">
        <f>Table3[[#This Row],[ORtg/A]]-Table3[[#Totals],[ORtg/A]]</f>
        <v>4.492666666666679</v>
      </c>
      <c r="F14" s="2">
        <f>Table3[[#This Row],[DRtg/A]]-Table3[[#Totals],[DRtg/A]]</f>
        <v>3.840666666666678</v>
      </c>
      <c r="G14">
        <v>94.7</v>
      </c>
      <c r="H14" s="2">
        <v>5.8928172084016897</v>
      </c>
      <c r="I14" s="34" t="s">
        <v>19</v>
      </c>
    </row>
    <row r="15" spans="1:15" x14ac:dyDescent="0.25">
      <c r="A15" t="s">
        <v>24</v>
      </c>
      <c r="B15" s="2">
        <v>110.72</v>
      </c>
      <c r="C15" s="2">
        <v>110.71</v>
      </c>
      <c r="D15" s="2">
        <v>0.01</v>
      </c>
      <c r="E15" s="2">
        <f>Table3[[#This Row],[ORtg/A]]-Table3[[#Totals],[ORtg/A]]</f>
        <v>3.7826666666666711</v>
      </c>
      <c r="F15" s="2">
        <f>Table3[[#This Row],[DRtg/A]]-Table3[[#Totals],[DRtg/A]]</f>
        <v>3.7706666666666706</v>
      </c>
      <c r="G15">
        <v>99.9</v>
      </c>
      <c r="H15" s="2">
        <v>-1.2348665382288457</v>
      </c>
      <c r="I15" s="34" t="s">
        <v>5</v>
      </c>
    </row>
    <row r="16" spans="1:15" x14ac:dyDescent="0.25">
      <c r="A16" t="s">
        <v>25</v>
      </c>
      <c r="B16" s="2">
        <v>102.8</v>
      </c>
      <c r="C16" s="2">
        <v>103.06</v>
      </c>
      <c r="D16" s="2">
        <v>-0.26</v>
      </c>
      <c r="E16" s="2">
        <f>Table3[[#This Row],[ORtg/A]]-Table3[[#Totals],[ORtg/A]]</f>
        <v>-4.1373333333333306</v>
      </c>
      <c r="F16" s="2">
        <f>Table3[[#This Row],[DRtg/A]]-Table3[[#Totals],[DRtg/A]]</f>
        <v>-3.8793333333333209</v>
      </c>
      <c r="G16">
        <v>94.4</v>
      </c>
      <c r="H16" s="2">
        <v>6.7877914310796861</v>
      </c>
      <c r="I16" s="34" t="s">
        <v>9</v>
      </c>
    </row>
    <row r="17" spans="1:9" x14ac:dyDescent="0.25">
      <c r="A17" t="s">
        <v>21</v>
      </c>
      <c r="B17" s="2">
        <v>102.65</v>
      </c>
      <c r="C17" s="2">
        <v>102.98</v>
      </c>
      <c r="D17" s="2">
        <v>-0.34</v>
      </c>
      <c r="E17" s="2">
        <f>Table3[[#This Row],[ORtg/A]]-Table3[[#Totals],[ORtg/A]]</f>
        <v>-4.2873333333333221</v>
      </c>
      <c r="F17" s="2">
        <f>Table3[[#This Row],[DRtg/A]]-Table3[[#Totals],[DRtg/A]]</f>
        <v>-3.9593333333333192</v>
      </c>
      <c r="G17">
        <v>94.2</v>
      </c>
      <c r="H17" s="2">
        <v>5.2660967890062391</v>
      </c>
      <c r="I17" s="34" t="s">
        <v>12</v>
      </c>
    </row>
    <row r="18" spans="1:9" x14ac:dyDescent="0.25">
      <c r="A18" t="s">
        <v>26</v>
      </c>
      <c r="B18" s="2">
        <v>108.03</v>
      </c>
      <c r="C18" s="2">
        <v>108.5</v>
      </c>
      <c r="D18" s="2">
        <v>-0.47</v>
      </c>
      <c r="E18" s="2">
        <f>Table3[[#This Row],[ORtg/A]]-Table3[[#Totals],[ORtg/A]]</f>
        <v>1.0926666666666733</v>
      </c>
      <c r="F18" s="2">
        <f>Table3[[#This Row],[DRtg/A]]-Table3[[#Totals],[DRtg/A]]</f>
        <v>1.5606666666666769</v>
      </c>
      <c r="G18">
        <v>96</v>
      </c>
      <c r="H18" s="2">
        <v>3.4628370720641435</v>
      </c>
      <c r="I18" s="34" t="s">
        <v>15</v>
      </c>
    </row>
    <row r="19" spans="1:9" x14ac:dyDescent="0.25">
      <c r="A19" t="s">
        <v>27</v>
      </c>
      <c r="B19" s="2">
        <v>105.49</v>
      </c>
      <c r="C19" s="2">
        <v>106.33</v>
      </c>
      <c r="D19" s="2">
        <v>-0.84</v>
      </c>
      <c r="E19" s="2">
        <f>Table3[[#This Row],[ORtg/A]]-Table3[[#Totals],[ORtg/A]]</f>
        <v>-1.4473333333333329</v>
      </c>
      <c r="F19" s="2">
        <f>Table3[[#This Row],[DRtg/A]]-Table3[[#Totals],[DRtg/A]]</f>
        <v>-0.60933333333332484</v>
      </c>
      <c r="G19">
        <v>99</v>
      </c>
      <c r="H19" s="2">
        <v>0.31070346108341168</v>
      </c>
      <c r="I19" s="34" t="s">
        <v>19</v>
      </c>
    </row>
    <row r="20" spans="1:9" x14ac:dyDescent="0.25">
      <c r="A20" t="s">
        <v>28</v>
      </c>
      <c r="B20" s="2">
        <v>107.57</v>
      </c>
      <c r="C20" s="2">
        <v>109.73</v>
      </c>
      <c r="D20" s="2">
        <v>-2.16</v>
      </c>
      <c r="E20" s="2">
        <f>Table3[[#This Row],[ORtg/A]]-Table3[[#Totals],[ORtg/A]]</f>
        <v>0.63266666666666538</v>
      </c>
      <c r="F20" s="2">
        <f>Table3[[#This Row],[DRtg/A]]-Table3[[#Totals],[DRtg/A]]</f>
        <v>2.7906666666666808</v>
      </c>
      <c r="G20">
        <v>96.3</v>
      </c>
      <c r="H20" s="2">
        <v>5.1064003448003525</v>
      </c>
      <c r="I20" s="34" t="s">
        <v>12</v>
      </c>
    </row>
    <row r="21" spans="1:9" x14ac:dyDescent="0.25">
      <c r="A21" t="s">
        <v>31</v>
      </c>
      <c r="B21" s="2">
        <v>108.97</v>
      </c>
      <c r="C21" s="2">
        <v>111.47</v>
      </c>
      <c r="D21" s="2">
        <v>-2.4900000000000002</v>
      </c>
      <c r="E21" s="2">
        <f>Table3[[#This Row],[ORtg/A]]-Table3[[#Totals],[ORtg/A]]</f>
        <v>2.0326666666666711</v>
      </c>
      <c r="F21" s="2">
        <f>Table3[[#This Row],[DRtg/A]]-Table3[[#Totals],[DRtg/A]]</f>
        <v>4.5306666666666757</v>
      </c>
      <c r="G21">
        <v>96</v>
      </c>
      <c r="H21" s="2">
        <v>6.169098231436358</v>
      </c>
      <c r="I21" s="34" t="s">
        <v>15</v>
      </c>
    </row>
    <row r="22" spans="1:9" x14ac:dyDescent="0.25">
      <c r="A22" t="s">
        <v>29</v>
      </c>
      <c r="B22" s="2">
        <v>107.54</v>
      </c>
      <c r="C22" s="2">
        <v>110.07</v>
      </c>
      <c r="D22" s="2">
        <v>-2.54</v>
      </c>
      <c r="E22" s="2">
        <f>Table3[[#This Row],[ORtg/A]]-Table3[[#Totals],[ORtg/A]]</f>
        <v>0.60266666666667845</v>
      </c>
      <c r="F22" s="2">
        <f>Table3[[#This Row],[DRtg/A]]-Table3[[#Totals],[DRtg/A]]</f>
        <v>3.13066666666667</v>
      </c>
      <c r="G22">
        <v>93.8</v>
      </c>
      <c r="H22" s="2">
        <v>8.8125415092237631</v>
      </c>
      <c r="I22" s="34" t="s">
        <v>5</v>
      </c>
    </row>
    <row r="23" spans="1:9" x14ac:dyDescent="0.25">
      <c r="A23" t="s">
        <v>30</v>
      </c>
      <c r="B23" s="2">
        <v>105.92</v>
      </c>
      <c r="C23" s="2">
        <v>108.68</v>
      </c>
      <c r="D23" s="2">
        <v>-2.76</v>
      </c>
      <c r="E23" s="2">
        <f>Table3[[#This Row],[ORtg/A]]-Table3[[#Totals],[ORtg/A]]</f>
        <v>-1.0173333333333261</v>
      </c>
      <c r="F23" s="2">
        <f>Table3[[#This Row],[DRtg/A]]-Table3[[#Totals],[DRtg/A]]</f>
        <v>1.7406666666666837</v>
      </c>
      <c r="G23">
        <v>96.8</v>
      </c>
      <c r="H23" s="2">
        <v>5.9556146865734503</v>
      </c>
      <c r="I23" s="34" t="s">
        <v>9</v>
      </c>
    </row>
    <row r="24" spans="1:9" x14ac:dyDescent="0.25">
      <c r="A24" t="s">
        <v>32</v>
      </c>
      <c r="B24" s="2">
        <v>108.67</v>
      </c>
      <c r="C24" s="2">
        <v>111.81</v>
      </c>
      <c r="D24" s="2">
        <v>-3.13</v>
      </c>
      <c r="E24" s="2">
        <f>Table3[[#This Row],[ORtg/A]]-Table3[[#Totals],[ORtg/A]]</f>
        <v>1.7326666666666739</v>
      </c>
      <c r="F24" s="2">
        <f>Table3[[#This Row],[DRtg/A]]-Table3[[#Totals],[DRtg/A]]</f>
        <v>4.8706666666666791</v>
      </c>
      <c r="G24">
        <v>98.6</v>
      </c>
      <c r="H24" s="2">
        <v>2.2883506964351454</v>
      </c>
      <c r="I24" s="34" t="s">
        <v>19</v>
      </c>
    </row>
    <row r="25" spans="1:9" x14ac:dyDescent="0.25">
      <c r="A25" t="s">
        <v>34</v>
      </c>
      <c r="B25" s="2">
        <v>101.21</v>
      </c>
      <c r="C25" s="2">
        <v>106.49</v>
      </c>
      <c r="D25" s="2">
        <v>-5.28</v>
      </c>
      <c r="E25" s="2">
        <f>Table3[[#This Row],[ORtg/A]]-Table3[[#Totals],[ORtg/A]]</f>
        <v>-5.7273333333333341</v>
      </c>
      <c r="F25" s="2">
        <f>Table3[[#This Row],[DRtg/A]]-Table3[[#Totals],[DRtg/A]]</f>
        <v>-0.44933333333332826</v>
      </c>
      <c r="G25">
        <v>98.8</v>
      </c>
      <c r="H25" s="2">
        <v>5.1510728532276211</v>
      </c>
      <c r="I25" s="34" t="s">
        <v>7</v>
      </c>
    </row>
    <row r="26" spans="1:9" x14ac:dyDescent="0.25">
      <c r="A26" t="s">
        <v>33</v>
      </c>
      <c r="B26" s="2">
        <v>103.74</v>
      </c>
      <c r="C26" s="2">
        <v>109.23</v>
      </c>
      <c r="D26" s="2">
        <v>-5.49</v>
      </c>
      <c r="E26" s="2">
        <f>Table3[[#This Row],[ORtg/A]]-Table3[[#Totals],[ORtg/A]]</f>
        <v>-3.1973333333333329</v>
      </c>
      <c r="F26" s="2">
        <f>Table3[[#This Row],[DRtg/A]]-Table3[[#Totals],[DRtg/A]]</f>
        <v>2.2906666666666808</v>
      </c>
      <c r="G26">
        <v>98.2</v>
      </c>
      <c r="H26" s="2">
        <v>5.9391485274016222</v>
      </c>
      <c r="I26" s="34" t="s">
        <v>9</v>
      </c>
    </row>
    <row r="27" spans="1:9" x14ac:dyDescent="0.25">
      <c r="A27" t="s">
        <v>36</v>
      </c>
      <c r="B27" s="2">
        <v>103.15</v>
      </c>
      <c r="C27" s="2">
        <v>109.6</v>
      </c>
      <c r="D27" s="2">
        <v>-6.45</v>
      </c>
      <c r="E27" s="2">
        <f>Table3[[#This Row],[ORtg/A]]-Table3[[#Totals],[ORtg/A]]</f>
        <v>-3.7873333333333221</v>
      </c>
      <c r="F27" s="2">
        <f>Table3[[#This Row],[DRtg/A]]-Table3[[#Totals],[DRtg/A]]</f>
        <v>2.6606666666666712</v>
      </c>
      <c r="G27">
        <v>102.2</v>
      </c>
      <c r="H27" s="2">
        <v>2.2080139263278604</v>
      </c>
      <c r="I27" s="34" t="s">
        <v>5</v>
      </c>
    </row>
    <row r="28" spans="1:9" x14ac:dyDescent="0.25">
      <c r="A28" t="s">
        <v>35</v>
      </c>
      <c r="B28" s="2">
        <v>103.76</v>
      </c>
      <c r="C28" s="2">
        <v>110.32</v>
      </c>
      <c r="D28" s="2">
        <v>-6.56</v>
      </c>
      <c r="E28" s="2">
        <f>Table3[[#This Row],[ORtg/A]]-Table3[[#Totals],[ORtg/A]]</f>
        <v>-3.1773333333333227</v>
      </c>
      <c r="F28" s="2">
        <f>Table3[[#This Row],[DRtg/A]]-Table3[[#Totals],[DRtg/A]]</f>
        <v>3.38066666666667</v>
      </c>
      <c r="G28">
        <v>102.2</v>
      </c>
      <c r="H28" s="2">
        <v>1.7327102531926699</v>
      </c>
      <c r="I28" s="34" t="s">
        <v>15</v>
      </c>
    </row>
    <row r="29" spans="1:9" x14ac:dyDescent="0.25">
      <c r="A29" t="s">
        <v>37</v>
      </c>
      <c r="B29" s="2">
        <v>95.95</v>
      </c>
      <c r="C29" s="2">
        <v>103.69</v>
      </c>
      <c r="D29" s="2">
        <v>-7.73</v>
      </c>
      <c r="E29" s="2">
        <f>Table3[[#This Row],[ORtg/A]]-Table3[[#Totals],[ORtg/A]]</f>
        <v>-10.987333333333325</v>
      </c>
      <c r="F29" s="2">
        <f>Table3[[#This Row],[DRtg/A]]-Table3[[#Totals],[DRtg/A]]</f>
        <v>-3.2493333333333254</v>
      </c>
      <c r="G29">
        <v>92.1</v>
      </c>
      <c r="H29" s="2">
        <v>15.397442012618049</v>
      </c>
      <c r="I29" s="34" t="s">
        <v>7</v>
      </c>
    </row>
    <row r="30" spans="1:9" x14ac:dyDescent="0.25">
      <c r="A30" t="s">
        <v>38</v>
      </c>
      <c r="B30" s="2">
        <v>98.93</v>
      </c>
      <c r="C30" s="2">
        <v>107.86</v>
      </c>
      <c r="D30" s="2">
        <v>-8.94</v>
      </c>
      <c r="E30" s="2">
        <f>Table3[[#This Row],[ORtg/A]]-Table3[[#Totals],[ORtg/A]]</f>
        <v>-8.007333333333321</v>
      </c>
      <c r="F30" s="2">
        <f>Table3[[#This Row],[DRtg/A]]-Table3[[#Totals],[DRtg/A]]</f>
        <v>0.92066666666667629</v>
      </c>
      <c r="G30">
        <v>94.2</v>
      </c>
      <c r="H30" s="2">
        <v>13.782296899060263</v>
      </c>
      <c r="I30" s="34" t="s">
        <v>12</v>
      </c>
    </row>
    <row r="31" spans="1:9" x14ac:dyDescent="0.25">
      <c r="A31" t="s">
        <v>39</v>
      </c>
      <c r="B31" s="2">
        <v>100.25</v>
      </c>
      <c r="C31" s="2">
        <v>109.77</v>
      </c>
      <c r="D31" s="2">
        <v>-9.52</v>
      </c>
      <c r="E31" s="2">
        <f>Table3[[#This Row],[ORtg/A]]-Table3[[#Totals],[ORtg/A]]</f>
        <v>-6.6873333333333278</v>
      </c>
      <c r="F31" s="2">
        <f>Table3[[#This Row],[DRtg/A]]-Table3[[#Totals],[DRtg/A]]</f>
        <v>2.8306666666666729</v>
      </c>
      <c r="G31">
        <v>97.5</v>
      </c>
      <c r="H31" s="2">
        <v>10.02935601506233</v>
      </c>
      <c r="I31" s="34" t="s">
        <v>15</v>
      </c>
    </row>
    <row r="32" spans="1:9" x14ac:dyDescent="0.25">
      <c r="A32" t="s">
        <v>206</v>
      </c>
      <c r="B32" s="2">
        <f>SUBTOTAL(101,Table3[ORtg/A])</f>
        <v>106.93733333333333</v>
      </c>
      <c r="C32" s="2">
        <f>SUBTOTAL(101,Table3[DRtg/A])</f>
        <v>106.93933333333332</v>
      </c>
      <c r="D32" s="2">
        <f>SUBTOTAL(101,Table3[NRtg/A])</f>
        <v>-1.6666666666672232E-3</v>
      </c>
      <c r="E32" s="2">
        <f>SUBTOTAL(101,Table3[Off Diff])</f>
        <v>6.1580370432542018E-15</v>
      </c>
      <c r="F32" s="2">
        <f>SUBTOTAL(101,Table3[Def Diff])</f>
        <v>9.947598300641402E-15</v>
      </c>
      <c r="G32" s="2">
        <f>SUBTOTAL(101,Table3[Pace])</f>
        <v>96.643333333333331</v>
      </c>
      <c r="H32" s="2">
        <f>SUBTOTAL(101,Table3[Home Edge])</f>
        <v>2.8212560386739542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Boxscore</vt:lpstr>
      <vt:lpstr>Results</vt:lpstr>
      <vt:lpstr>Winnings</vt:lpstr>
      <vt:lpstr>Ratings</vt:lpstr>
      <vt:lpstr>def_diff_lookup</vt:lpstr>
      <vt:lpstr>division_lookup</vt:lpstr>
      <vt:lpstr>home</vt:lpstr>
      <vt:lpstr>home_lookup</vt:lpstr>
      <vt:lpstr>Ratings!nba_ranking_1</vt:lpstr>
      <vt:lpstr>OFR_lookup</vt:lpstr>
      <vt:lpstr>pace_lookup</vt:lpstr>
      <vt:lpstr>rtg_vlookup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</cp:lastModifiedBy>
  <dcterms:created xsi:type="dcterms:W3CDTF">2016-11-22T01:23:29Z</dcterms:created>
  <dcterms:modified xsi:type="dcterms:W3CDTF">2016-11-23T11:42:17Z</dcterms:modified>
</cp:coreProperties>
</file>